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Spring Semester/Wilcoxon Sign Test/"/>
    </mc:Choice>
  </mc:AlternateContent>
  <bookViews>
    <workbookView xWindow="0" yWindow="460" windowWidth="25600" windowHeight="14640" tabRatio="500"/>
  </bookViews>
  <sheets>
    <sheet name="Review - Percent" sheetId="1" r:id="rId1"/>
    <sheet name="Review - Number" sheetId="3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3" i="3" l="1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P53" i="3"/>
  <c r="P70" i="3"/>
  <c r="P87" i="3"/>
  <c r="P104" i="3"/>
  <c r="G104" i="3"/>
  <c r="G87" i="3"/>
  <c r="G70" i="3"/>
  <c r="G53" i="3"/>
  <c r="P36" i="3"/>
  <c r="P19" i="3"/>
  <c r="G19" i="3"/>
  <c r="G36" i="3"/>
  <c r="M35" i="3"/>
  <c r="N35" i="3"/>
  <c r="M34" i="3"/>
  <c r="N34" i="3"/>
  <c r="M33" i="3"/>
  <c r="N33" i="3"/>
  <c r="M32" i="3"/>
  <c r="N32" i="3"/>
  <c r="M31" i="3"/>
  <c r="N31" i="3"/>
  <c r="M30" i="3"/>
  <c r="N30" i="3"/>
  <c r="M29" i="3"/>
  <c r="N29" i="3"/>
  <c r="M28" i="3"/>
  <c r="N28" i="3"/>
  <c r="M27" i="3"/>
  <c r="N27" i="3"/>
  <c r="M26" i="3"/>
  <c r="N26" i="3"/>
  <c r="M25" i="3"/>
  <c r="N25" i="3"/>
  <c r="M24" i="3"/>
  <c r="N24" i="3"/>
  <c r="M23" i="3"/>
  <c r="N23" i="3"/>
  <c r="M52" i="3"/>
  <c r="N52" i="3"/>
  <c r="M51" i="3"/>
  <c r="N51" i="3"/>
  <c r="M50" i="3"/>
  <c r="N50" i="3"/>
  <c r="M49" i="3"/>
  <c r="N49" i="3"/>
  <c r="M48" i="3"/>
  <c r="N48" i="3"/>
  <c r="M47" i="3"/>
  <c r="N47" i="3"/>
  <c r="M46" i="3"/>
  <c r="N46" i="3"/>
  <c r="M45" i="3"/>
  <c r="N45" i="3"/>
  <c r="M44" i="3"/>
  <c r="N44" i="3"/>
  <c r="M43" i="3"/>
  <c r="N43" i="3"/>
  <c r="M42" i="3"/>
  <c r="N42" i="3"/>
  <c r="M41" i="3"/>
  <c r="N41" i="3"/>
  <c r="M40" i="3"/>
  <c r="N40" i="3"/>
  <c r="M69" i="3"/>
  <c r="N69" i="3"/>
  <c r="M68" i="3"/>
  <c r="N68" i="3"/>
  <c r="M67" i="3"/>
  <c r="N67" i="3"/>
  <c r="M66" i="3"/>
  <c r="N66" i="3"/>
  <c r="M65" i="3"/>
  <c r="N65" i="3"/>
  <c r="M64" i="3"/>
  <c r="N64" i="3"/>
  <c r="M63" i="3"/>
  <c r="N63" i="3"/>
  <c r="M62" i="3"/>
  <c r="N62" i="3"/>
  <c r="M61" i="3"/>
  <c r="N61" i="3"/>
  <c r="M60" i="3"/>
  <c r="N60" i="3"/>
  <c r="M59" i="3"/>
  <c r="N59" i="3"/>
  <c r="M58" i="3"/>
  <c r="N58" i="3"/>
  <c r="M57" i="3"/>
  <c r="N57" i="3"/>
  <c r="M86" i="3"/>
  <c r="N86" i="3"/>
  <c r="M85" i="3"/>
  <c r="N85" i="3"/>
  <c r="M84" i="3"/>
  <c r="N84" i="3"/>
  <c r="M83" i="3"/>
  <c r="N83" i="3"/>
  <c r="M82" i="3"/>
  <c r="N82" i="3"/>
  <c r="M81" i="3"/>
  <c r="N81" i="3"/>
  <c r="M80" i="3"/>
  <c r="N80" i="3"/>
  <c r="M79" i="3"/>
  <c r="N79" i="3"/>
  <c r="M78" i="3"/>
  <c r="N78" i="3"/>
  <c r="M77" i="3"/>
  <c r="N77" i="3"/>
  <c r="M76" i="3"/>
  <c r="N76" i="3"/>
  <c r="M75" i="3"/>
  <c r="N75" i="3"/>
  <c r="M74" i="3"/>
  <c r="N74" i="3"/>
  <c r="M103" i="3"/>
  <c r="N103" i="3"/>
  <c r="M102" i="3"/>
  <c r="N102" i="3"/>
  <c r="M101" i="3"/>
  <c r="N101" i="3"/>
  <c r="M100" i="3"/>
  <c r="N100" i="3"/>
  <c r="M99" i="3"/>
  <c r="N99" i="3"/>
  <c r="M98" i="3"/>
  <c r="N98" i="3"/>
  <c r="M97" i="3"/>
  <c r="N97" i="3"/>
  <c r="M96" i="3"/>
  <c r="N96" i="3"/>
  <c r="M95" i="3"/>
  <c r="N95" i="3"/>
  <c r="M94" i="3"/>
  <c r="N94" i="3"/>
  <c r="M93" i="3"/>
  <c r="N93" i="3"/>
  <c r="M92" i="3"/>
  <c r="N92" i="3"/>
  <c r="M91" i="3"/>
  <c r="N91" i="3"/>
  <c r="D103" i="3"/>
  <c r="E103" i="3"/>
  <c r="D102" i="3"/>
  <c r="E102" i="3"/>
  <c r="D101" i="3"/>
  <c r="E101" i="3"/>
  <c r="D100" i="3"/>
  <c r="E100" i="3"/>
  <c r="D99" i="3"/>
  <c r="E99" i="3"/>
  <c r="D98" i="3"/>
  <c r="E98" i="3"/>
  <c r="D97" i="3"/>
  <c r="E97" i="3"/>
  <c r="D96" i="3"/>
  <c r="E96" i="3"/>
  <c r="D95" i="3"/>
  <c r="E95" i="3"/>
  <c r="D94" i="3"/>
  <c r="E94" i="3"/>
  <c r="D93" i="3"/>
  <c r="E93" i="3"/>
  <c r="D92" i="3"/>
  <c r="E92" i="3"/>
  <c r="D91" i="3"/>
  <c r="E91" i="3"/>
  <c r="D86" i="3"/>
  <c r="E86" i="3"/>
  <c r="D85" i="3"/>
  <c r="E85" i="3"/>
  <c r="D84" i="3"/>
  <c r="E84" i="3"/>
  <c r="D83" i="3"/>
  <c r="E83" i="3"/>
  <c r="D82" i="3"/>
  <c r="E82" i="3"/>
  <c r="D81" i="3"/>
  <c r="E81" i="3"/>
  <c r="D80" i="3"/>
  <c r="E80" i="3"/>
  <c r="D79" i="3"/>
  <c r="E79" i="3"/>
  <c r="D78" i="3"/>
  <c r="E78" i="3"/>
  <c r="D77" i="3"/>
  <c r="E77" i="3"/>
  <c r="D76" i="3"/>
  <c r="E76" i="3"/>
  <c r="D75" i="3"/>
  <c r="E75" i="3"/>
  <c r="D74" i="3"/>
  <c r="E74" i="3"/>
  <c r="D69" i="3"/>
  <c r="E69" i="3"/>
  <c r="D68" i="3"/>
  <c r="E68" i="3"/>
  <c r="D67" i="3"/>
  <c r="E67" i="3"/>
  <c r="D66" i="3"/>
  <c r="E66" i="3"/>
  <c r="D65" i="3"/>
  <c r="E65" i="3"/>
  <c r="D64" i="3"/>
  <c r="E64" i="3"/>
  <c r="D63" i="3"/>
  <c r="E63" i="3"/>
  <c r="D62" i="3"/>
  <c r="E62" i="3"/>
  <c r="D61" i="3"/>
  <c r="E61" i="3"/>
  <c r="D60" i="3"/>
  <c r="E60" i="3"/>
  <c r="D59" i="3"/>
  <c r="E59" i="3"/>
  <c r="D58" i="3"/>
  <c r="E58" i="3"/>
  <c r="D57" i="3"/>
  <c r="E57" i="3"/>
  <c r="D52" i="3"/>
  <c r="E52" i="3"/>
  <c r="D51" i="3"/>
  <c r="E51" i="3"/>
  <c r="D50" i="3"/>
  <c r="E50" i="3"/>
  <c r="D49" i="3"/>
  <c r="E49" i="3"/>
  <c r="D48" i="3"/>
  <c r="E48" i="3"/>
  <c r="D47" i="3"/>
  <c r="E47" i="3"/>
  <c r="D46" i="3"/>
  <c r="E46" i="3"/>
  <c r="D45" i="3"/>
  <c r="E45" i="3"/>
  <c r="D44" i="3"/>
  <c r="E44" i="3"/>
  <c r="D43" i="3"/>
  <c r="E43" i="3"/>
  <c r="D42" i="3"/>
  <c r="E42" i="3"/>
  <c r="D41" i="3"/>
  <c r="E41" i="3"/>
  <c r="D40" i="3"/>
  <c r="E40" i="3"/>
  <c r="M18" i="3"/>
  <c r="N18" i="3"/>
  <c r="M17" i="3"/>
  <c r="N17" i="3"/>
  <c r="M16" i="3"/>
  <c r="N16" i="3"/>
  <c r="M15" i="3"/>
  <c r="N15" i="3"/>
  <c r="M14" i="3"/>
  <c r="N14" i="3"/>
  <c r="M13" i="3"/>
  <c r="N13" i="3"/>
  <c r="M12" i="3"/>
  <c r="N12" i="3"/>
  <c r="M11" i="3"/>
  <c r="N11" i="3"/>
  <c r="M10" i="3"/>
  <c r="N10" i="3"/>
  <c r="M9" i="3"/>
  <c r="N9" i="3"/>
  <c r="M8" i="3"/>
  <c r="N8" i="3"/>
  <c r="M7" i="3"/>
  <c r="N7" i="3"/>
  <c r="M6" i="3"/>
  <c r="N6" i="3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G6" i="1"/>
  <c r="G7" i="1"/>
  <c r="G8" i="1"/>
  <c r="G9" i="1"/>
  <c r="G10" i="1"/>
  <c r="G11" i="1"/>
  <c r="G13" i="1"/>
  <c r="G14" i="1"/>
  <c r="G15" i="1"/>
  <c r="G17" i="1"/>
  <c r="G18" i="1"/>
  <c r="G19" i="1"/>
  <c r="P37" i="1"/>
  <c r="P55" i="1"/>
  <c r="G55" i="1"/>
  <c r="P73" i="1"/>
  <c r="P91" i="1"/>
  <c r="P109" i="1"/>
  <c r="G109" i="1"/>
  <c r="G91" i="1"/>
  <c r="G33" i="1"/>
  <c r="G32" i="1"/>
  <c r="G31" i="1"/>
  <c r="G27" i="1"/>
  <c r="G26" i="1"/>
  <c r="G24" i="1"/>
  <c r="G25" i="1"/>
  <c r="G28" i="1"/>
  <c r="G29" i="1"/>
  <c r="G30" i="1"/>
  <c r="G34" i="1"/>
  <c r="G37" i="1"/>
  <c r="G73" i="1"/>
  <c r="P19" i="1"/>
  <c r="M108" i="1"/>
  <c r="N108" i="1"/>
  <c r="D108" i="1"/>
  <c r="E108" i="1"/>
  <c r="M107" i="1"/>
  <c r="N107" i="1"/>
  <c r="D107" i="1"/>
  <c r="E107" i="1"/>
  <c r="M106" i="1"/>
  <c r="N106" i="1"/>
  <c r="D106" i="1"/>
  <c r="E106" i="1"/>
  <c r="M105" i="1"/>
  <c r="N105" i="1"/>
  <c r="D105" i="1"/>
  <c r="E105" i="1"/>
  <c r="M104" i="1"/>
  <c r="N104" i="1"/>
  <c r="D104" i="1"/>
  <c r="E104" i="1"/>
  <c r="M103" i="1"/>
  <c r="N103" i="1"/>
  <c r="D103" i="1"/>
  <c r="E103" i="1"/>
  <c r="M102" i="1"/>
  <c r="N102" i="1"/>
  <c r="D102" i="1"/>
  <c r="E102" i="1"/>
  <c r="M101" i="1"/>
  <c r="N101" i="1"/>
  <c r="D101" i="1"/>
  <c r="E101" i="1"/>
  <c r="M100" i="1"/>
  <c r="N100" i="1"/>
  <c r="D100" i="1"/>
  <c r="E100" i="1"/>
  <c r="M99" i="1"/>
  <c r="N99" i="1"/>
  <c r="D99" i="1"/>
  <c r="E99" i="1"/>
  <c r="M98" i="1"/>
  <c r="N98" i="1"/>
  <c r="D98" i="1"/>
  <c r="E98" i="1"/>
  <c r="M97" i="1"/>
  <c r="N97" i="1"/>
  <c r="D97" i="1"/>
  <c r="E97" i="1"/>
  <c r="M96" i="1"/>
  <c r="N96" i="1"/>
  <c r="D96" i="1"/>
  <c r="E96" i="1"/>
  <c r="M90" i="1"/>
  <c r="N90" i="1"/>
  <c r="D90" i="1"/>
  <c r="E90" i="1"/>
  <c r="M89" i="1"/>
  <c r="N89" i="1"/>
  <c r="D89" i="1"/>
  <c r="E89" i="1"/>
  <c r="M88" i="1"/>
  <c r="N88" i="1"/>
  <c r="D88" i="1"/>
  <c r="E88" i="1"/>
  <c r="M87" i="1"/>
  <c r="N87" i="1"/>
  <c r="D87" i="1"/>
  <c r="E87" i="1"/>
  <c r="M86" i="1"/>
  <c r="N86" i="1"/>
  <c r="D86" i="1"/>
  <c r="E86" i="1"/>
  <c r="M85" i="1"/>
  <c r="N85" i="1"/>
  <c r="D85" i="1"/>
  <c r="E85" i="1"/>
  <c r="M84" i="1"/>
  <c r="N84" i="1"/>
  <c r="D84" i="1"/>
  <c r="E84" i="1"/>
  <c r="M83" i="1"/>
  <c r="N83" i="1"/>
  <c r="D83" i="1"/>
  <c r="E83" i="1"/>
  <c r="M82" i="1"/>
  <c r="N82" i="1"/>
  <c r="D82" i="1"/>
  <c r="E82" i="1"/>
  <c r="M81" i="1"/>
  <c r="N81" i="1"/>
  <c r="D81" i="1"/>
  <c r="E81" i="1"/>
  <c r="M80" i="1"/>
  <c r="N80" i="1"/>
  <c r="D80" i="1"/>
  <c r="E80" i="1"/>
  <c r="M79" i="1"/>
  <c r="N79" i="1"/>
  <c r="D79" i="1"/>
  <c r="E79" i="1"/>
  <c r="M78" i="1"/>
  <c r="N78" i="1"/>
  <c r="D78" i="1"/>
  <c r="E78" i="1"/>
  <c r="M72" i="1"/>
  <c r="N72" i="1"/>
  <c r="D72" i="1"/>
  <c r="E72" i="1"/>
  <c r="M71" i="1"/>
  <c r="N71" i="1"/>
  <c r="D71" i="1"/>
  <c r="E71" i="1"/>
  <c r="M70" i="1"/>
  <c r="N70" i="1"/>
  <c r="D70" i="1"/>
  <c r="E70" i="1"/>
  <c r="M69" i="1"/>
  <c r="N69" i="1"/>
  <c r="D69" i="1"/>
  <c r="E69" i="1"/>
  <c r="M68" i="1"/>
  <c r="N68" i="1"/>
  <c r="D68" i="1"/>
  <c r="E68" i="1"/>
  <c r="M67" i="1"/>
  <c r="N67" i="1"/>
  <c r="D67" i="1"/>
  <c r="E67" i="1"/>
  <c r="M66" i="1"/>
  <c r="N66" i="1"/>
  <c r="D66" i="1"/>
  <c r="E66" i="1"/>
  <c r="M65" i="1"/>
  <c r="N65" i="1"/>
  <c r="D65" i="1"/>
  <c r="E65" i="1"/>
  <c r="M64" i="1"/>
  <c r="N64" i="1"/>
  <c r="D64" i="1"/>
  <c r="E64" i="1"/>
  <c r="M63" i="1"/>
  <c r="N63" i="1"/>
  <c r="D63" i="1"/>
  <c r="E63" i="1"/>
  <c r="M62" i="1"/>
  <c r="N62" i="1"/>
  <c r="D62" i="1"/>
  <c r="E62" i="1"/>
  <c r="M61" i="1"/>
  <c r="N61" i="1"/>
  <c r="D61" i="1"/>
  <c r="E61" i="1"/>
  <c r="M60" i="1"/>
  <c r="N60" i="1"/>
  <c r="D60" i="1"/>
  <c r="E60" i="1"/>
  <c r="M54" i="1"/>
  <c r="N54" i="1"/>
  <c r="D54" i="1"/>
  <c r="E54" i="1"/>
  <c r="M53" i="1"/>
  <c r="N53" i="1"/>
  <c r="D53" i="1"/>
  <c r="E53" i="1"/>
  <c r="M52" i="1"/>
  <c r="N52" i="1"/>
  <c r="D52" i="1"/>
  <c r="E52" i="1"/>
  <c r="M51" i="1"/>
  <c r="N51" i="1"/>
  <c r="D51" i="1"/>
  <c r="E51" i="1"/>
  <c r="M50" i="1"/>
  <c r="N50" i="1"/>
  <c r="D50" i="1"/>
  <c r="E50" i="1"/>
  <c r="M49" i="1"/>
  <c r="N49" i="1"/>
  <c r="D49" i="1"/>
  <c r="E49" i="1"/>
  <c r="M48" i="1"/>
  <c r="N48" i="1"/>
  <c r="D48" i="1"/>
  <c r="E48" i="1"/>
  <c r="M47" i="1"/>
  <c r="N47" i="1"/>
  <c r="D47" i="1"/>
  <c r="E47" i="1"/>
  <c r="M46" i="1"/>
  <c r="N46" i="1"/>
  <c r="D46" i="1"/>
  <c r="E46" i="1"/>
  <c r="M45" i="1"/>
  <c r="N45" i="1"/>
  <c r="D45" i="1"/>
  <c r="E45" i="1"/>
  <c r="M44" i="1"/>
  <c r="N44" i="1"/>
  <c r="D44" i="1"/>
  <c r="E44" i="1"/>
  <c r="M43" i="1"/>
  <c r="N43" i="1"/>
  <c r="D43" i="1"/>
  <c r="E43" i="1"/>
  <c r="M42" i="1"/>
  <c r="N42" i="1"/>
  <c r="D42" i="1"/>
  <c r="E42" i="1"/>
  <c r="M36" i="1"/>
  <c r="N36" i="1"/>
  <c r="D36" i="1"/>
  <c r="E36" i="1"/>
  <c r="M35" i="1"/>
  <c r="N35" i="1"/>
  <c r="D35" i="1"/>
  <c r="E35" i="1"/>
  <c r="M34" i="1"/>
  <c r="N34" i="1"/>
  <c r="D34" i="1"/>
  <c r="E34" i="1"/>
  <c r="M33" i="1"/>
  <c r="N33" i="1"/>
  <c r="D33" i="1"/>
  <c r="E33" i="1"/>
  <c r="M32" i="1"/>
  <c r="N32" i="1"/>
  <c r="D32" i="1"/>
  <c r="E32" i="1"/>
  <c r="M31" i="1"/>
  <c r="N31" i="1"/>
  <c r="D31" i="1"/>
  <c r="E31" i="1"/>
  <c r="M30" i="1"/>
  <c r="N30" i="1"/>
  <c r="D30" i="1"/>
  <c r="E30" i="1"/>
  <c r="M29" i="1"/>
  <c r="N29" i="1"/>
  <c r="D29" i="1"/>
  <c r="E29" i="1"/>
  <c r="M28" i="1"/>
  <c r="N28" i="1"/>
  <c r="D28" i="1"/>
  <c r="E28" i="1"/>
  <c r="M27" i="1"/>
  <c r="N27" i="1"/>
  <c r="D27" i="1"/>
  <c r="E27" i="1"/>
  <c r="M26" i="1"/>
  <c r="N26" i="1"/>
  <c r="D26" i="1"/>
  <c r="E26" i="1"/>
  <c r="M25" i="1"/>
  <c r="N25" i="1"/>
  <c r="D25" i="1"/>
  <c r="E25" i="1"/>
  <c r="M24" i="1"/>
  <c r="N24" i="1"/>
  <c r="D24" i="1"/>
  <c r="E24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</calcChain>
</file>

<file path=xl/sharedStrings.xml><?xml version="1.0" encoding="utf-8"?>
<sst xmlns="http://schemas.openxmlformats.org/spreadsheetml/2006/main" count="788" uniqueCount="198">
  <si>
    <t>Survey 1</t>
  </si>
  <si>
    <t>Male</t>
  </si>
  <si>
    <t>Female</t>
  </si>
  <si>
    <t>Male - Female</t>
  </si>
  <si>
    <t>|Male - Female|</t>
  </si>
  <si>
    <t>Rank</t>
  </si>
  <si>
    <t>S. Rank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</si>
  <si>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</si>
  <si>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</si>
  <si>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</si>
  <si>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</si>
  <si>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</si>
  <si>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</si>
  <si>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</si>
  <si>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</si>
  <si>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</si>
  <si>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</si>
  <si>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</si>
  <si>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</si>
  <si>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</si>
  <si>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Good Percentage</t>
  </si>
  <si>
    <t>Average Percentage</t>
  </si>
  <si>
    <t>Survey 2</t>
  </si>
  <si>
    <t>Survey 6</t>
  </si>
  <si>
    <t>Survey 5</t>
  </si>
  <si>
    <t>Survey 4</t>
  </si>
  <si>
    <t>Survey 3</t>
  </si>
  <si>
    <t>Total</t>
  </si>
  <si>
    <t>The p-value is 0.00758.</t>
  </si>
  <si>
    <t>The Original Data - Numbers</t>
  </si>
  <si>
    <t>The Original Data - Percent</t>
  </si>
  <si>
    <t>Good Numbers</t>
  </si>
  <si>
    <t>Average Numbers</t>
  </si>
  <si>
    <t>two-tailed</t>
  </si>
  <si>
    <t>sig = 0.05</t>
  </si>
  <si>
    <t>n/a</t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</si>
  <si>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45.5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</si>
  <si>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14.31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</si>
  <si>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13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</si>
  <si>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39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</si>
  <si>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12.75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</si>
  <si>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12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</si>
  <si>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33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</si>
  <si>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11.25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</si>
  <si>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11</t>
    </r>
  </si>
  <si>
    <t xml:space="preserve">The p-value is 0.5287. </t>
  </si>
  <si>
    <t>The p-value is 0.00262.</t>
  </si>
  <si>
    <t>The p-value is 0.00854.</t>
  </si>
  <si>
    <r>
      <t>Sum of neg. ranks</t>
    </r>
    <r>
      <rPr>
        <i/>
        <sz val="15"/>
        <color theme="1"/>
        <rFont val="Calibri"/>
        <family val="2"/>
        <scheme val="minor"/>
      </rPr>
      <t>: 62</t>
    </r>
  </si>
  <si>
    <t>The p-value is 0.00988.</t>
  </si>
  <si>
    <t>The p-value is 0.01352.</t>
  </si>
  <si>
    <r>
      <t>W-value</t>
    </r>
    <r>
      <rPr>
        <i/>
        <sz val="15"/>
        <color theme="1"/>
        <rFont val="Calibri"/>
        <family val="2"/>
        <scheme val="minor"/>
      </rPr>
      <t>: 7</t>
    </r>
  </si>
  <si>
    <r>
      <t>Mean Difference</t>
    </r>
    <r>
      <rPr>
        <i/>
        <sz val="15"/>
        <color theme="1"/>
        <rFont val="Calibri"/>
        <family val="2"/>
        <scheme val="minor"/>
      </rPr>
      <t>: 745.33</t>
    </r>
  </si>
  <si>
    <r>
      <t>Sum of pos. ranks</t>
    </r>
    <r>
      <rPr>
        <i/>
        <sz val="15"/>
        <color theme="1"/>
        <rFont val="Calibri"/>
        <family val="2"/>
        <scheme val="minor"/>
      </rPr>
      <t>: 7</t>
    </r>
  </si>
  <si>
    <r>
      <t>Sum of neg. ranks</t>
    </r>
    <r>
      <rPr>
        <i/>
        <sz val="15"/>
        <color theme="1"/>
        <rFont val="Calibri"/>
        <family val="2"/>
        <scheme val="minor"/>
      </rPr>
      <t>: 71</t>
    </r>
  </si>
  <si>
    <r>
      <t>Z-value</t>
    </r>
    <r>
      <rPr>
        <i/>
        <sz val="15"/>
        <color theme="1"/>
        <rFont val="Calibri"/>
        <family val="2"/>
        <scheme val="minor"/>
      </rPr>
      <t>: -2.5103</t>
    </r>
  </si>
  <si>
    <t>The p-value is 0.01208.</t>
  </si>
  <si>
    <r>
      <t>W-value</t>
    </r>
    <r>
      <rPr>
        <i/>
        <sz val="15"/>
        <color theme="1"/>
        <rFont val="Calibri"/>
        <family val="2"/>
        <scheme val="minor"/>
      </rPr>
      <t>: 3</t>
    </r>
  </si>
  <si>
    <r>
      <t>Mean Difference</t>
    </r>
    <r>
      <rPr>
        <i/>
        <sz val="15"/>
        <color theme="1"/>
        <rFont val="Calibri"/>
        <family val="2"/>
        <scheme val="minor"/>
      </rPr>
      <t>: 344.36</t>
    </r>
  </si>
  <si>
    <r>
      <t>Sum of pos. ranks</t>
    </r>
    <r>
      <rPr>
        <i/>
        <sz val="15"/>
        <color theme="1"/>
        <rFont val="Calibri"/>
        <family val="2"/>
        <scheme val="minor"/>
      </rPr>
      <t>: 63</t>
    </r>
  </si>
  <si>
    <r>
      <t>Sum of neg. ranks</t>
    </r>
    <r>
      <rPr>
        <i/>
        <sz val="15"/>
        <color theme="1"/>
        <rFont val="Calibri"/>
        <family val="2"/>
        <scheme val="minor"/>
      </rPr>
      <t>: 3</t>
    </r>
  </si>
  <si>
    <r>
      <t>Z-value</t>
    </r>
    <r>
      <rPr>
        <i/>
        <sz val="15"/>
        <color theme="1"/>
        <rFont val="Calibri"/>
        <family val="2"/>
        <scheme val="minor"/>
      </rPr>
      <t>: -2.6673</t>
    </r>
  </si>
  <si>
    <r>
      <t>W-value</t>
    </r>
    <r>
      <rPr>
        <i/>
        <sz val="15"/>
        <color theme="1"/>
        <rFont val="Calibri"/>
        <family val="2"/>
        <scheme val="minor"/>
      </rPr>
      <t>: 1</t>
    </r>
  </si>
  <si>
    <r>
      <t>Mean Difference</t>
    </r>
    <r>
      <rPr>
        <i/>
        <sz val="15"/>
        <color theme="1"/>
        <rFont val="Calibri"/>
        <family val="2"/>
        <scheme val="minor"/>
      </rPr>
      <t>: 743.7</t>
    </r>
  </si>
  <si>
    <r>
      <t>Sum of pos. ranks</t>
    </r>
    <r>
      <rPr>
        <i/>
        <sz val="15"/>
        <color theme="1"/>
        <rFont val="Calibri"/>
        <family val="2"/>
        <scheme val="minor"/>
      </rPr>
      <t>: 1</t>
    </r>
  </si>
  <si>
    <r>
      <t>Sum of neg. ranks</t>
    </r>
    <r>
      <rPr>
        <i/>
        <sz val="15"/>
        <color theme="1"/>
        <rFont val="Calibri"/>
        <family val="2"/>
        <scheme val="minor"/>
      </rPr>
      <t>: 54</t>
    </r>
  </si>
  <si>
    <r>
      <t>Z-value</t>
    </r>
    <r>
      <rPr>
        <i/>
        <sz val="15"/>
        <color theme="1"/>
        <rFont val="Calibri"/>
        <family val="2"/>
        <scheme val="minor"/>
      </rPr>
      <t>: -2.7011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</si>
  <si>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27.5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</si>
  <si>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9.81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</si>
  <si>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10</t>
    </r>
  </si>
  <si>
    <t>The p-value is 0.00694.</t>
  </si>
  <si>
    <t>The result is significant</t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</si>
  <si>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45.5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</si>
  <si>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39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</si>
  <si>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14.31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</si>
  <si>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12.75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</si>
  <si>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13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</si>
  <si>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12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</si>
  <si>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33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</si>
  <si>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11.25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</si>
  <si>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11</t>
    </r>
  </si>
  <si>
    <t>W-value: 2.5</t>
  </si>
  <si>
    <t>W-value: 5.5</t>
  </si>
  <si>
    <t>Mean Difference: 639.08</t>
  </si>
  <si>
    <t>Mean Difference: 415.67</t>
  </si>
  <si>
    <t>Sum of pos. ranks: 2.5</t>
  </si>
  <si>
    <t>Sum of pos. ranks: 72.5</t>
  </si>
  <si>
    <t>Sum of neg. ranks: 88.5</t>
  </si>
  <si>
    <t>Sum of neg. ranks: 5.5</t>
  </si>
  <si>
    <t>Z-value: -3.0051</t>
  </si>
  <si>
    <t>Z-value: -2.628</t>
  </si>
  <si>
    <t>W-value: 4</t>
  </si>
  <si>
    <t>W-value: 7.5</t>
  </si>
  <si>
    <t>Mean Difference: 690.64</t>
  </si>
  <si>
    <t>Mean Difference: 324.33</t>
  </si>
  <si>
    <t>Sum of pos. ranks: 4</t>
  </si>
  <si>
    <t>Sum of pos. ranks: 70.5</t>
  </si>
  <si>
    <t>Sum of neg. ranks: 62</t>
  </si>
  <si>
    <t>Sum of neg. ranks: 7.5</t>
  </si>
  <si>
    <t>Z-value: -2.5784</t>
  </si>
  <si>
    <t>Z-value: -2.4711</t>
  </si>
  <si>
    <r>
      <t>W-value</t>
    </r>
    <r>
      <rPr>
        <i/>
        <sz val="15"/>
        <color theme="1"/>
        <rFont val="Calibri"/>
        <family val="2"/>
        <scheme val="minor"/>
      </rPr>
      <t>: 13.5</t>
    </r>
  </si>
  <si>
    <r>
      <t>Mean Difference</t>
    </r>
    <r>
      <rPr>
        <i/>
        <sz val="15"/>
        <color theme="1"/>
        <rFont val="Calibri"/>
        <family val="2"/>
        <scheme val="minor"/>
      </rPr>
      <t>: 411.83</t>
    </r>
  </si>
  <si>
    <r>
      <t>Sum of pos. ranks</t>
    </r>
    <r>
      <rPr>
        <i/>
        <sz val="15"/>
        <color theme="1"/>
        <rFont val="Calibri"/>
        <family val="2"/>
        <scheme val="minor"/>
      </rPr>
      <t>: 64.5</t>
    </r>
  </si>
  <si>
    <r>
      <t>Sum of neg. ranks</t>
    </r>
    <r>
      <rPr>
        <i/>
        <sz val="15"/>
        <color theme="1"/>
        <rFont val="Calibri"/>
        <family val="2"/>
        <scheme val="minor"/>
      </rPr>
      <t>: 13.5</t>
    </r>
  </si>
  <si>
    <r>
      <t>Z-value</t>
    </r>
    <r>
      <rPr>
        <i/>
        <sz val="15"/>
        <color theme="1"/>
        <rFont val="Calibri"/>
        <family val="2"/>
        <scheme val="minor"/>
      </rPr>
      <t>: -2.0004</t>
    </r>
  </si>
  <si>
    <t>The p-value is 0.0455.</t>
  </si>
  <si>
    <r>
      <t>W-value</t>
    </r>
    <r>
      <rPr>
        <i/>
        <sz val="15"/>
        <color theme="1"/>
        <rFont val="Calibri"/>
        <family val="2"/>
        <scheme val="minor"/>
      </rPr>
      <t>: 16</t>
    </r>
  </si>
  <si>
    <r>
      <t>Mean Difference</t>
    </r>
    <r>
      <rPr>
        <i/>
        <sz val="15"/>
        <color theme="1"/>
        <rFont val="Calibri"/>
        <family val="2"/>
        <scheme val="minor"/>
      </rPr>
      <t>: 765.33</t>
    </r>
  </si>
  <si>
    <r>
      <t>Sum of pos. ranks</t>
    </r>
    <r>
      <rPr>
        <i/>
        <sz val="15"/>
        <color theme="1"/>
        <rFont val="Calibri"/>
        <family val="2"/>
        <scheme val="minor"/>
      </rPr>
      <t>: 16</t>
    </r>
  </si>
  <si>
    <r>
      <t>Z-value</t>
    </r>
    <r>
      <rPr>
        <i/>
        <sz val="15"/>
        <color theme="1"/>
        <rFont val="Calibri"/>
        <family val="2"/>
        <scheme val="minor"/>
      </rPr>
      <t>: -1.8043</t>
    </r>
  </si>
  <si>
    <t>The p-value is 0.07186.</t>
  </si>
  <si>
    <r>
      <t xml:space="preserve">The result is </t>
    </r>
    <r>
      <rPr>
        <i/>
        <sz val="12"/>
        <color rgb="FFFF0000"/>
        <rFont val="Calibri"/>
        <family val="2"/>
        <scheme val="minor"/>
      </rPr>
      <t>not</t>
    </r>
    <r>
      <rPr>
        <sz val="12"/>
        <color rgb="FFFF0000"/>
        <rFont val="Calibri"/>
        <family val="2"/>
        <scheme val="minor"/>
      </rPr>
      <t xml:space="preserve"> significant</t>
    </r>
  </si>
  <si>
    <r>
      <t>W-value</t>
    </r>
    <r>
      <rPr>
        <i/>
        <sz val="15"/>
        <color theme="1"/>
        <rFont val="Calibri"/>
        <family val="2"/>
        <scheme val="minor"/>
      </rPr>
      <t>: 30</t>
    </r>
  </si>
  <si>
    <r>
      <t>Mean Difference</t>
    </r>
    <r>
      <rPr>
        <i/>
        <sz val="15"/>
        <color theme="1"/>
        <rFont val="Calibri"/>
        <family val="2"/>
        <scheme val="minor"/>
      </rPr>
      <t>: 361.27</t>
    </r>
  </si>
  <si>
    <r>
      <t>Sum of pos. ranks</t>
    </r>
    <r>
      <rPr>
        <i/>
        <sz val="15"/>
        <color theme="1"/>
        <rFont val="Calibri"/>
        <family val="2"/>
        <scheme val="minor"/>
      </rPr>
      <t>: 36</t>
    </r>
  </si>
  <si>
    <r>
      <t>Sum of neg. ranks</t>
    </r>
    <r>
      <rPr>
        <i/>
        <sz val="15"/>
        <color theme="1"/>
        <rFont val="Calibri"/>
        <family val="2"/>
        <scheme val="minor"/>
      </rPr>
      <t>: 30</t>
    </r>
  </si>
  <si>
    <r>
      <t>Z-value</t>
    </r>
    <r>
      <rPr>
        <i/>
        <sz val="15"/>
        <color theme="1"/>
        <rFont val="Calibri"/>
        <family val="2"/>
        <scheme val="minor"/>
      </rPr>
      <t>: -0.2667</t>
    </r>
  </si>
  <si>
    <r>
      <t>W-value</t>
    </r>
    <r>
      <rPr>
        <i/>
        <sz val="15"/>
        <color theme="1"/>
        <rFont val="Calibri"/>
        <family val="2"/>
        <scheme val="minor"/>
      </rPr>
      <t>: 31</t>
    </r>
  </si>
  <si>
    <r>
      <t>Mean Difference</t>
    </r>
    <r>
      <rPr>
        <i/>
        <sz val="15"/>
        <color theme="1"/>
        <rFont val="Calibri"/>
        <family val="2"/>
        <scheme val="minor"/>
      </rPr>
      <t>: 653.92</t>
    </r>
  </si>
  <si>
    <r>
      <t>Sum of pos. ranks</t>
    </r>
    <r>
      <rPr>
        <i/>
        <sz val="15"/>
        <color theme="1"/>
        <rFont val="Calibri"/>
        <family val="2"/>
        <scheme val="minor"/>
      </rPr>
      <t>: 31</t>
    </r>
  </si>
  <si>
    <r>
      <t>Sum of neg. ranks</t>
    </r>
    <r>
      <rPr>
        <i/>
        <sz val="15"/>
        <color theme="1"/>
        <rFont val="Calibri"/>
        <family val="2"/>
        <scheme val="minor"/>
      </rPr>
      <t>: 60</t>
    </r>
  </si>
  <si>
    <r>
      <t>Z-value</t>
    </r>
    <r>
      <rPr>
        <i/>
        <sz val="15"/>
        <color theme="1"/>
        <rFont val="Calibri"/>
        <family val="2"/>
        <scheme val="minor"/>
      </rPr>
      <t>: -1.0133</t>
    </r>
  </si>
  <si>
    <t>The p-value is 0.3125.</t>
  </si>
  <si>
    <r>
      <t>W-value</t>
    </r>
    <r>
      <rPr>
        <i/>
        <sz val="15"/>
        <color theme="1"/>
        <rFont val="Calibri"/>
        <family val="2"/>
        <scheme val="minor"/>
      </rPr>
      <t>: 20.5</t>
    </r>
  </si>
  <si>
    <r>
      <t>Mean Difference</t>
    </r>
    <r>
      <rPr>
        <i/>
        <sz val="15"/>
        <color theme="1"/>
        <rFont val="Calibri"/>
        <family val="2"/>
        <scheme val="minor"/>
      </rPr>
      <t>: 384.09</t>
    </r>
  </si>
  <si>
    <r>
      <t>Sum of pos. ranks</t>
    </r>
    <r>
      <rPr>
        <i/>
        <sz val="15"/>
        <color theme="1"/>
        <rFont val="Calibri"/>
        <family val="2"/>
        <scheme val="minor"/>
      </rPr>
      <t>: 45.5</t>
    </r>
  </si>
  <si>
    <r>
      <t>Sum of neg. ranks</t>
    </r>
    <r>
      <rPr>
        <i/>
        <sz val="15"/>
        <color theme="1"/>
        <rFont val="Calibri"/>
        <family val="2"/>
        <scheme val="minor"/>
      </rPr>
      <t>: 20.5</t>
    </r>
  </si>
  <si>
    <r>
      <t>Z-value</t>
    </r>
    <r>
      <rPr>
        <i/>
        <sz val="15"/>
        <color theme="1"/>
        <rFont val="Calibri"/>
        <family val="2"/>
        <scheme val="minor"/>
      </rPr>
      <t>: -1.1114</t>
    </r>
  </si>
  <si>
    <t>The p-value is 0.267.</t>
  </si>
  <si>
    <t>The p-value is 0.00466.</t>
  </si>
  <si>
    <t>The p-value is 0.00298.</t>
  </si>
  <si>
    <r>
      <t>W-value</t>
    </r>
    <r>
      <rPr>
        <sz val="12"/>
        <color theme="1"/>
        <rFont val="Calibri"/>
        <family val="2"/>
        <scheme val="minor"/>
      </rPr>
      <t>: 3</t>
    </r>
  </si>
  <si>
    <r>
      <t>Mean Difference</t>
    </r>
    <r>
      <rPr>
        <sz val="12"/>
        <color theme="1"/>
        <rFont val="Calibri"/>
        <family val="2"/>
        <scheme val="minor"/>
      </rPr>
      <t>: 11.69</t>
    </r>
  </si>
  <si>
    <r>
      <t>Sum of pos. ranks</t>
    </r>
    <r>
      <rPr>
        <sz val="12"/>
        <color theme="1"/>
        <rFont val="Calibri"/>
        <family val="2"/>
        <scheme val="minor"/>
      </rPr>
      <t>: 88</t>
    </r>
  </si>
  <si>
    <r>
      <t>Sum of neg. ranks</t>
    </r>
    <r>
      <rPr>
        <sz val="12"/>
        <color theme="1"/>
        <rFont val="Calibri"/>
        <family val="2"/>
        <scheme val="minor"/>
      </rPr>
      <t>: 3</t>
    </r>
  </si>
  <si>
    <r>
      <t>Z-value</t>
    </r>
    <r>
      <rPr>
        <sz val="12"/>
        <color theme="1"/>
        <rFont val="Calibri"/>
        <family val="2"/>
        <scheme val="minor"/>
      </rPr>
      <t>: -2.9701</t>
    </r>
  </si>
  <si>
    <t>W-value: 5</t>
  </si>
  <si>
    <t>Mean Difference: -11.5</t>
  </si>
  <si>
    <t>Sum of pos. ranks: 5</t>
  </si>
  <si>
    <t>Sum of neg. ranks: 86</t>
  </si>
  <si>
    <t>Z-value: -2.8304</t>
  </si>
  <si>
    <t>The p-value is 0.11642.</t>
  </si>
  <si>
    <t>The p-value is 0.01596.</t>
  </si>
  <si>
    <t>The p-value is 0.25014.</t>
  </si>
  <si>
    <t>The p-value is 0.01078.</t>
  </si>
  <si>
    <t>The p-value is 0.0466.</t>
  </si>
  <si>
    <t>The p-value is 0.0232.</t>
  </si>
  <si>
    <t>The p-value is 0.75656.</t>
  </si>
  <si>
    <t>The p-value is 0.19706.</t>
  </si>
  <si>
    <t>The p-value is 0.15272.</t>
  </si>
  <si>
    <t>W-value: 23</t>
  </si>
  <si>
    <t>W-value: 11</t>
  </si>
  <si>
    <t>Mean Difference: -13.44</t>
  </si>
  <si>
    <t>Mean Difference: 11.55</t>
  </si>
  <si>
    <t>Sum of pos. ranks: 23</t>
  </si>
  <si>
    <t>Sum of pos. ranks: 80</t>
  </si>
  <si>
    <t>Sum of neg. ranks: 68</t>
  </si>
  <si>
    <t>Sum of neg. ranks: 11</t>
  </si>
  <si>
    <t>Z-value: -1.5724</t>
  </si>
  <si>
    <t>Z-value: -2.4111</t>
  </si>
  <si>
    <t>W-value: 29</t>
  </si>
  <si>
    <t>W-value: 9</t>
  </si>
  <si>
    <t>Mean Difference: -7.82</t>
  </si>
  <si>
    <t>Mean Difference: 8.45</t>
  </si>
  <si>
    <t>Sum of pos. ranks: 29</t>
  </si>
  <si>
    <t>Sum of pos. ranks: 82</t>
  </si>
  <si>
    <t>Sum of neg. ranks: 9</t>
  </si>
  <si>
    <t>Z-value: -1.1531</t>
  </si>
  <si>
    <t>Z-value: -2.5508</t>
  </si>
  <si>
    <t>W-value: 17</t>
  </si>
  <si>
    <t>W-value: 13</t>
  </si>
  <si>
    <t>Mean Difference: -10.52</t>
  </si>
  <si>
    <t>Mean Difference: 8.97</t>
  </si>
  <si>
    <t>Sum of pos. ranks: 17</t>
  </si>
  <si>
    <t>Sum of pos. ranks: 78</t>
  </si>
  <si>
    <t>Sum of neg. ranks: 74</t>
  </si>
  <si>
    <t>Sum of neg. ranks: 13</t>
  </si>
  <si>
    <t>Z-value: -1.9917</t>
  </si>
  <si>
    <t>Z-value: -2.2713</t>
  </si>
  <si>
    <t>W-value: 41</t>
  </si>
  <si>
    <t>Mean Difference: -6.15</t>
  </si>
  <si>
    <t>Mean Difference: 5.57</t>
  </si>
  <si>
    <t>Sum of pos. ranks: 50</t>
  </si>
  <si>
    <t>Sum of pos. ranks: 74</t>
  </si>
  <si>
    <t>Sum of neg. ranks: 41</t>
  </si>
  <si>
    <t>Sum of neg. ranks: 17</t>
  </si>
  <si>
    <t>Z-value: -0.3145</t>
  </si>
  <si>
    <t>W-value: 27</t>
  </si>
  <si>
    <t>W-value: 25</t>
  </si>
  <si>
    <t>Mean Difference: -10.01</t>
  </si>
  <si>
    <t>Mean Difference: 10.32</t>
  </si>
  <si>
    <t>Sum of pos. ranks: 64</t>
  </si>
  <si>
    <t>Sum of pos. ranks: 66</t>
  </si>
  <si>
    <t>Sum of neg. ranks: 27</t>
  </si>
  <si>
    <t>Sum of neg. ranks: 25</t>
  </si>
  <si>
    <t>Z-value: -1.2929</t>
  </si>
  <si>
    <t>Z-value: -1.4327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</si>
</sst>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scheme val="minor"/>
    </font>
    <font>
      <i/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4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/>
    <xf numFmtId="0" fontId="5" fillId="0" borderId="0" xfId="0" applyFont="1"/>
    <xf numFmtId="0" fontId="2" fillId="0" borderId="0" xfId="0" applyFont="1" applyBorder="1" applyAlignment="1">
      <alignment horizontal="left"/>
    </xf>
    <xf numFmtId="0" fontId="6" fillId="0" borderId="0" xfId="0" applyFont="1"/>
    <xf numFmtId="0" fontId="0" fillId="0" borderId="0" xfId="0" applyFont="1"/>
    <xf numFmtId="0" fontId="0" fillId="0" borderId="2" xfId="0" applyFont="1" applyBorder="1"/>
    <xf numFmtId="0" fontId="0" fillId="0" borderId="1" xfId="0" applyFont="1" applyBorder="1"/>
    <xf numFmtId="0" fontId="0" fillId="0" borderId="0" xfId="0" applyFont="1" applyBorder="1"/>
    <xf numFmtId="0" fontId="7" fillId="0" borderId="0" xfId="0" applyFont="1"/>
    <xf numFmtId="0" fontId="5" fillId="0" borderId="0" xfId="0" applyFont="1" applyBorder="1"/>
    <xf numFmtId="0" fontId="8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8" fillId="0" borderId="0" xfId="0" applyFont="1"/>
    <xf numFmtId="0" fontId="10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6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tabSelected="1" topLeftCell="A52" zoomScale="125" zoomScaleNormal="125" zoomScalePageLayoutView="125" workbookViewId="0">
      <selection activeCell="D1" sqref="D1"/>
    </sheetView>
  </sheetViews>
  <sheetFormatPr baseColWidth="10" defaultRowHeight="16" x14ac:dyDescent="0.2"/>
  <cols>
    <col min="1" max="1" width="25.1640625" style="9" bestFit="1" customWidth="1"/>
    <col min="2" max="3" width="10.83203125" style="9"/>
    <col min="4" max="4" width="13" style="9" bestFit="1" customWidth="1"/>
    <col min="5" max="5" width="15" style="9" bestFit="1" customWidth="1"/>
    <col min="6" max="6" width="10.83203125" style="9"/>
    <col min="7" max="7" width="13.1640625" style="6" bestFit="1" customWidth="1"/>
    <col min="8" max="8" width="25.83203125" style="6" bestFit="1" customWidth="1"/>
    <col min="9" max="9" width="8.33203125" style="9" bestFit="1" customWidth="1"/>
    <col min="10" max="10" width="25.1640625" style="9" bestFit="1" customWidth="1"/>
    <col min="11" max="12" width="10.83203125" style="9"/>
    <col min="13" max="13" width="13" style="9" bestFit="1" customWidth="1"/>
    <col min="14" max="14" width="15" style="9" bestFit="1" customWidth="1"/>
    <col min="15" max="15" width="10.83203125" style="9"/>
    <col min="16" max="16" width="10.83203125" style="6"/>
    <col min="17" max="17" width="25.83203125" style="9" bestFit="1" customWidth="1"/>
    <col min="18" max="16384" width="10.83203125" style="9"/>
  </cols>
  <sheetData>
    <row r="1" spans="1:17" s="1" customFormat="1" x14ac:dyDescent="0.2">
      <c r="A1" s="1" t="s">
        <v>30</v>
      </c>
      <c r="B1" s="1" t="s">
        <v>33</v>
      </c>
      <c r="C1" s="1" t="s">
        <v>34</v>
      </c>
      <c r="G1" s="18"/>
      <c r="H1" s="18"/>
      <c r="P1" s="18"/>
    </row>
    <row r="2" spans="1:17" x14ac:dyDescent="0.2">
      <c r="A2" s="1"/>
    </row>
    <row r="3" spans="1:17" x14ac:dyDescent="0.2">
      <c r="A3" s="1" t="s">
        <v>0</v>
      </c>
      <c r="J3" s="1" t="s">
        <v>0</v>
      </c>
    </row>
    <row r="4" spans="1:17" x14ac:dyDescent="0.2">
      <c r="A4" s="1"/>
    </row>
    <row r="5" spans="1:17" x14ac:dyDescent="0.2">
      <c r="A5" s="1" t="s">
        <v>20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15" t="s">
        <v>6</v>
      </c>
      <c r="J5" s="1" t="s">
        <v>21</v>
      </c>
      <c r="K5" s="3" t="s">
        <v>1</v>
      </c>
      <c r="L5" s="3" t="s">
        <v>2</v>
      </c>
      <c r="M5" s="3" t="s">
        <v>3</v>
      </c>
      <c r="N5" s="3" t="s">
        <v>4</v>
      </c>
      <c r="O5" s="3" t="s">
        <v>5</v>
      </c>
      <c r="P5" s="15" t="s">
        <v>6</v>
      </c>
    </row>
    <row r="6" spans="1:17" x14ac:dyDescent="0.2">
      <c r="A6" s="2" t="s">
        <v>7</v>
      </c>
      <c r="B6" s="9">
        <v>53.6</v>
      </c>
      <c r="C6" s="9">
        <v>57.6</v>
      </c>
      <c r="D6" s="9">
        <f t="shared" ref="D6:D18" si="0">B6-C6</f>
        <v>-4</v>
      </c>
      <c r="E6" s="9">
        <f t="shared" ref="E6:E18" si="1">ABS(D6)</f>
        <v>4</v>
      </c>
      <c r="F6" s="9">
        <v>7.5</v>
      </c>
      <c r="G6" s="6">
        <f t="shared" ref="G6:G11" si="2">F6*-1</f>
        <v>-7.5</v>
      </c>
      <c r="H6" s="8" t="s">
        <v>137</v>
      </c>
      <c r="J6" s="2" t="s">
        <v>7</v>
      </c>
      <c r="K6" s="9">
        <v>45.5</v>
      </c>
      <c r="L6" s="9">
        <v>40.4</v>
      </c>
      <c r="M6" s="9">
        <f t="shared" ref="M6:M18" si="3">K6-L6</f>
        <v>5.1000000000000014</v>
      </c>
      <c r="N6" s="9">
        <f t="shared" ref="N6:N18" si="4">ABS(M6)</f>
        <v>5.1000000000000014</v>
      </c>
      <c r="O6" s="9">
        <v>7</v>
      </c>
      <c r="P6" s="6">
        <v>7</v>
      </c>
      <c r="Q6" s="8" t="s">
        <v>132</v>
      </c>
    </row>
    <row r="7" spans="1:17" x14ac:dyDescent="0.2">
      <c r="A7" s="2" t="s">
        <v>8</v>
      </c>
      <c r="B7" s="9">
        <v>60.2</v>
      </c>
      <c r="C7" s="9">
        <v>66.7</v>
      </c>
      <c r="D7" s="9">
        <f t="shared" si="0"/>
        <v>-6.5</v>
      </c>
      <c r="E7" s="9">
        <f t="shared" si="1"/>
        <v>6.5</v>
      </c>
      <c r="F7" s="9">
        <v>11</v>
      </c>
      <c r="G7" s="6">
        <f t="shared" si="2"/>
        <v>-11</v>
      </c>
      <c r="H7" s="8" t="s">
        <v>138</v>
      </c>
      <c r="J7" s="2" t="s">
        <v>8</v>
      </c>
      <c r="K7" s="9">
        <v>39.299999999999997</v>
      </c>
      <c r="L7" s="9">
        <v>30.7</v>
      </c>
      <c r="M7" s="9">
        <f t="shared" si="3"/>
        <v>8.5999999999999979</v>
      </c>
      <c r="N7" s="9">
        <f t="shared" si="4"/>
        <v>8.5999999999999979</v>
      </c>
      <c r="O7" s="9">
        <v>12</v>
      </c>
      <c r="P7" s="6">
        <v>12</v>
      </c>
      <c r="Q7" s="8" t="s">
        <v>133</v>
      </c>
    </row>
    <row r="8" spans="1:17" x14ac:dyDescent="0.2">
      <c r="A8" s="2" t="s">
        <v>9</v>
      </c>
      <c r="B8" s="9">
        <v>55.7</v>
      </c>
      <c r="C8" s="9">
        <v>58.6</v>
      </c>
      <c r="D8" s="9">
        <f t="shared" si="0"/>
        <v>-2.8999999999999986</v>
      </c>
      <c r="E8" s="9">
        <f t="shared" si="1"/>
        <v>2.8999999999999986</v>
      </c>
      <c r="F8" s="9">
        <v>5</v>
      </c>
      <c r="G8" s="6">
        <f t="shared" si="2"/>
        <v>-5</v>
      </c>
      <c r="H8" s="8" t="s">
        <v>139</v>
      </c>
      <c r="J8" s="2" t="s">
        <v>9</v>
      </c>
      <c r="K8" s="9">
        <v>42.9</v>
      </c>
      <c r="L8" s="9">
        <v>39.700000000000003</v>
      </c>
      <c r="M8" s="9">
        <f t="shared" si="3"/>
        <v>3.1999999999999957</v>
      </c>
      <c r="N8" s="9">
        <f t="shared" si="4"/>
        <v>3.1999999999999957</v>
      </c>
      <c r="O8" s="9">
        <v>5</v>
      </c>
      <c r="P8" s="6">
        <v>5</v>
      </c>
      <c r="Q8" s="8" t="s">
        <v>134</v>
      </c>
    </row>
    <row r="9" spans="1:17" x14ac:dyDescent="0.2">
      <c r="A9" s="2" t="s">
        <v>10</v>
      </c>
      <c r="B9" s="9">
        <v>61.2</v>
      </c>
      <c r="C9" s="9">
        <v>67.8</v>
      </c>
      <c r="D9" s="9">
        <f t="shared" si="0"/>
        <v>-6.5999999999999943</v>
      </c>
      <c r="E9" s="9">
        <f t="shared" si="1"/>
        <v>6.5999999999999943</v>
      </c>
      <c r="F9" s="9">
        <v>12</v>
      </c>
      <c r="G9" s="6">
        <f t="shared" si="2"/>
        <v>-12</v>
      </c>
      <c r="H9" s="8" t="s">
        <v>140</v>
      </c>
      <c r="J9" s="2" t="s">
        <v>10</v>
      </c>
      <c r="K9" s="9">
        <v>37.799999999999997</v>
      </c>
      <c r="L9" s="9">
        <v>29.5</v>
      </c>
      <c r="M9" s="9">
        <f t="shared" si="3"/>
        <v>8.2999999999999972</v>
      </c>
      <c r="N9" s="9">
        <f t="shared" si="4"/>
        <v>8.2999999999999972</v>
      </c>
      <c r="O9" s="9">
        <v>11</v>
      </c>
      <c r="P9" s="6">
        <v>11</v>
      </c>
      <c r="Q9" s="8" t="s">
        <v>135</v>
      </c>
    </row>
    <row r="10" spans="1:17" x14ac:dyDescent="0.2">
      <c r="A10" s="2" t="s">
        <v>11</v>
      </c>
      <c r="B10" s="9">
        <v>67.7</v>
      </c>
      <c r="C10" s="9">
        <v>68.8</v>
      </c>
      <c r="D10" s="9">
        <f t="shared" si="0"/>
        <v>-1.0999999999999943</v>
      </c>
      <c r="E10" s="9">
        <f t="shared" si="1"/>
        <v>1.0999999999999943</v>
      </c>
      <c r="F10" s="9">
        <v>3</v>
      </c>
      <c r="G10" s="6">
        <f t="shared" si="2"/>
        <v>-3</v>
      </c>
      <c r="H10" s="9"/>
      <c r="J10" s="2" t="s">
        <v>11</v>
      </c>
      <c r="K10" s="9">
        <v>29.5</v>
      </c>
      <c r="L10" s="9">
        <v>26.8</v>
      </c>
      <c r="M10" s="9">
        <f t="shared" si="3"/>
        <v>2.6999999999999993</v>
      </c>
      <c r="N10" s="9">
        <f t="shared" si="4"/>
        <v>2.6999999999999993</v>
      </c>
      <c r="O10" s="9">
        <v>3</v>
      </c>
      <c r="P10" s="6">
        <v>3</v>
      </c>
    </row>
    <row r="11" spans="1:17" x14ac:dyDescent="0.2">
      <c r="A11" s="2" t="s">
        <v>12</v>
      </c>
      <c r="B11" s="9">
        <v>61.4</v>
      </c>
      <c r="C11" s="9">
        <v>62.4</v>
      </c>
      <c r="D11" s="9">
        <f t="shared" si="0"/>
        <v>-1</v>
      </c>
      <c r="E11" s="9">
        <f t="shared" si="1"/>
        <v>1</v>
      </c>
      <c r="F11" s="9">
        <v>2</v>
      </c>
      <c r="G11" s="6">
        <f t="shared" si="2"/>
        <v>-2</v>
      </c>
      <c r="H11" s="8" t="s">
        <v>141</v>
      </c>
      <c r="J11" s="2" t="s">
        <v>12</v>
      </c>
      <c r="K11" s="9">
        <v>34.299999999999997</v>
      </c>
      <c r="L11" s="9">
        <v>31.3</v>
      </c>
      <c r="M11" s="9">
        <f t="shared" si="3"/>
        <v>2.9999999999999964</v>
      </c>
      <c r="N11" s="9">
        <f t="shared" si="4"/>
        <v>2.9999999999999964</v>
      </c>
      <c r="O11" s="9">
        <v>4</v>
      </c>
      <c r="P11" s="6">
        <v>4</v>
      </c>
      <c r="Q11" s="8" t="s">
        <v>136</v>
      </c>
    </row>
    <row r="12" spans="1:17" x14ac:dyDescent="0.2">
      <c r="A12" s="2" t="s">
        <v>13</v>
      </c>
      <c r="B12" s="9">
        <v>52.9</v>
      </c>
      <c r="C12" s="9">
        <v>52.4</v>
      </c>
      <c r="D12" s="9">
        <f t="shared" si="0"/>
        <v>0.5</v>
      </c>
      <c r="E12" s="9">
        <f t="shared" si="1"/>
        <v>0.5</v>
      </c>
      <c r="F12" s="9">
        <v>1</v>
      </c>
      <c r="G12" s="6">
        <v>1</v>
      </c>
      <c r="H12" s="9" t="s">
        <v>72</v>
      </c>
      <c r="J12" s="2" t="s">
        <v>13</v>
      </c>
      <c r="K12" s="9">
        <v>43</v>
      </c>
      <c r="L12" s="9">
        <v>43.6</v>
      </c>
      <c r="M12" s="9">
        <f t="shared" si="3"/>
        <v>-0.60000000000000142</v>
      </c>
      <c r="N12" s="9">
        <f t="shared" si="4"/>
        <v>0.60000000000000142</v>
      </c>
      <c r="O12" s="9">
        <v>1</v>
      </c>
      <c r="P12" s="6">
        <v>-1</v>
      </c>
      <c r="Q12" s="9" t="s">
        <v>72</v>
      </c>
    </row>
    <row r="13" spans="1:17" x14ac:dyDescent="0.2">
      <c r="A13" s="2" t="s">
        <v>14</v>
      </c>
      <c r="B13" s="9">
        <v>50.9</v>
      </c>
      <c r="C13" s="9">
        <v>57.1</v>
      </c>
      <c r="D13" s="9">
        <f t="shared" si="0"/>
        <v>-6.2000000000000028</v>
      </c>
      <c r="E13" s="9">
        <f t="shared" si="1"/>
        <v>6.2000000000000028</v>
      </c>
      <c r="F13" s="9">
        <v>10</v>
      </c>
      <c r="G13" s="6">
        <f>F13*-1</f>
        <v>-10</v>
      </c>
      <c r="H13" s="9" t="s">
        <v>74</v>
      </c>
      <c r="J13" s="2" t="s">
        <v>14</v>
      </c>
      <c r="K13" s="9">
        <v>46.5</v>
      </c>
      <c r="L13" s="9">
        <v>40.9</v>
      </c>
      <c r="M13" s="9">
        <f t="shared" si="3"/>
        <v>5.6000000000000014</v>
      </c>
      <c r="N13" s="9">
        <f t="shared" si="4"/>
        <v>5.6000000000000014</v>
      </c>
      <c r="O13" s="9">
        <v>9</v>
      </c>
      <c r="P13" s="6">
        <v>9</v>
      </c>
      <c r="Q13" s="9" t="s">
        <v>74</v>
      </c>
    </row>
    <row r="14" spans="1:17" x14ac:dyDescent="0.2">
      <c r="A14" s="2" t="s">
        <v>15</v>
      </c>
      <c r="B14" s="9">
        <v>57.1</v>
      </c>
      <c r="C14" s="9">
        <v>61.5</v>
      </c>
      <c r="D14" s="9">
        <f t="shared" si="0"/>
        <v>-4.3999999999999986</v>
      </c>
      <c r="E14" s="9">
        <f t="shared" si="1"/>
        <v>4.3999999999999986</v>
      </c>
      <c r="F14" s="9">
        <v>9</v>
      </c>
      <c r="G14" s="6">
        <f>F14*-1</f>
        <v>-9</v>
      </c>
      <c r="H14" s="9"/>
      <c r="J14" s="2" t="s">
        <v>15</v>
      </c>
      <c r="K14" s="9">
        <v>39.9</v>
      </c>
      <c r="L14" s="9">
        <v>34.9</v>
      </c>
      <c r="M14" s="9">
        <f t="shared" si="3"/>
        <v>5</v>
      </c>
      <c r="N14" s="9">
        <f t="shared" si="4"/>
        <v>5</v>
      </c>
      <c r="O14" s="9">
        <v>6</v>
      </c>
      <c r="P14" s="6">
        <v>6</v>
      </c>
    </row>
    <row r="15" spans="1:17" x14ac:dyDescent="0.2">
      <c r="A15" s="2" t="s">
        <v>16</v>
      </c>
      <c r="B15" s="9">
        <v>56.1</v>
      </c>
      <c r="C15" s="9">
        <v>60.1</v>
      </c>
      <c r="D15" s="9">
        <f t="shared" si="0"/>
        <v>-4</v>
      </c>
      <c r="E15" s="9">
        <f t="shared" si="1"/>
        <v>4</v>
      </c>
      <c r="F15" s="9">
        <v>7.5</v>
      </c>
      <c r="G15" s="6">
        <f>F15*-1</f>
        <v>-7.5</v>
      </c>
      <c r="H15" s="9" t="s">
        <v>76</v>
      </c>
      <c r="J15" s="2" t="s">
        <v>16</v>
      </c>
      <c r="K15" s="9">
        <v>40.5</v>
      </c>
      <c r="L15" s="9">
        <v>35.1</v>
      </c>
      <c r="M15" s="9">
        <f t="shared" si="3"/>
        <v>5.3999999999999986</v>
      </c>
      <c r="N15" s="9">
        <f t="shared" si="4"/>
        <v>5.3999999999999986</v>
      </c>
      <c r="O15" s="9">
        <v>8</v>
      </c>
      <c r="P15" s="6">
        <v>8</v>
      </c>
      <c r="Q15" s="9" t="s">
        <v>76</v>
      </c>
    </row>
    <row r="16" spans="1:17" x14ac:dyDescent="0.2">
      <c r="A16" s="2" t="s">
        <v>17</v>
      </c>
      <c r="B16" s="9">
        <v>51.3</v>
      </c>
      <c r="C16" s="9">
        <v>48.9</v>
      </c>
      <c r="D16" s="9">
        <f t="shared" si="0"/>
        <v>2.3999999999999986</v>
      </c>
      <c r="E16" s="9">
        <f t="shared" si="1"/>
        <v>2.3999999999999986</v>
      </c>
      <c r="F16" s="9">
        <v>4</v>
      </c>
      <c r="G16" s="6">
        <v>5</v>
      </c>
      <c r="J16" s="2" t="s">
        <v>17</v>
      </c>
      <c r="K16" s="9">
        <v>44.8</v>
      </c>
      <c r="L16" s="9">
        <v>46.1</v>
      </c>
      <c r="M16" s="9">
        <f t="shared" si="3"/>
        <v>-1.3000000000000043</v>
      </c>
      <c r="N16" s="9">
        <f t="shared" si="4"/>
        <v>1.3000000000000043</v>
      </c>
      <c r="O16" s="9">
        <v>2</v>
      </c>
      <c r="P16" s="6">
        <v>-2</v>
      </c>
    </row>
    <row r="17" spans="1:17" x14ac:dyDescent="0.2">
      <c r="A17" s="2" t="s">
        <v>18</v>
      </c>
      <c r="B17" s="9">
        <v>47.6</v>
      </c>
      <c r="C17" s="9">
        <v>54.7</v>
      </c>
      <c r="D17" s="9">
        <f t="shared" si="0"/>
        <v>-7.1000000000000014</v>
      </c>
      <c r="E17" s="9">
        <f t="shared" si="1"/>
        <v>7.1000000000000014</v>
      </c>
      <c r="F17" s="9">
        <v>13</v>
      </c>
      <c r="G17" s="6">
        <f>F17*-1</f>
        <v>-13</v>
      </c>
      <c r="H17" s="13" t="s">
        <v>130</v>
      </c>
      <c r="J17" s="2" t="s">
        <v>18</v>
      </c>
      <c r="K17" s="9">
        <v>50.7</v>
      </c>
      <c r="L17" s="9">
        <v>42.8</v>
      </c>
      <c r="M17" s="9">
        <f t="shared" si="3"/>
        <v>7.9000000000000057</v>
      </c>
      <c r="N17" s="9">
        <f t="shared" si="4"/>
        <v>7.9000000000000057</v>
      </c>
      <c r="O17" s="9">
        <v>10</v>
      </c>
      <c r="P17" s="6">
        <v>10</v>
      </c>
      <c r="Q17" s="13" t="s">
        <v>131</v>
      </c>
    </row>
    <row r="18" spans="1:17" x14ac:dyDescent="0.2">
      <c r="A18" s="2" t="s">
        <v>19</v>
      </c>
      <c r="B18" s="9">
        <v>41.9</v>
      </c>
      <c r="C18" s="9">
        <v>45.4</v>
      </c>
      <c r="D18" s="9">
        <f t="shared" si="0"/>
        <v>-3.5</v>
      </c>
      <c r="E18" s="9">
        <f t="shared" si="1"/>
        <v>3.5</v>
      </c>
      <c r="F18" s="9">
        <v>6</v>
      </c>
      <c r="G18" s="6">
        <f>F18*-1</f>
        <v>-6</v>
      </c>
      <c r="H18" s="13" t="s">
        <v>71</v>
      </c>
      <c r="J18" s="2" t="s">
        <v>19</v>
      </c>
      <c r="K18" s="9">
        <v>56.4</v>
      </c>
      <c r="L18" s="9">
        <v>45.4</v>
      </c>
      <c r="M18" s="9">
        <f t="shared" si="3"/>
        <v>11</v>
      </c>
      <c r="N18" s="9">
        <f t="shared" si="4"/>
        <v>11</v>
      </c>
      <c r="O18" s="10">
        <v>13</v>
      </c>
      <c r="P18" s="17">
        <v>13</v>
      </c>
      <c r="Q18" s="13" t="s">
        <v>71</v>
      </c>
    </row>
    <row r="19" spans="1:17" x14ac:dyDescent="0.2">
      <c r="A19" s="4" t="s">
        <v>27</v>
      </c>
      <c r="B19" s="11"/>
      <c r="C19" s="11"/>
      <c r="D19" s="11"/>
      <c r="E19" s="11"/>
      <c r="F19" s="11"/>
      <c r="G19" s="16">
        <f>SUM(G6:G18)</f>
        <v>-80</v>
      </c>
      <c r="I19" s="12"/>
      <c r="J19" s="4" t="s">
        <v>27</v>
      </c>
      <c r="K19" s="11"/>
      <c r="L19" s="11"/>
      <c r="M19" s="11"/>
      <c r="N19" s="11"/>
      <c r="P19" s="6">
        <f>SUM(P6:P18)</f>
        <v>85</v>
      </c>
    </row>
    <row r="21" spans="1:17" x14ac:dyDescent="0.2">
      <c r="A21" s="1" t="s">
        <v>22</v>
      </c>
      <c r="J21" s="1" t="s">
        <v>22</v>
      </c>
    </row>
    <row r="22" spans="1:17" x14ac:dyDescent="0.2">
      <c r="A22" s="1"/>
    </row>
    <row r="23" spans="1:17" x14ac:dyDescent="0.2">
      <c r="A23" s="1" t="s">
        <v>20</v>
      </c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15" t="s">
        <v>6</v>
      </c>
      <c r="J23" s="1" t="s">
        <v>21</v>
      </c>
      <c r="K23" s="3" t="s">
        <v>1</v>
      </c>
      <c r="L23" s="3" t="s">
        <v>2</v>
      </c>
      <c r="M23" s="3" t="s">
        <v>3</v>
      </c>
      <c r="N23" s="3" t="s">
        <v>4</v>
      </c>
      <c r="O23" s="3" t="s">
        <v>5</v>
      </c>
      <c r="P23" s="15" t="s">
        <v>6</v>
      </c>
    </row>
    <row r="24" spans="1:17" x14ac:dyDescent="0.2">
      <c r="A24" s="2" t="s">
        <v>7</v>
      </c>
      <c r="B24" s="9">
        <v>50.2</v>
      </c>
      <c r="C24" s="9">
        <v>53.2</v>
      </c>
      <c r="D24" s="9">
        <f t="shared" ref="D24:D36" si="5">B24-C24</f>
        <v>-3</v>
      </c>
      <c r="E24" s="9">
        <f t="shared" ref="E24:E36" si="6">ABS(D24)</f>
        <v>3</v>
      </c>
      <c r="F24" s="9">
        <v>7</v>
      </c>
      <c r="G24" s="6">
        <f>F24*-1</f>
        <v>-7</v>
      </c>
      <c r="H24" s="8" t="s">
        <v>151</v>
      </c>
      <c r="J24" s="2" t="s">
        <v>7</v>
      </c>
      <c r="K24" s="9">
        <v>38.6</v>
      </c>
      <c r="L24" s="9">
        <v>32.9</v>
      </c>
      <c r="M24" s="9">
        <f t="shared" ref="M24:M36" si="7">K24-L24</f>
        <v>5.7000000000000028</v>
      </c>
      <c r="N24" s="9">
        <f t="shared" ref="N24:N36" si="8">ABS(M24)</f>
        <v>5.7000000000000028</v>
      </c>
      <c r="O24" s="9">
        <v>10</v>
      </c>
      <c r="P24" s="6">
        <v>10</v>
      </c>
      <c r="Q24" s="8" t="s">
        <v>152</v>
      </c>
    </row>
    <row r="25" spans="1:17" x14ac:dyDescent="0.2">
      <c r="A25" s="2" t="s">
        <v>8</v>
      </c>
      <c r="B25" s="9">
        <v>66.5</v>
      </c>
      <c r="C25" s="9">
        <v>65.400000000000006</v>
      </c>
      <c r="D25" s="9">
        <f t="shared" si="5"/>
        <v>1.0999999999999943</v>
      </c>
      <c r="E25" s="9">
        <f t="shared" si="6"/>
        <v>1.0999999999999943</v>
      </c>
      <c r="F25" s="9">
        <v>4</v>
      </c>
      <c r="G25" s="6">
        <f>F25</f>
        <v>4</v>
      </c>
      <c r="H25" s="8" t="s">
        <v>153</v>
      </c>
      <c r="J25" s="2" t="s">
        <v>8</v>
      </c>
      <c r="K25" s="9">
        <v>24.9</v>
      </c>
      <c r="L25" s="9">
        <v>24</v>
      </c>
      <c r="M25" s="9">
        <f t="shared" si="7"/>
        <v>0.89999999999999858</v>
      </c>
      <c r="N25" s="9">
        <f t="shared" si="8"/>
        <v>0.89999999999999858</v>
      </c>
      <c r="O25" s="9">
        <v>1</v>
      </c>
      <c r="P25" s="6">
        <v>1</v>
      </c>
      <c r="Q25" s="8" t="s">
        <v>154</v>
      </c>
    </row>
    <row r="26" spans="1:17" x14ac:dyDescent="0.2">
      <c r="A26" s="2" t="s">
        <v>9</v>
      </c>
      <c r="B26" s="9">
        <v>54.6</v>
      </c>
      <c r="C26" s="9">
        <v>59</v>
      </c>
      <c r="D26" s="9">
        <f t="shared" si="5"/>
        <v>-4.3999999999999986</v>
      </c>
      <c r="E26" s="9">
        <f t="shared" si="6"/>
        <v>4.3999999999999986</v>
      </c>
      <c r="F26" s="9">
        <v>9</v>
      </c>
      <c r="G26" s="6">
        <f>F26*-1</f>
        <v>-9</v>
      </c>
      <c r="H26" s="8" t="s">
        <v>155</v>
      </c>
      <c r="J26" s="2" t="s">
        <v>9</v>
      </c>
      <c r="K26" s="9">
        <v>32.299999999999997</v>
      </c>
      <c r="L26" s="9">
        <v>28.3</v>
      </c>
      <c r="M26" s="9">
        <f t="shared" si="7"/>
        <v>3.9999999999999964</v>
      </c>
      <c r="N26" s="9">
        <f t="shared" si="8"/>
        <v>3.9999999999999964</v>
      </c>
      <c r="O26" s="9">
        <v>6</v>
      </c>
      <c r="P26" s="6">
        <v>6</v>
      </c>
      <c r="Q26" s="8" t="s">
        <v>156</v>
      </c>
    </row>
    <row r="27" spans="1:17" x14ac:dyDescent="0.2">
      <c r="A27" s="2" t="s">
        <v>10</v>
      </c>
      <c r="B27" s="9">
        <v>55.4</v>
      </c>
      <c r="C27" s="9">
        <v>63.3</v>
      </c>
      <c r="D27" s="9">
        <f t="shared" si="5"/>
        <v>-7.8999999999999986</v>
      </c>
      <c r="E27" s="9">
        <f t="shared" si="6"/>
        <v>7.8999999999999986</v>
      </c>
      <c r="F27" s="9">
        <v>12</v>
      </c>
      <c r="G27" s="6">
        <f>F27*-1</f>
        <v>-12</v>
      </c>
      <c r="H27" s="8" t="s">
        <v>157</v>
      </c>
      <c r="J27" s="2" t="s">
        <v>10</v>
      </c>
      <c r="K27" s="9">
        <v>33.700000000000003</v>
      </c>
      <c r="L27" s="9">
        <v>23.2</v>
      </c>
      <c r="M27" s="9">
        <f t="shared" si="7"/>
        <v>10.500000000000004</v>
      </c>
      <c r="N27" s="9">
        <f t="shared" si="8"/>
        <v>10.500000000000004</v>
      </c>
      <c r="O27" s="9">
        <v>13</v>
      </c>
      <c r="P27" s="6">
        <v>13</v>
      </c>
      <c r="Q27" s="8" t="s">
        <v>158</v>
      </c>
    </row>
    <row r="28" spans="1:17" x14ac:dyDescent="0.2">
      <c r="A28" s="2" t="s">
        <v>11</v>
      </c>
      <c r="B28" s="9">
        <v>65.2</v>
      </c>
      <c r="C28" s="9">
        <v>65.099999999999994</v>
      </c>
      <c r="D28" s="9">
        <f t="shared" si="5"/>
        <v>0.10000000000000853</v>
      </c>
      <c r="E28" s="9">
        <f t="shared" si="6"/>
        <v>0.10000000000000853</v>
      </c>
      <c r="F28" s="9">
        <v>1</v>
      </c>
      <c r="G28" s="6">
        <f>F28</f>
        <v>1</v>
      </c>
      <c r="H28" s="9"/>
      <c r="J28" s="2" t="s">
        <v>11</v>
      </c>
      <c r="K28" s="9">
        <v>23.3</v>
      </c>
      <c r="L28" s="9">
        <v>21.2</v>
      </c>
      <c r="M28" s="9">
        <f t="shared" si="7"/>
        <v>2.1000000000000014</v>
      </c>
      <c r="N28" s="9">
        <f t="shared" si="8"/>
        <v>2.1000000000000014</v>
      </c>
      <c r="O28" s="9">
        <v>3</v>
      </c>
      <c r="P28" s="6">
        <v>3</v>
      </c>
    </row>
    <row r="29" spans="1:17" x14ac:dyDescent="0.2">
      <c r="A29" s="2" t="s">
        <v>12</v>
      </c>
      <c r="B29" s="9">
        <v>54.4</v>
      </c>
      <c r="C29" s="9">
        <v>53.8</v>
      </c>
      <c r="D29" s="9">
        <f t="shared" si="5"/>
        <v>0.60000000000000142</v>
      </c>
      <c r="E29" s="9">
        <f t="shared" si="6"/>
        <v>0.60000000000000142</v>
      </c>
      <c r="F29" s="9">
        <v>2</v>
      </c>
      <c r="G29" s="6">
        <f>F29</f>
        <v>2</v>
      </c>
      <c r="H29" s="8" t="s">
        <v>159</v>
      </c>
      <c r="J29" s="2" t="s">
        <v>12</v>
      </c>
      <c r="K29" s="9">
        <v>24.8</v>
      </c>
      <c r="L29" s="9">
        <v>22.2</v>
      </c>
      <c r="M29" s="9">
        <f t="shared" si="7"/>
        <v>2.6000000000000014</v>
      </c>
      <c r="N29" s="9">
        <f t="shared" si="8"/>
        <v>2.6000000000000014</v>
      </c>
      <c r="O29" s="9">
        <v>4</v>
      </c>
      <c r="P29" s="6">
        <v>4</v>
      </c>
      <c r="Q29" s="8" t="s">
        <v>160</v>
      </c>
    </row>
    <row r="30" spans="1:17" x14ac:dyDescent="0.2">
      <c r="A30" s="2" t="s">
        <v>13</v>
      </c>
      <c r="B30" s="9">
        <v>46.8</v>
      </c>
      <c r="C30" s="9">
        <v>45.8</v>
      </c>
      <c r="D30" s="9">
        <f t="shared" si="5"/>
        <v>1</v>
      </c>
      <c r="E30" s="9">
        <f t="shared" si="6"/>
        <v>1</v>
      </c>
      <c r="F30" s="9">
        <v>3</v>
      </c>
      <c r="G30" s="6">
        <f>F30</f>
        <v>3</v>
      </c>
      <c r="H30" s="9" t="s">
        <v>72</v>
      </c>
      <c r="J30" s="2" t="s">
        <v>13</v>
      </c>
      <c r="K30" s="9">
        <v>38.4</v>
      </c>
      <c r="L30" s="9">
        <v>40.200000000000003</v>
      </c>
      <c r="M30" s="9">
        <f t="shared" si="7"/>
        <v>-1.8000000000000043</v>
      </c>
      <c r="N30" s="9">
        <f t="shared" si="8"/>
        <v>1.8000000000000043</v>
      </c>
      <c r="O30" s="9">
        <v>2</v>
      </c>
      <c r="P30" s="6">
        <v>-2</v>
      </c>
      <c r="Q30" s="9" t="s">
        <v>72</v>
      </c>
    </row>
    <row r="31" spans="1:17" x14ac:dyDescent="0.2">
      <c r="A31" s="2" t="s">
        <v>14</v>
      </c>
      <c r="B31" s="9">
        <v>45.1</v>
      </c>
      <c r="C31" s="9">
        <v>50.4</v>
      </c>
      <c r="D31" s="9">
        <f t="shared" si="5"/>
        <v>-5.2999999999999972</v>
      </c>
      <c r="E31" s="9">
        <f t="shared" si="6"/>
        <v>5.2999999999999972</v>
      </c>
      <c r="F31" s="9">
        <v>10</v>
      </c>
      <c r="G31" s="6">
        <f>F31*-1</f>
        <v>-10</v>
      </c>
      <c r="H31" s="9" t="s">
        <v>74</v>
      </c>
      <c r="J31" s="2" t="s">
        <v>14</v>
      </c>
      <c r="K31" s="9">
        <v>40.9</v>
      </c>
      <c r="L31" s="9">
        <v>36.299999999999997</v>
      </c>
      <c r="M31" s="9">
        <f t="shared" si="7"/>
        <v>4.6000000000000014</v>
      </c>
      <c r="N31" s="9">
        <f t="shared" si="8"/>
        <v>4.6000000000000014</v>
      </c>
      <c r="O31" s="9">
        <v>7</v>
      </c>
      <c r="P31" s="6">
        <v>7</v>
      </c>
      <c r="Q31" s="9" t="s">
        <v>74</v>
      </c>
    </row>
    <row r="32" spans="1:17" x14ac:dyDescent="0.2">
      <c r="A32" s="2" t="s">
        <v>15</v>
      </c>
      <c r="B32" s="9">
        <v>53.5</v>
      </c>
      <c r="C32" s="9">
        <v>56.4</v>
      </c>
      <c r="D32" s="9">
        <f t="shared" si="5"/>
        <v>-2.8999999999999986</v>
      </c>
      <c r="E32" s="9">
        <f t="shared" si="6"/>
        <v>2.8999999999999986</v>
      </c>
      <c r="F32" s="9">
        <v>6</v>
      </c>
      <c r="G32" s="6">
        <f>F32*-1</f>
        <v>-6</v>
      </c>
      <c r="H32" s="9"/>
      <c r="J32" s="2" t="s">
        <v>15</v>
      </c>
      <c r="K32" s="9">
        <v>33.1</v>
      </c>
      <c r="L32" s="9">
        <v>28</v>
      </c>
      <c r="M32" s="9">
        <f t="shared" si="7"/>
        <v>5.1000000000000014</v>
      </c>
      <c r="N32" s="9">
        <f t="shared" si="8"/>
        <v>5.1000000000000014</v>
      </c>
      <c r="O32" s="9">
        <v>8</v>
      </c>
      <c r="P32" s="6">
        <v>8</v>
      </c>
    </row>
    <row r="33" spans="1:17" x14ac:dyDescent="0.2">
      <c r="A33" s="2" t="s">
        <v>16</v>
      </c>
      <c r="B33" s="9">
        <v>50.7</v>
      </c>
      <c r="C33" s="9">
        <v>57</v>
      </c>
      <c r="D33" s="9">
        <f t="shared" si="5"/>
        <v>-6.2999999999999972</v>
      </c>
      <c r="E33" s="9">
        <f t="shared" si="6"/>
        <v>6.2999999999999972</v>
      </c>
      <c r="F33" s="9">
        <v>11</v>
      </c>
      <c r="G33" s="6">
        <f>F33*-1</f>
        <v>-11</v>
      </c>
      <c r="H33" s="9" t="s">
        <v>76</v>
      </c>
      <c r="J33" s="2" t="s">
        <v>16</v>
      </c>
      <c r="K33" s="9">
        <v>32.1</v>
      </c>
      <c r="L33" s="9">
        <v>25</v>
      </c>
      <c r="M33" s="9">
        <f t="shared" si="7"/>
        <v>7.1000000000000014</v>
      </c>
      <c r="N33" s="9">
        <f t="shared" si="8"/>
        <v>7.1000000000000014</v>
      </c>
      <c r="O33" s="9">
        <v>12</v>
      </c>
      <c r="P33" s="6">
        <v>12</v>
      </c>
      <c r="Q33" s="9" t="s">
        <v>76</v>
      </c>
    </row>
    <row r="34" spans="1:17" x14ac:dyDescent="0.2">
      <c r="A34" s="2" t="s">
        <v>17</v>
      </c>
      <c r="B34" s="9">
        <v>52.8</v>
      </c>
      <c r="C34" s="9">
        <v>43.4</v>
      </c>
      <c r="D34" s="9">
        <f t="shared" si="5"/>
        <v>9.3999999999999986</v>
      </c>
      <c r="E34" s="9">
        <f t="shared" si="6"/>
        <v>9.3999999999999986</v>
      </c>
      <c r="F34" s="9">
        <v>13</v>
      </c>
      <c r="G34" s="6">
        <f>F34</f>
        <v>13</v>
      </c>
      <c r="H34" s="9"/>
      <c r="J34" s="2" t="s">
        <v>17</v>
      </c>
      <c r="K34" s="9">
        <v>34.700000000000003</v>
      </c>
      <c r="L34" s="9">
        <v>39.9</v>
      </c>
      <c r="M34" s="9">
        <f t="shared" si="7"/>
        <v>-5.1999999999999957</v>
      </c>
      <c r="N34" s="9">
        <f t="shared" si="8"/>
        <v>5.1999999999999957</v>
      </c>
      <c r="O34" s="9">
        <v>9</v>
      </c>
      <c r="P34" s="6">
        <v>-9</v>
      </c>
    </row>
    <row r="35" spans="1:17" x14ac:dyDescent="0.2">
      <c r="A35" s="2" t="s">
        <v>18</v>
      </c>
      <c r="B35" s="9">
        <v>39.9</v>
      </c>
      <c r="C35" s="9">
        <v>43.1</v>
      </c>
      <c r="D35" s="9">
        <f t="shared" si="5"/>
        <v>-3.2000000000000028</v>
      </c>
      <c r="E35" s="9">
        <f t="shared" si="6"/>
        <v>3.2000000000000028</v>
      </c>
      <c r="F35" s="9">
        <v>8</v>
      </c>
      <c r="G35" s="6">
        <v>-5</v>
      </c>
      <c r="H35" s="5" t="s">
        <v>142</v>
      </c>
      <c r="J35" s="2" t="s">
        <v>18</v>
      </c>
      <c r="K35" s="9">
        <v>52.5</v>
      </c>
      <c r="L35" s="9">
        <v>45.5</v>
      </c>
      <c r="M35" s="9">
        <f t="shared" si="7"/>
        <v>7</v>
      </c>
      <c r="N35" s="9">
        <f t="shared" si="8"/>
        <v>7</v>
      </c>
      <c r="O35" s="9">
        <v>11</v>
      </c>
      <c r="P35" s="6">
        <v>11</v>
      </c>
      <c r="Q35" s="13" t="s">
        <v>143</v>
      </c>
    </row>
    <row r="36" spans="1:17" x14ac:dyDescent="0.2">
      <c r="A36" s="2" t="s">
        <v>19</v>
      </c>
      <c r="B36" s="9">
        <v>40.4</v>
      </c>
      <c r="C36" s="9">
        <v>41.8</v>
      </c>
      <c r="D36" s="9">
        <f t="shared" si="5"/>
        <v>-1.3999999999999986</v>
      </c>
      <c r="E36" s="9">
        <f t="shared" si="6"/>
        <v>1.3999999999999986</v>
      </c>
      <c r="F36" s="10">
        <v>5</v>
      </c>
      <c r="G36" s="17">
        <v>-8</v>
      </c>
      <c r="H36" s="5" t="s">
        <v>112</v>
      </c>
      <c r="J36" s="2" t="s">
        <v>19</v>
      </c>
      <c r="K36" s="9">
        <v>52.8</v>
      </c>
      <c r="L36" s="9">
        <v>48.9</v>
      </c>
      <c r="M36" s="9">
        <f t="shared" si="7"/>
        <v>3.8999999999999986</v>
      </c>
      <c r="N36" s="9">
        <f t="shared" si="8"/>
        <v>3.8999999999999986</v>
      </c>
      <c r="O36" s="10">
        <v>5</v>
      </c>
      <c r="P36" s="17">
        <v>5</v>
      </c>
      <c r="Q36" s="13" t="s">
        <v>71</v>
      </c>
    </row>
    <row r="37" spans="1:17" x14ac:dyDescent="0.2">
      <c r="A37" s="4" t="s">
        <v>27</v>
      </c>
      <c r="B37" s="11"/>
      <c r="C37" s="11"/>
      <c r="D37" s="11"/>
      <c r="E37" s="11"/>
      <c r="G37" s="6">
        <f>SUM(G24:G36)</f>
        <v>-45</v>
      </c>
      <c r="I37" s="12"/>
      <c r="J37" s="4" t="s">
        <v>27</v>
      </c>
      <c r="K37" s="11"/>
      <c r="L37" s="11"/>
      <c r="M37" s="11"/>
      <c r="N37" s="11"/>
      <c r="P37" s="6">
        <f>SUM(P24:P36)</f>
        <v>69</v>
      </c>
    </row>
    <row r="39" spans="1:17" x14ac:dyDescent="0.2">
      <c r="A39" s="1" t="s">
        <v>26</v>
      </c>
      <c r="J39" s="1" t="s">
        <v>26</v>
      </c>
    </row>
    <row r="40" spans="1:17" x14ac:dyDescent="0.2">
      <c r="A40" s="1"/>
    </row>
    <row r="41" spans="1:17" x14ac:dyDescent="0.2">
      <c r="A41" s="1" t="s">
        <v>20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15" t="s">
        <v>6</v>
      </c>
      <c r="J41" s="1" t="s">
        <v>21</v>
      </c>
      <c r="K41" s="3" t="s">
        <v>1</v>
      </c>
      <c r="L41" s="3" t="s">
        <v>2</v>
      </c>
      <c r="M41" s="3" t="s">
        <v>3</v>
      </c>
      <c r="N41" s="3" t="s">
        <v>4</v>
      </c>
      <c r="O41" s="3" t="s">
        <v>5</v>
      </c>
      <c r="P41" s="15" t="s">
        <v>6</v>
      </c>
    </row>
    <row r="42" spans="1:17" x14ac:dyDescent="0.2">
      <c r="A42" s="2" t="s">
        <v>7</v>
      </c>
      <c r="B42" s="9">
        <v>73.7</v>
      </c>
      <c r="C42" s="9">
        <v>75</v>
      </c>
      <c r="D42" s="9">
        <f t="shared" ref="D42:D54" si="9">B42-C42</f>
        <v>-1.2999999999999972</v>
      </c>
      <c r="E42" s="9">
        <f t="shared" ref="E42:E54" si="10">ABS(D42)</f>
        <v>1.2999999999999972</v>
      </c>
      <c r="F42" s="9">
        <v>2</v>
      </c>
      <c r="G42" s="6">
        <v>-2</v>
      </c>
      <c r="H42" s="8" t="s">
        <v>161</v>
      </c>
      <c r="J42" s="2" t="s">
        <v>7</v>
      </c>
      <c r="K42" s="9">
        <v>20.5</v>
      </c>
      <c r="L42" s="9">
        <v>17.8</v>
      </c>
      <c r="M42" s="9">
        <f t="shared" ref="M42:M54" si="11">K42-L42</f>
        <v>2.6999999999999993</v>
      </c>
      <c r="N42" s="9">
        <f t="shared" ref="N42:N54" si="12">ABS(M42)</f>
        <v>2.6999999999999993</v>
      </c>
      <c r="O42" s="9">
        <v>5</v>
      </c>
      <c r="P42" s="6">
        <v>5</v>
      </c>
      <c r="Q42" s="8" t="s">
        <v>162</v>
      </c>
    </row>
    <row r="43" spans="1:17" x14ac:dyDescent="0.2">
      <c r="A43" s="2" t="s">
        <v>8</v>
      </c>
      <c r="B43" s="9">
        <v>76.5</v>
      </c>
      <c r="C43" s="9">
        <v>75</v>
      </c>
      <c r="D43" s="9">
        <f t="shared" si="9"/>
        <v>1.5</v>
      </c>
      <c r="E43" s="9">
        <f t="shared" si="10"/>
        <v>1.5</v>
      </c>
      <c r="F43" s="9">
        <v>3</v>
      </c>
      <c r="G43" s="6">
        <v>3</v>
      </c>
      <c r="H43" s="8" t="s">
        <v>163</v>
      </c>
      <c r="J43" s="2" t="s">
        <v>8</v>
      </c>
      <c r="K43" s="9">
        <v>17.7</v>
      </c>
      <c r="L43" s="9">
        <v>18.5</v>
      </c>
      <c r="M43" s="9">
        <f t="shared" si="11"/>
        <v>-0.80000000000000071</v>
      </c>
      <c r="N43" s="9">
        <f t="shared" si="12"/>
        <v>0.80000000000000071</v>
      </c>
      <c r="O43" s="9">
        <v>1</v>
      </c>
      <c r="P43" s="6">
        <v>-1</v>
      </c>
      <c r="Q43" s="8" t="s">
        <v>164</v>
      </c>
    </row>
    <row r="44" spans="1:17" x14ac:dyDescent="0.2">
      <c r="A44" s="2" t="s">
        <v>9</v>
      </c>
      <c r="B44" s="9">
        <v>70</v>
      </c>
      <c r="C44" s="9">
        <v>72.599999999999994</v>
      </c>
      <c r="D44" s="9">
        <f t="shared" si="9"/>
        <v>-2.5999999999999943</v>
      </c>
      <c r="E44" s="9">
        <f t="shared" si="10"/>
        <v>2.5999999999999943</v>
      </c>
      <c r="F44" s="9">
        <v>6</v>
      </c>
      <c r="G44" s="6">
        <v>-6</v>
      </c>
      <c r="H44" s="8" t="s">
        <v>165</v>
      </c>
      <c r="J44" s="2" t="s">
        <v>9</v>
      </c>
      <c r="K44" s="9">
        <v>25.9</v>
      </c>
      <c r="L44" s="9">
        <v>22.3</v>
      </c>
      <c r="M44" s="9">
        <f t="shared" si="11"/>
        <v>3.5999999999999979</v>
      </c>
      <c r="N44" s="9">
        <f t="shared" si="12"/>
        <v>3.5999999999999979</v>
      </c>
      <c r="O44" s="9">
        <v>7</v>
      </c>
      <c r="P44" s="6">
        <v>7</v>
      </c>
      <c r="Q44" s="8" t="s">
        <v>166</v>
      </c>
    </row>
    <row r="45" spans="1:17" x14ac:dyDescent="0.2">
      <c r="A45" s="2" t="s">
        <v>10</v>
      </c>
      <c r="B45" s="9">
        <v>68.400000000000006</v>
      </c>
      <c r="C45" s="9">
        <v>74.7</v>
      </c>
      <c r="D45" s="9">
        <f t="shared" si="9"/>
        <v>-6.2999999999999972</v>
      </c>
      <c r="E45" s="9">
        <f t="shared" si="10"/>
        <v>6.2999999999999972</v>
      </c>
      <c r="F45" s="9">
        <v>12</v>
      </c>
      <c r="G45" s="6">
        <v>-12</v>
      </c>
      <c r="H45" s="8" t="s">
        <v>97</v>
      </c>
      <c r="J45" s="2" t="s">
        <v>10</v>
      </c>
      <c r="K45" s="9">
        <v>26.3</v>
      </c>
      <c r="L45" s="9">
        <v>18.2</v>
      </c>
      <c r="M45" s="9">
        <f t="shared" si="11"/>
        <v>8.1000000000000014</v>
      </c>
      <c r="N45" s="9">
        <f t="shared" si="12"/>
        <v>8.1000000000000014</v>
      </c>
      <c r="O45" s="9">
        <v>12</v>
      </c>
      <c r="P45" s="6">
        <v>12</v>
      </c>
      <c r="Q45" s="8" t="s">
        <v>167</v>
      </c>
    </row>
    <row r="46" spans="1:17" x14ac:dyDescent="0.2">
      <c r="A46" s="2" t="s">
        <v>11</v>
      </c>
      <c r="B46" s="9">
        <v>63</v>
      </c>
      <c r="C46" s="9">
        <v>65.400000000000006</v>
      </c>
      <c r="D46" s="9">
        <f t="shared" si="9"/>
        <v>-2.4000000000000057</v>
      </c>
      <c r="E46" s="9">
        <f t="shared" si="10"/>
        <v>2.4000000000000057</v>
      </c>
      <c r="F46" s="9">
        <v>5</v>
      </c>
      <c r="G46" s="6">
        <v>-5</v>
      </c>
      <c r="H46" s="9"/>
      <c r="J46" s="2" t="s">
        <v>11</v>
      </c>
      <c r="K46" s="9">
        <v>28.8</v>
      </c>
      <c r="L46" s="9">
        <v>22.9</v>
      </c>
      <c r="M46" s="9">
        <f t="shared" si="11"/>
        <v>5.9000000000000021</v>
      </c>
      <c r="N46" s="9">
        <f t="shared" si="12"/>
        <v>5.9000000000000021</v>
      </c>
      <c r="O46" s="9">
        <v>10</v>
      </c>
      <c r="P46" s="6">
        <v>10</v>
      </c>
    </row>
    <row r="47" spans="1:17" x14ac:dyDescent="0.2">
      <c r="A47" s="2" t="s">
        <v>12</v>
      </c>
      <c r="B47" s="9">
        <v>65.900000000000006</v>
      </c>
      <c r="C47" s="9">
        <v>64.7</v>
      </c>
      <c r="D47" s="9">
        <f t="shared" si="9"/>
        <v>1.2000000000000028</v>
      </c>
      <c r="E47" s="9">
        <f t="shared" si="10"/>
        <v>1.2000000000000028</v>
      </c>
      <c r="F47" s="9">
        <v>1</v>
      </c>
      <c r="G47" s="6">
        <v>1</v>
      </c>
      <c r="H47" s="8" t="s">
        <v>168</v>
      </c>
      <c r="J47" s="2" t="s">
        <v>12</v>
      </c>
      <c r="K47" s="9">
        <v>25.8</v>
      </c>
      <c r="L47" s="9">
        <v>22.7</v>
      </c>
      <c r="M47" s="9">
        <f t="shared" si="11"/>
        <v>3.1000000000000014</v>
      </c>
      <c r="N47" s="9">
        <f t="shared" si="12"/>
        <v>3.1000000000000014</v>
      </c>
      <c r="O47" s="9">
        <v>6</v>
      </c>
      <c r="P47" s="6">
        <v>6</v>
      </c>
      <c r="Q47" s="8" t="s">
        <v>169</v>
      </c>
    </row>
    <row r="48" spans="1:17" x14ac:dyDescent="0.2">
      <c r="A48" s="2" t="s">
        <v>13</v>
      </c>
      <c r="B48" s="9">
        <v>62.8</v>
      </c>
      <c r="C48" s="9">
        <v>66.900000000000006</v>
      </c>
      <c r="D48" s="9">
        <f t="shared" si="9"/>
        <v>-4.1000000000000085</v>
      </c>
      <c r="E48" s="9">
        <f t="shared" si="10"/>
        <v>4.1000000000000085</v>
      </c>
      <c r="F48" s="9">
        <v>9</v>
      </c>
      <c r="G48" s="6">
        <v>-9</v>
      </c>
      <c r="H48" s="9" t="s">
        <v>72</v>
      </c>
      <c r="J48" s="2" t="s">
        <v>13</v>
      </c>
      <c r="K48" s="9">
        <v>29.2</v>
      </c>
      <c r="L48" s="9">
        <v>24.6</v>
      </c>
      <c r="M48" s="9">
        <f t="shared" si="11"/>
        <v>4.5999999999999979</v>
      </c>
      <c r="N48" s="9">
        <f t="shared" si="12"/>
        <v>4.5999999999999979</v>
      </c>
      <c r="O48" s="9">
        <v>9</v>
      </c>
      <c r="P48" s="6">
        <v>9</v>
      </c>
      <c r="Q48" s="9" t="s">
        <v>72</v>
      </c>
    </row>
    <row r="49" spans="1:17" x14ac:dyDescent="0.2">
      <c r="A49" s="2" t="s">
        <v>14</v>
      </c>
      <c r="B49" s="9">
        <v>64.2</v>
      </c>
      <c r="C49" s="9">
        <v>71.3</v>
      </c>
      <c r="D49" s="9">
        <f t="shared" si="9"/>
        <v>-7.0999999999999943</v>
      </c>
      <c r="E49" s="9">
        <f t="shared" si="10"/>
        <v>7.0999999999999943</v>
      </c>
      <c r="F49" s="9">
        <v>13</v>
      </c>
      <c r="G49" s="6">
        <v>-13</v>
      </c>
      <c r="H49" s="9" t="s">
        <v>74</v>
      </c>
      <c r="J49" s="2" t="s">
        <v>14</v>
      </c>
      <c r="K49" s="9">
        <v>30.4</v>
      </c>
      <c r="L49" s="9">
        <v>21.8</v>
      </c>
      <c r="M49" s="9">
        <f t="shared" si="11"/>
        <v>8.5999999999999979</v>
      </c>
      <c r="N49" s="9">
        <f t="shared" si="12"/>
        <v>8.5999999999999979</v>
      </c>
      <c r="O49" s="9">
        <v>13</v>
      </c>
      <c r="P49" s="6">
        <v>13</v>
      </c>
      <c r="Q49" s="9" t="s">
        <v>74</v>
      </c>
    </row>
    <row r="50" spans="1:17" x14ac:dyDescent="0.2">
      <c r="A50" s="2" t="s">
        <v>15</v>
      </c>
      <c r="B50" s="9">
        <v>64.8</v>
      </c>
      <c r="C50" s="9">
        <v>68.099999999999994</v>
      </c>
      <c r="D50" s="9">
        <f t="shared" si="9"/>
        <v>-3.2999999999999972</v>
      </c>
      <c r="E50" s="9">
        <f t="shared" si="10"/>
        <v>3.2999999999999972</v>
      </c>
      <c r="F50" s="9">
        <v>7</v>
      </c>
      <c r="G50" s="6">
        <v>-7</v>
      </c>
      <c r="H50" s="9"/>
      <c r="J50" s="2" t="s">
        <v>15</v>
      </c>
      <c r="K50" s="9">
        <v>30</v>
      </c>
      <c r="L50" s="9">
        <v>23.3</v>
      </c>
      <c r="M50" s="9">
        <f t="shared" si="11"/>
        <v>6.6999999999999993</v>
      </c>
      <c r="N50" s="9">
        <f t="shared" si="12"/>
        <v>6.6999999999999993</v>
      </c>
      <c r="O50" s="9">
        <v>11</v>
      </c>
      <c r="P50" s="6">
        <v>11</v>
      </c>
    </row>
    <row r="51" spans="1:17" x14ac:dyDescent="0.2">
      <c r="A51" s="2" t="s">
        <v>16</v>
      </c>
      <c r="B51" s="9">
        <v>67.8</v>
      </c>
      <c r="C51" s="9">
        <v>65.400000000000006</v>
      </c>
      <c r="D51" s="9">
        <f t="shared" si="9"/>
        <v>2.3999999999999915</v>
      </c>
      <c r="E51" s="9">
        <f t="shared" si="10"/>
        <v>2.3999999999999915</v>
      </c>
      <c r="F51" s="9">
        <v>4</v>
      </c>
      <c r="G51" s="6">
        <v>4</v>
      </c>
      <c r="H51" s="9" t="s">
        <v>76</v>
      </c>
      <c r="J51" s="2" t="s">
        <v>16</v>
      </c>
      <c r="K51" s="9">
        <v>25</v>
      </c>
      <c r="L51" s="9">
        <v>23.8</v>
      </c>
      <c r="M51" s="9">
        <f t="shared" si="11"/>
        <v>1.1999999999999993</v>
      </c>
      <c r="N51" s="9">
        <f t="shared" si="12"/>
        <v>1.1999999999999993</v>
      </c>
      <c r="O51" s="9">
        <v>2</v>
      </c>
      <c r="P51" s="6">
        <v>2</v>
      </c>
      <c r="Q51" s="9" t="s">
        <v>76</v>
      </c>
    </row>
    <row r="52" spans="1:17" x14ac:dyDescent="0.2">
      <c r="A52" s="2" t="s">
        <v>17</v>
      </c>
      <c r="B52" s="9">
        <v>68.400000000000006</v>
      </c>
      <c r="C52" s="9">
        <v>62.8</v>
      </c>
      <c r="D52" s="9">
        <f t="shared" si="9"/>
        <v>5.6000000000000085</v>
      </c>
      <c r="E52" s="9">
        <f t="shared" si="10"/>
        <v>5.6000000000000085</v>
      </c>
      <c r="F52" s="9">
        <v>10</v>
      </c>
      <c r="G52" s="6">
        <v>10</v>
      </c>
      <c r="J52" s="2" t="s">
        <v>17</v>
      </c>
      <c r="K52" s="9">
        <v>26</v>
      </c>
      <c r="L52" s="9">
        <v>30.5</v>
      </c>
      <c r="M52" s="9">
        <f t="shared" si="11"/>
        <v>-4.5</v>
      </c>
      <c r="N52" s="9">
        <f t="shared" si="12"/>
        <v>4.5</v>
      </c>
      <c r="O52" s="9">
        <v>8</v>
      </c>
      <c r="P52" s="6">
        <v>-8</v>
      </c>
    </row>
    <row r="53" spans="1:17" x14ac:dyDescent="0.2">
      <c r="A53" s="2" t="s">
        <v>18</v>
      </c>
      <c r="B53" s="9">
        <v>63.2</v>
      </c>
      <c r="C53" s="9">
        <v>66.599999999999994</v>
      </c>
      <c r="D53" s="9">
        <f t="shared" si="9"/>
        <v>-3.3999999999999915</v>
      </c>
      <c r="E53" s="9">
        <f t="shared" si="10"/>
        <v>3.3999999999999915</v>
      </c>
      <c r="F53" s="9">
        <v>8</v>
      </c>
      <c r="G53" s="6">
        <v>-8</v>
      </c>
      <c r="H53" s="5" t="s">
        <v>144</v>
      </c>
      <c r="J53" s="2" t="s">
        <v>18</v>
      </c>
      <c r="K53" s="9">
        <v>30.6</v>
      </c>
      <c r="L53" s="9">
        <v>28</v>
      </c>
      <c r="M53" s="9">
        <f t="shared" si="11"/>
        <v>2.6000000000000014</v>
      </c>
      <c r="N53" s="9">
        <f t="shared" si="12"/>
        <v>2.6000000000000014</v>
      </c>
      <c r="O53" s="9">
        <v>4</v>
      </c>
      <c r="P53" s="6">
        <v>4</v>
      </c>
      <c r="Q53" s="13" t="s">
        <v>145</v>
      </c>
    </row>
    <row r="54" spans="1:17" x14ac:dyDescent="0.2">
      <c r="A54" s="2" t="s">
        <v>19</v>
      </c>
      <c r="B54" s="9">
        <v>64.599999999999994</v>
      </c>
      <c r="C54" s="9">
        <v>58.6</v>
      </c>
      <c r="D54" s="9">
        <f t="shared" si="9"/>
        <v>5.9999999999999929</v>
      </c>
      <c r="E54" s="9">
        <f t="shared" si="10"/>
        <v>5.9999999999999929</v>
      </c>
      <c r="F54" s="10">
        <v>11</v>
      </c>
      <c r="G54" s="17">
        <v>11</v>
      </c>
      <c r="H54" s="5" t="s">
        <v>112</v>
      </c>
      <c r="J54" s="2" t="s">
        <v>19</v>
      </c>
      <c r="K54" s="9">
        <v>34.200000000000003</v>
      </c>
      <c r="L54" s="9">
        <v>31.7</v>
      </c>
      <c r="M54" s="9">
        <f t="shared" si="11"/>
        <v>2.5000000000000036</v>
      </c>
      <c r="N54" s="9">
        <f t="shared" si="12"/>
        <v>2.5000000000000036</v>
      </c>
      <c r="O54" s="10">
        <v>3</v>
      </c>
      <c r="P54" s="17">
        <v>3</v>
      </c>
      <c r="Q54" s="13" t="s">
        <v>71</v>
      </c>
    </row>
    <row r="55" spans="1:17" x14ac:dyDescent="0.2">
      <c r="A55" s="4" t="s">
        <v>27</v>
      </c>
      <c r="B55" s="11"/>
      <c r="C55" s="11"/>
      <c r="D55" s="11"/>
      <c r="E55" s="11"/>
      <c r="G55" s="6">
        <f>SUM(G42:G54)</f>
        <v>-33</v>
      </c>
      <c r="I55" s="12"/>
      <c r="J55" s="4" t="s">
        <v>27</v>
      </c>
      <c r="K55" s="11"/>
      <c r="L55" s="11"/>
      <c r="M55" s="11"/>
      <c r="N55" s="11"/>
      <c r="P55" s="6">
        <f>SUM(P42:P54)</f>
        <v>73</v>
      </c>
    </row>
    <row r="57" spans="1:17" x14ac:dyDescent="0.2">
      <c r="A57" s="1" t="s">
        <v>25</v>
      </c>
      <c r="J57" s="1" t="s">
        <v>25</v>
      </c>
    </row>
    <row r="58" spans="1:17" x14ac:dyDescent="0.2">
      <c r="A58" s="1"/>
    </row>
    <row r="59" spans="1:17" x14ac:dyDescent="0.2">
      <c r="A59" s="1" t="s">
        <v>20</v>
      </c>
      <c r="B59" s="3" t="s">
        <v>1</v>
      </c>
      <c r="C59" s="3" t="s">
        <v>2</v>
      </c>
      <c r="D59" s="3" t="s">
        <v>3</v>
      </c>
      <c r="E59" s="3" t="s">
        <v>4</v>
      </c>
      <c r="F59" s="3" t="s">
        <v>5</v>
      </c>
      <c r="G59" s="15" t="s">
        <v>6</v>
      </c>
      <c r="J59" s="1" t="s">
        <v>21</v>
      </c>
      <c r="K59" s="3" t="s">
        <v>1</v>
      </c>
      <c r="L59" s="3" t="s">
        <v>2</v>
      </c>
      <c r="M59" s="3" t="s">
        <v>3</v>
      </c>
      <c r="N59" s="3" t="s">
        <v>4</v>
      </c>
      <c r="O59" s="3" t="s">
        <v>5</v>
      </c>
      <c r="P59" s="15" t="s">
        <v>6</v>
      </c>
    </row>
    <row r="60" spans="1:17" x14ac:dyDescent="0.2">
      <c r="A60" s="2" t="s">
        <v>7</v>
      </c>
      <c r="B60" s="9">
        <v>59.7</v>
      </c>
      <c r="C60" s="9">
        <v>62.8</v>
      </c>
      <c r="D60" s="9">
        <f t="shared" ref="D60:D72" si="13">B60-C60</f>
        <v>-3.0999999999999943</v>
      </c>
      <c r="E60" s="9">
        <f t="shared" ref="E60:E72" si="14">ABS(D60)</f>
        <v>3.0999999999999943</v>
      </c>
      <c r="F60" s="9">
        <v>9</v>
      </c>
      <c r="G60" s="6">
        <v>-9</v>
      </c>
      <c r="H60" s="8" t="s">
        <v>170</v>
      </c>
      <c r="J60" s="2" t="s">
        <v>7</v>
      </c>
      <c r="K60" s="9">
        <v>36.1</v>
      </c>
      <c r="L60" s="9">
        <v>30.1</v>
      </c>
      <c r="M60" s="9">
        <f t="shared" ref="M60:M72" si="15">K60-L60</f>
        <v>6</v>
      </c>
      <c r="N60" s="9">
        <f t="shared" ref="N60:N72" si="16">ABS(M60)</f>
        <v>6</v>
      </c>
      <c r="O60" s="9">
        <v>12</v>
      </c>
      <c r="P60" s="6">
        <v>12</v>
      </c>
      <c r="Q60" s="8" t="s">
        <v>171</v>
      </c>
    </row>
    <row r="61" spans="1:17" x14ac:dyDescent="0.2">
      <c r="A61" s="2" t="s">
        <v>8</v>
      </c>
      <c r="B61" s="9">
        <v>59.9</v>
      </c>
      <c r="C61" s="9">
        <v>62.9</v>
      </c>
      <c r="D61" s="9">
        <f t="shared" si="13"/>
        <v>-3</v>
      </c>
      <c r="E61" s="9">
        <f t="shared" si="14"/>
        <v>3</v>
      </c>
      <c r="F61" s="9">
        <v>8</v>
      </c>
      <c r="G61" s="6">
        <v>-8</v>
      </c>
      <c r="H61" s="8" t="s">
        <v>172</v>
      </c>
      <c r="J61" s="2" t="s">
        <v>8</v>
      </c>
      <c r="K61" s="9">
        <v>34.4</v>
      </c>
      <c r="L61" s="9">
        <v>30.9</v>
      </c>
      <c r="M61" s="9">
        <f t="shared" si="15"/>
        <v>3.5</v>
      </c>
      <c r="N61" s="9">
        <f t="shared" si="16"/>
        <v>3.5</v>
      </c>
      <c r="O61" s="9">
        <v>8.5</v>
      </c>
      <c r="P61" s="6">
        <v>8.5</v>
      </c>
      <c r="Q61" s="8" t="s">
        <v>173</v>
      </c>
    </row>
    <row r="62" spans="1:17" x14ac:dyDescent="0.2">
      <c r="A62" s="2" t="s">
        <v>9</v>
      </c>
      <c r="B62" s="9">
        <v>52.7</v>
      </c>
      <c r="C62" s="9">
        <v>59.1</v>
      </c>
      <c r="D62" s="9">
        <f t="shared" si="13"/>
        <v>-6.3999999999999986</v>
      </c>
      <c r="E62" s="9">
        <f t="shared" si="14"/>
        <v>6.3999999999999986</v>
      </c>
      <c r="F62" s="9">
        <v>12</v>
      </c>
      <c r="G62" s="6">
        <v>-12</v>
      </c>
      <c r="H62" s="8" t="s">
        <v>174</v>
      </c>
      <c r="J62" s="2" t="s">
        <v>9</v>
      </c>
      <c r="K62" s="9">
        <v>41.3</v>
      </c>
      <c r="L62" s="9">
        <v>35.1</v>
      </c>
      <c r="M62" s="9">
        <f t="shared" si="15"/>
        <v>6.1999999999999957</v>
      </c>
      <c r="N62" s="9">
        <f t="shared" si="16"/>
        <v>6.1999999999999957</v>
      </c>
      <c r="O62" s="9">
        <v>13</v>
      </c>
      <c r="P62" s="6">
        <v>13</v>
      </c>
      <c r="Q62" s="8" t="s">
        <v>175</v>
      </c>
    </row>
    <row r="63" spans="1:17" x14ac:dyDescent="0.2">
      <c r="A63" s="2" t="s">
        <v>10</v>
      </c>
      <c r="B63" s="9">
        <v>57.8</v>
      </c>
      <c r="C63" s="9">
        <v>61.6</v>
      </c>
      <c r="D63" s="9">
        <f t="shared" si="13"/>
        <v>-3.8000000000000043</v>
      </c>
      <c r="E63" s="9">
        <f t="shared" si="14"/>
        <v>3.8000000000000043</v>
      </c>
      <c r="F63" s="9">
        <v>10</v>
      </c>
      <c r="G63" s="6">
        <v>-10</v>
      </c>
      <c r="H63" s="8" t="s">
        <v>176</v>
      </c>
      <c r="J63" s="2" t="s">
        <v>10</v>
      </c>
      <c r="K63" s="9">
        <v>37.299999999999997</v>
      </c>
      <c r="L63" s="9">
        <v>32.799999999999997</v>
      </c>
      <c r="M63" s="9">
        <f t="shared" si="15"/>
        <v>4.5</v>
      </c>
      <c r="N63" s="9">
        <f t="shared" si="16"/>
        <v>4.5</v>
      </c>
      <c r="O63" s="9">
        <v>11</v>
      </c>
      <c r="P63" s="6">
        <v>11</v>
      </c>
      <c r="Q63" s="8" t="s">
        <v>177</v>
      </c>
    </row>
    <row r="64" spans="1:17" x14ac:dyDescent="0.2">
      <c r="A64" s="2" t="s">
        <v>11</v>
      </c>
      <c r="B64" s="9">
        <v>58.7</v>
      </c>
      <c r="C64" s="9">
        <v>59.1</v>
      </c>
      <c r="D64" s="9">
        <f t="shared" si="13"/>
        <v>-0.39999999999999858</v>
      </c>
      <c r="E64" s="9">
        <f t="shared" si="14"/>
        <v>0.39999999999999858</v>
      </c>
      <c r="F64" s="9">
        <v>1.5</v>
      </c>
      <c r="G64" s="6">
        <v>-1.5</v>
      </c>
      <c r="H64" s="9"/>
      <c r="J64" s="2" t="s">
        <v>11</v>
      </c>
      <c r="K64" s="9">
        <v>31.9</v>
      </c>
      <c r="L64" s="9">
        <v>29.5</v>
      </c>
      <c r="M64" s="9">
        <f t="shared" si="15"/>
        <v>2.3999999999999986</v>
      </c>
      <c r="N64" s="9">
        <f t="shared" si="16"/>
        <v>2.3999999999999986</v>
      </c>
      <c r="O64" s="9">
        <v>6</v>
      </c>
      <c r="P64" s="6">
        <v>6</v>
      </c>
    </row>
    <row r="65" spans="1:17" x14ac:dyDescent="0.2">
      <c r="A65" s="2" t="s">
        <v>12</v>
      </c>
      <c r="B65" s="9">
        <v>53.2</v>
      </c>
      <c r="C65" s="9">
        <v>54.7</v>
      </c>
      <c r="D65" s="9">
        <f t="shared" si="13"/>
        <v>-1.5</v>
      </c>
      <c r="E65" s="9">
        <f t="shared" si="14"/>
        <v>1.5</v>
      </c>
      <c r="F65" s="9">
        <v>5</v>
      </c>
      <c r="G65" s="6">
        <v>-5</v>
      </c>
      <c r="H65" s="8" t="s">
        <v>178</v>
      </c>
      <c r="J65" s="2" t="s">
        <v>12</v>
      </c>
      <c r="K65" s="9">
        <v>34.6</v>
      </c>
      <c r="L65" s="9">
        <v>33.5</v>
      </c>
      <c r="M65" s="9">
        <f t="shared" si="15"/>
        <v>1.1000000000000014</v>
      </c>
      <c r="N65" s="9">
        <f t="shared" si="16"/>
        <v>1.1000000000000014</v>
      </c>
      <c r="O65" s="9">
        <v>2</v>
      </c>
      <c r="P65" s="6">
        <v>2</v>
      </c>
      <c r="Q65" s="8" t="s">
        <v>179</v>
      </c>
    </row>
    <row r="66" spans="1:17" x14ac:dyDescent="0.2">
      <c r="A66" s="2" t="s">
        <v>13</v>
      </c>
      <c r="B66" s="9">
        <v>49.4</v>
      </c>
      <c r="C66" s="9">
        <v>54.6</v>
      </c>
      <c r="D66" s="9">
        <f t="shared" si="13"/>
        <v>-5.2000000000000028</v>
      </c>
      <c r="E66" s="9">
        <f t="shared" si="14"/>
        <v>5.2000000000000028</v>
      </c>
      <c r="F66" s="9">
        <v>11</v>
      </c>
      <c r="G66" s="6">
        <v>-11</v>
      </c>
      <c r="H66" s="9" t="s">
        <v>72</v>
      </c>
      <c r="J66" s="2" t="s">
        <v>13</v>
      </c>
      <c r="K66" s="9">
        <v>38.299999999999997</v>
      </c>
      <c r="L66" s="9">
        <v>39.299999999999997</v>
      </c>
      <c r="M66" s="9">
        <f t="shared" si="15"/>
        <v>-1</v>
      </c>
      <c r="N66" s="9">
        <f t="shared" si="16"/>
        <v>1</v>
      </c>
      <c r="O66" s="9">
        <v>1</v>
      </c>
      <c r="P66" s="6">
        <v>-1</v>
      </c>
      <c r="Q66" s="9" t="s">
        <v>72</v>
      </c>
    </row>
    <row r="67" spans="1:17" x14ac:dyDescent="0.2">
      <c r="A67" s="2" t="s">
        <v>14</v>
      </c>
      <c r="B67" s="9">
        <v>52.4</v>
      </c>
      <c r="C67" s="9">
        <v>52.8</v>
      </c>
      <c r="D67" s="9">
        <f t="shared" si="13"/>
        <v>-0.39999999999999858</v>
      </c>
      <c r="E67" s="9">
        <f t="shared" si="14"/>
        <v>0.39999999999999858</v>
      </c>
      <c r="F67" s="9">
        <v>1.5</v>
      </c>
      <c r="G67" s="6">
        <v>-1.5</v>
      </c>
      <c r="H67" s="9" t="s">
        <v>74</v>
      </c>
      <c r="J67" s="2" t="s">
        <v>14</v>
      </c>
      <c r="K67" s="9">
        <v>39.6</v>
      </c>
      <c r="L67" s="9">
        <v>38.1</v>
      </c>
      <c r="M67" s="9">
        <f t="shared" si="15"/>
        <v>1.5</v>
      </c>
      <c r="N67" s="9">
        <f t="shared" si="16"/>
        <v>1.5</v>
      </c>
      <c r="O67" s="9">
        <v>3</v>
      </c>
      <c r="P67" s="6">
        <v>3</v>
      </c>
      <c r="Q67" s="9" t="s">
        <v>74</v>
      </c>
    </row>
    <row r="68" spans="1:17" x14ac:dyDescent="0.2">
      <c r="A68" s="2" t="s">
        <v>15</v>
      </c>
      <c r="B68" s="9">
        <v>55.8</v>
      </c>
      <c r="C68" s="9">
        <v>58.2</v>
      </c>
      <c r="D68" s="9">
        <f t="shared" si="13"/>
        <v>-2.4000000000000057</v>
      </c>
      <c r="E68" s="9">
        <f t="shared" si="14"/>
        <v>2.4000000000000057</v>
      </c>
      <c r="F68" s="9">
        <v>7</v>
      </c>
      <c r="G68" s="6">
        <v>-7</v>
      </c>
      <c r="H68" s="9"/>
      <c r="J68" s="2" t="s">
        <v>15</v>
      </c>
      <c r="K68" s="9">
        <v>37.6</v>
      </c>
      <c r="L68" s="9">
        <v>34.1</v>
      </c>
      <c r="M68" s="9">
        <f t="shared" si="15"/>
        <v>3.5</v>
      </c>
      <c r="N68" s="9">
        <f t="shared" si="16"/>
        <v>3.5</v>
      </c>
      <c r="O68" s="9">
        <v>8.5</v>
      </c>
      <c r="P68" s="6">
        <v>8.5</v>
      </c>
    </row>
    <row r="69" spans="1:17" x14ac:dyDescent="0.2">
      <c r="A69" s="2" t="s">
        <v>16</v>
      </c>
      <c r="B69" s="9">
        <v>51.6</v>
      </c>
      <c r="C69" s="9">
        <v>53.8</v>
      </c>
      <c r="D69" s="9">
        <f t="shared" si="13"/>
        <v>-2.1999999999999957</v>
      </c>
      <c r="E69" s="9">
        <f t="shared" si="14"/>
        <v>2.1999999999999957</v>
      </c>
      <c r="F69" s="9">
        <v>6</v>
      </c>
      <c r="G69" s="6">
        <v>-6</v>
      </c>
      <c r="H69" s="9" t="s">
        <v>76</v>
      </c>
      <c r="J69" s="2" t="s">
        <v>16</v>
      </c>
      <c r="K69" s="9">
        <v>39.5</v>
      </c>
      <c r="L69" s="9">
        <v>35.299999999999997</v>
      </c>
      <c r="M69" s="9">
        <f t="shared" si="15"/>
        <v>4.2000000000000028</v>
      </c>
      <c r="N69" s="9">
        <f t="shared" si="16"/>
        <v>4.2000000000000028</v>
      </c>
      <c r="O69" s="9">
        <v>10</v>
      </c>
      <c r="P69" s="6">
        <v>10</v>
      </c>
      <c r="Q69" s="9" t="s">
        <v>76</v>
      </c>
    </row>
    <row r="70" spans="1:17" x14ac:dyDescent="0.2">
      <c r="A70" s="2" t="s">
        <v>17</v>
      </c>
      <c r="B70" s="9">
        <v>46.6</v>
      </c>
      <c r="C70" s="9">
        <v>38.9</v>
      </c>
      <c r="D70" s="9">
        <f t="shared" si="13"/>
        <v>7.7000000000000028</v>
      </c>
      <c r="E70" s="9">
        <f t="shared" si="14"/>
        <v>7.7000000000000028</v>
      </c>
      <c r="F70" s="9">
        <v>13</v>
      </c>
      <c r="G70" s="6">
        <v>13</v>
      </c>
      <c r="J70" s="2" t="s">
        <v>17</v>
      </c>
      <c r="K70" s="9">
        <v>44.4</v>
      </c>
      <c r="L70" s="9">
        <v>47.5</v>
      </c>
      <c r="M70" s="9">
        <f t="shared" si="15"/>
        <v>-3.1000000000000014</v>
      </c>
      <c r="N70" s="9">
        <f t="shared" si="16"/>
        <v>3.1000000000000014</v>
      </c>
      <c r="O70" s="9">
        <v>7</v>
      </c>
      <c r="P70" s="6">
        <v>-7</v>
      </c>
    </row>
    <row r="71" spans="1:17" x14ac:dyDescent="0.2">
      <c r="A71" s="2" t="s">
        <v>18</v>
      </c>
      <c r="B71" s="9">
        <v>41.7</v>
      </c>
      <c r="C71" s="9">
        <v>42.8</v>
      </c>
      <c r="D71" s="9">
        <f t="shared" si="13"/>
        <v>-1.0999999999999943</v>
      </c>
      <c r="E71" s="9">
        <f t="shared" si="14"/>
        <v>1.0999999999999943</v>
      </c>
      <c r="F71" s="9">
        <v>3</v>
      </c>
      <c r="G71" s="6">
        <v>-3</v>
      </c>
      <c r="H71" s="13" t="s">
        <v>146</v>
      </c>
      <c r="J71" s="2" t="s">
        <v>18</v>
      </c>
      <c r="K71" s="9">
        <v>50.6</v>
      </c>
      <c r="L71" s="9">
        <v>52.5</v>
      </c>
      <c r="M71" s="9">
        <f t="shared" si="15"/>
        <v>-1.8999999999999986</v>
      </c>
      <c r="N71" s="9">
        <f t="shared" si="16"/>
        <v>1.8999999999999986</v>
      </c>
      <c r="O71" s="9">
        <v>5</v>
      </c>
      <c r="P71" s="6">
        <v>-5</v>
      </c>
      <c r="Q71" s="13" t="s">
        <v>147</v>
      </c>
    </row>
    <row r="72" spans="1:17" x14ac:dyDescent="0.2">
      <c r="A72" s="2" t="s">
        <v>19</v>
      </c>
      <c r="B72" s="9">
        <v>41.5</v>
      </c>
      <c r="C72" s="9">
        <v>40.1</v>
      </c>
      <c r="D72" s="9">
        <f t="shared" si="13"/>
        <v>1.3999999999999986</v>
      </c>
      <c r="E72" s="9">
        <f t="shared" si="14"/>
        <v>1.3999999999999986</v>
      </c>
      <c r="F72" s="10">
        <v>4</v>
      </c>
      <c r="G72" s="17">
        <v>4</v>
      </c>
      <c r="H72" s="13" t="s">
        <v>71</v>
      </c>
      <c r="J72" s="2" t="s">
        <v>19</v>
      </c>
      <c r="K72" s="9">
        <v>52.7</v>
      </c>
      <c r="L72" s="9">
        <v>50.9</v>
      </c>
      <c r="M72" s="9">
        <f t="shared" si="15"/>
        <v>1.8000000000000043</v>
      </c>
      <c r="N72" s="9">
        <f t="shared" si="16"/>
        <v>1.8000000000000043</v>
      </c>
      <c r="O72" s="10">
        <v>4</v>
      </c>
      <c r="P72" s="17">
        <v>4</v>
      </c>
      <c r="Q72" s="13" t="s">
        <v>71</v>
      </c>
    </row>
    <row r="73" spans="1:17" x14ac:dyDescent="0.2">
      <c r="A73" s="4" t="s">
        <v>27</v>
      </c>
      <c r="B73" s="11"/>
      <c r="C73" s="11"/>
      <c r="D73" s="11"/>
      <c r="E73" s="11"/>
      <c r="G73" s="6">
        <f>SUM(G60:G72)</f>
        <v>-57</v>
      </c>
      <c r="I73" s="12"/>
      <c r="J73" s="4" t="s">
        <v>27</v>
      </c>
      <c r="K73" s="11"/>
      <c r="L73" s="11"/>
      <c r="M73" s="11"/>
      <c r="N73" s="11"/>
      <c r="P73" s="6">
        <f>SUM(P60:P72)</f>
        <v>65</v>
      </c>
    </row>
    <row r="75" spans="1:17" x14ac:dyDescent="0.2">
      <c r="A75" s="1" t="s">
        <v>24</v>
      </c>
      <c r="J75" s="1" t="s">
        <v>24</v>
      </c>
    </row>
    <row r="76" spans="1:17" x14ac:dyDescent="0.2">
      <c r="A76" s="1"/>
    </row>
    <row r="77" spans="1:17" x14ac:dyDescent="0.2">
      <c r="A77" s="1" t="s">
        <v>20</v>
      </c>
      <c r="B77" s="3" t="s">
        <v>1</v>
      </c>
      <c r="C77" s="3" t="s">
        <v>2</v>
      </c>
      <c r="D77" s="3" t="s">
        <v>3</v>
      </c>
      <c r="E77" s="3" t="s">
        <v>4</v>
      </c>
      <c r="F77" s="3" t="s">
        <v>5</v>
      </c>
      <c r="G77" s="15" t="s">
        <v>6</v>
      </c>
      <c r="J77" s="1" t="s">
        <v>21</v>
      </c>
      <c r="K77" s="3" t="s">
        <v>1</v>
      </c>
      <c r="L77" s="3" t="s">
        <v>2</v>
      </c>
      <c r="M77" s="3" t="s">
        <v>3</v>
      </c>
      <c r="N77" s="3" t="s">
        <v>4</v>
      </c>
      <c r="O77" s="3" t="s">
        <v>5</v>
      </c>
      <c r="P77" s="15" t="s">
        <v>6</v>
      </c>
    </row>
    <row r="78" spans="1:17" x14ac:dyDescent="0.2">
      <c r="A78" s="2" t="s">
        <v>7</v>
      </c>
      <c r="B78" s="9">
        <v>66.599999999999994</v>
      </c>
      <c r="C78" s="9">
        <v>64.400000000000006</v>
      </c>
      <c r="D78" s="9">
        <f t="shared" ref="D78:D90" si="17">B78-C78</f>
        <v>2.1999999999999886</v>
      </c>
      <c r="E78" s="9">
        <f t="shared" ref="E78:E90" si="18">ABS(D78)</f>
        <v>2.1999999999999886</v>
      </c>
      <c r="F78" s="9">
        <v>9</v>
      </c>
      <c r="G78" s="6">
        <v>9</v>
      </c>
      <c r="H78" s="8" t="s">
        <v>180</v>
      </c>
      <c r="J78" s="2" t="s">
        <v>7</v>
      </c>
      <c r="K78" s="9">
        <v>31.7</v>
      </c>
      <c r="L78" s="9">
        <v>32.299999999999997</v>
      </c>
      <c r="M78" s="9">
        <f t="shared" ref="M78:M90" si="19">K78-L78</f>
        <v>-0.59999999999999787</v>
      </c>
      <c r="N78" s="9">
        <f t="shared" ref="N78:N90" si="20">ABS(M78)</f>
        <v>0.59999999999999787</v>
      </c>
      <c r="O78" s="9">
        <v>4</v>
      </c>
      <c r="P78" s="6">
        <v>-4</v>
      </c>
      <c r="Q78" s="8" t="s">
        <v>170</v>
      </c>
    </row>
    <row r="79" spans="1:17" x14ac:dyDescent="0.2">
      <c r="A79" s="2" t="s">
        <v>8</v>
      </c>
      <c r="B79" s="9">
        <v>70</v>
      </c>
      <c r="C79" s="9">
        <v>70.599999999999994</v>
      </c>
      <c r="D79" s="9">
        <f t="shared" si="17"/>
        <v>-0.59999999999999432</v>
      </c>
      <c r="E79" s="9">
        <f t="shared" si="18"/>
        <v>0.59999999999999432</v>
      </c>
      <c r="F79" s="9">
        <v>3</v>
      </c>
      <c r="G79" s="6">
        <v>-3</v>
      </c>
      <c r="H79" s="8" t="s">
        <v>181</v>
      </c>
      <c r="J79" s="2" t="s">
        <v>8</v>
      </c>
      <c r="K79" s="9">
        <v>27.9</v>
      </c>
      <c r="L79" s="9">
        <v>26.6</v>
      </c>
      <c r="M79" s="9">
        <f t="shared" si="19"/>
        <v>1.2999999999999972</v>
      </c>
      <c r="N79" s="9">
        <f t="shared" si="20"/>
        <v>1.2999999999999972</v>
      </c>
      <c r="O79" s="9">
        <v>6</v>
      </c>
      <c r="P79" s="6">
        <v>6</v>
      </c>
      <c r="Q79" s="8" t="s">
        <v>182</v>
      </c>
    </row>
    <row r="80" spans="1:17" x14ac:dyDescent="0.2">
      <c r="A80" s="2" t="s">
        <v>9</v>
      </c>
      <c r="B80" s="9">
        <v>65.2</v>
      </c>
      <c r="C80" s="9">
        <v>66.900000000000006</v>
      </c>
      <c r="D80" s="9">
        <f t="shared" si="17"/>
        <v>-1.7000000000000028</v>
      </c>
      <c r="E80" s="9">
        <f t="shared" si="18"/>
        <v>1.7000000000000028</v>
      </c>
      <c r="F80" s="9">
        <v>7</v>
      </c>
      <c r="G80" s="6">
        <v>-7</v>
      </c>
      <c r="H80" s="8" t="s">
        <v>183</v>
      </c>
      <c r="J80" s="2" t="s">
        <v>9</v>
      </c>
      <c r="K80" s="9">
        <v>32.4</v>
      </c>
      <c r="L80" s="9">
        <v>30.4</v>
      </c>
      <c r="M80" s="9">
        <f t="shared" si="19"/>
        <v>2</v>
      </c>
      <c r="N80" s="9">
        <f t="shared" si="20"/>
        <v>2</v>
      </c>
      <c r="O80" s="9">
        <v>9</v>
      </c>
      <c r="P80" s="6">
        <v>9</v>
      </c>
      <c r="Q80" s="8" t="s">
        <v>184</v>
      </c>
    </row>
    <row r="81" spans="1:17" x14ac:dyDescent="0.2">
      <c r="A81" s="2" t="s">
        <v>10</v>
      </c>
      <c r="B81" s="9">
        <v>69.7</v>
      </c>
      <c r="C81" s="9">
        <v>71.8</v>
      </c>
      <c r="D81" s="9">
        <f t="shared" si="17"/>
        <v>-2.0999999999999943</v>
      </c>
      <c r="E81" s="9">
        <f t="shared" si="18"/>
        <v>2.0999999999999943</v>
      </c>
      <c r="F81" s="9">
        <v>8</v>
      </c>
      <c r="G81" s="6">
        <v>-8</v>
      </c>
      <c r="H81" s="8" t="s">
        <v>185</v>
      </c>
      <c r="J81" s="2" t="s">
        <v>10</v>
      </c>
      <c r="K81" s="9">
        <v>27.9</v>
      </c>
      <c r="L81" s="9">
        <v>25.8</v>
      </c>
      <c r="M81" s="9">
        <f t="shared" si="19"/>
        <v>2.0999999999999979</v>
      </c>
      <c r="N81" s="9">
        <f t="shared" si="20"/>
        <v>2.0999999999999979</v>
      </c>
      <c r="O81" s="9">
        <v>10</v>
      </c>
      <c r="P81" s="6">
        <v>10</v>
      </c>
      <c r="Q81" s="8" t="s">
        <v>186</v>
      </c>
    </row>
    <row r="82" spans="1:17" x14ac:dyDescent="0.2">
      <c r="A82" s="2" t="s">
        <v>11</v>
      </c>
      <c r="B82" s="9">
        <v>72.8</v>
      </c>
      <c r="C82" s="9">
        <v>73.099999999999994</v>
      </c>
      <c r="D82" s="9">
        <f t="shared" si="17"/>
        <v>-0.29999999999999716</v>
      </c>
      <c r="E82" s="9">
        <f t="shared" si="18"/>
        <v>0.29999999999999716</v>
      </c>
      <c r="F82" s="9">
        <v>2</v>
      </c>
      <c r="G82" s="6">
        <v>-2</v>
      </c>
      <c r="H82" s="9"/>
      <c r="J82" s="2" t="s">
        <v>11</v>
      </c>
      <c r="K82" s="9">
        <v>23.6</v>
      </c>
      <c r="L82" s="9">
        <v>21.9</v>
      </c>
      <c r="M82" s="9">
        <f t="shared" si="19"/>
        <v>1.7000000000000028</v>
      </c>
      <c r="N82" s="9">
        <f t="shared" si="20"/>
        <v>1.7000000000000028</v>
      </c>
      <c r="O82" s="9">
        <v>8</v>
      </c>
      <c r="P82" s="6">
        <v>8</v>
      </c>
    </row>
    <row r="83" spans="1:17" x14ac:dyDescent="0.2">
      <c r="A83" s="2" t="s">
        <v>12</v>
      </c>
      <c r="B83" s="9">
        <v>67.099999999999994</v>
      </c>
      <c r="C83" s="9">
        <v>64.400000000000006</v>
      </c>
      <c r="D83" s="9">
        <f t="shared" si="17"/>
        <v>2.6999999999999886</v>
      </c>
      <c r="E83" s="9">
        <f t="shared" si="18"/>
        <v>2.6999999999999886</v>
      </c>
      <c r="F83" s="9">
        <v>10</v>
      </c>
      <c r="G83" s="6">
        <v>10</v>
      </c>
      <c r="H83" s="8" t="s">
        <v>187</v>
      </c>
      <c r="J83" s="2" t="s">
        <v>12</v>
      </c>
      <c r="K83" s="9">
        <v>28.2</v>
      </c>
      <c r="L83" s="9">
        <v>28.1</v>
      </c>
      <c r="M83" s="9">
        <f t="shared" si="19"/>
        <v>9.9999999999997868E-2</v>
      </c>
      <c r="N83" s="9">
        <f t="shared" si="20"/>
        <v>9.9999999999997868E-2</v>
      </c>
      <c r="O83" s="9">
        <v>1</v>
      </c>
      <c r="P83" s="6">
        <v>1</v>
      </c>
      <c r="Q83" s="8" t="s">
        <v>178</v>
      </c>
    </row>
    <row r="84" spans="1:17" x14ac:dyDescent="0.2">
      <c r="A84" s="2" t="s">
        <v>13</v>
      </c>
      <c r="B84" s="9">
        <v>60.7</v>
      </c>
      <c r="C84" s="9">
        <v>60.8</v>
      </c>
      <c r="D84" s="9">
        <f t="shared" si="17"/>
        <v>-9.9999999999994316E-2</v>
      </c>
      <c r="E84" s="9">
        <f t="shared" si="18"/>
        <v>9.9999999999994316E-2</v>
      </c>
      <c r="F84" s="9">
        <v>1</v>
      </c>
      <c r="G84" s="6">
        <v>-1</v>
      </c>
      <c r="H84" s="9" t="s">
        <v>72</v>
      </c>
      <c r="J84" s="2" t="s">
        <v>13</v>
      </c>
      <c r="K84" s="9">
        <v>35</v>
      </c>
      <c r="L84" s="9">
        <v>34.5</v>
      </c>
      <c r="M84" s="9">
        <f t="shared" si="19"/>
        <v>0.5</v>
      </c>
      <c r="N84" s="9">
        <f t="shared" si="20"/>
        <v>0.5</v>
      </c>
      <c r="O84" s="9">
        <v>3</v>
      </c>
      <c r="P84" s="6">
        <v>3</v>
      </c>
      <c r="Q84" s="9" t="s">
        <v>72</v>
      </c>
    </row>
    <row r="85" spans="1:17" x14ac:dyDescent="0.2">
      <c r="A85" s="2" t="s">
        <v>14</v>
      </c>
      <c r="B85" s="9">
        <v>58.4</v>
      </c>
      <c r="C85" s="9">
        <v>61.7</v>
      </c>
      <c r="D85" s="9">
        <f t="shared" si="17"/>
        <v>-3.3000000000000043</v>
      </c>
      <c r="E85" s="9">
        <f t="shared" si="18"/>
        <v>3.3000000000000043</v>
      </c>
      <c r="F85" s="9">
        <v>11</v>
      </c>
      <c r="G85" s="6">
        <v>-11</v>
      </c>
      <c r="H85" s="9" t="s">
        <v>74</v>
      </c>
      <c r="J85" s="2" t="s">
        <v>14</v>
      </c>
      <c r="K85" s="9">
        <v>37.299999999999997</v>
      </c>
      <c r="L85" s="9">
        <v>34.5</v>
      </c>
      <c r="M85" s="9">
        <f t="shared" si="19"/>
        <v>2.7999999999999972</v>
      </c>
      <c r="N85" s="9">
        <f t="shared" si="20"/>
        <v>2.7999999999999972</v>
      </c>
      <c r="O85" s="9">
        <v>11</v>
      </c>
      <c r="P85" s="6">
        <v>11</v>
      </c>
      <c r="Q85" s="9" t="s">
        <v>74</v>
      </c>
    </row>
    <row r="86" spans="1:17" x14ac:dyDescent="0.2">
      <c r="A86" s="2" t="s">
        <v>15</v>
      </c>
      <c r="B86" s="9">
        <v>63.7</v>
      </c>
      <c r="C86" s="9">
        <v>64.7</v>
      </c>
      <c r="D86" s="9">
        <f t="shared" si="17"/>
        <v>-1</v>
      </c>
      <c r="E86" s="9">
        <f t="shared" si="18"/>
        <v>1</v>
      </c>
      <c r="F86" s="9">
        <v>5</v>
      </c>
      <c r="G86" s="6">
        <v>-5</v>
      </c>
      <c r="H86" s="9"/>
      <c r="J86" s="2" t="s">
        <v>15</v>
      </c>
      <c r="K86" s="9">
        <v>32.4</v>
      </c>
      <c r="L86" s="9">
        <v>31</v>
      </c>
      <c r="M86" s="9">
        <f t="shared" si="19"/>
        <v>1.3999999999999986</v>
      </c>
      <c r="N86" s="9">
        <f t="shared" si="20"/>
        <v>1.3999999999999986</v>
      </c>
      <c r="O86" s="9">
        <v>7</v>
      </c>
      <c r="P86" s="6">
        <v>7</v>
      </c>
    </row>
    <row r="87" spans="1:17" x14ac:dyDescent="0.2">
      <c r="A87" s="2" t="s">
        <v>16</v>
      </c>
      <c r="B87" s="9">
        <v>62.5</v>
      </c>
      <c r="C87" s="9">
        <v>63.4</v>
      </c>
      <c r="D87" s="9">
        <f t="shared" si="17"/>
        <v>-0.89999999999999858</v>
      </c>
      <c r="E87" s="9">
        <f t="shared" si="18"/>
        <v>0.89999999999999858</v>
      </c>
      <c r="F87" s="9">
        <v>4</v>
      </c>
      <c r="G87" s="6">
        <v>-4</v>
      </c>
      <c r="H87" s="9" t="s">
        <v>76</v>
      </c>
      <c r="J87" s="2" t="s">
        <v>16</v>
      </c>
      <c r="K87" s="9">
        <v>31.5</v>
      </c>
      <c r="L87" s="9">
        <v>30.7</v>
      </c>
      <c r="M87" s="9">
        <f t="shared" si="19"/>
        <v>0.80000000000000071</v>
      </c>
      <c r="N87" s="9">
        <f t="shared" si="20"/>
        <v>0.80000000000000071</v>
      </c>
      <c r="O87" s="9">
        <v>5</v>
      </c>
      <c r="P87" s="6">
        <v>5</v>
      </c>
      <c r="Q87" s="9" t="s">
        <v>76</v>
      </c>
    </row>
    <row r="88" spans="1:17" x14ac:dyDescent="0.2">
      <c r="A88" s="2" t="s">
        <v>17</v>
      </c>
      <c r="B88" s="9">
        <v>64</v>
      </c>
      <c r="C88" s="9">
        <v>54.8</v>
      </c>
      <c r="D88" s="9">
        <f t="shared" si="17"/>
        <v>9.2000000000000028</v>
      </c>
      <c r="E88" s="9">
        <f t="shared" si="18"/>
        <v>9.2000000000000028</v>
      </c>
      <c r="F88" s="9">
        <v>13</v>
      </c>
      <c r="G88" s="6">
        <v>13</v>
      </c>
      <c r="J88" s="2" t="s">
        <v>17</v>
      </c>
      <c r="K88" s="9">
        <v>30.4</v>
      </c>
      <c r="L88" s="9">
        <v>39.6</v>
      </c>
      <c r="M88" s="9">
        <f t="shared" si="19"/>
        <v>-9.2000000000000028</v>
      </c>
      <c r="N88" s="9">
        <f t="shared" si="20"/>
        <v>9.2000000000000028</v>
      </c>
      <c r="O88" s="9">
        <v>13</v>
      </c>
      <c r="P88" s="6">
        <v>-13</v>
      </c>
    </row>
    <row r="89" spans="1:17" x14ac:dyDescent="0.2">
      <c r="A89" s="2" t="s">
        <v>18</v>
      </c>
      <c r="B89" s="9">
        <v>57.7</v>
      </c>
      <c r="C89" s="9">
        <v>56.3</v>
      </c>
      <c r="D89" s="9">
        <f t="shared" si="17"/>
        <v>1.4000000000000057</v>
      </c>
      <c r="E89" s="9">
        <f t="shared" si="18"/>
        <v>1.4000000000000057</v>
      </c>
      <c r="F89" s="9">
        <v>6</v>
      </c>
      <c r="G89" s="6">
        <v>6</v>
      </c>
      <c r="H89" s="5" t="s">
        <v>148</v>
      </c>
      <c r="J89" s="2" t="s">
        <v>18</v>
      </c>
      <c r="K89" s="9">
        <v>40.700000000000003</v>
      </c>
      <c r="L89" s="9">
        <v>40.299999999999997</v>
      </c>
      <c r="M89" s="9">
        <f t="shared" si="19"/>
        <v>0.40000000000000568</v>
      </c>
      <c r="N89" s="9">
        <f t="shared" si="20"/>
        <v>0.40000000000000568</v>
      </c>
      <c r="O89" s="9">
        <v>2</v>
      </c>
      <c r="P89" s="6">
        <v>2</v>
      </c>
      <c r="Q89" s="13" t="s">
        <v>146</v>
      </c>
    </row>
    <row r="90" spans="1:17" x14ac:dyDescent="0.2">
      <c r="A90" s="2" t="s">
        <v>19</v>
      </c>
      <c r="B90" s="9">
        <v>59.4</v>
      </c>
      <c r="C90" s="9">
        <v>55.4</v>
      </c>
      <c r="D90" s="9">
        <f t="shared" si="17"/>
        <v>4</v>
      </c>
      <c r="E90" s="9">
        <f t="shared" si="18"/>
        <v>4</v>
      </c>
      <c r="F90" s="10">
        <v>12</v>
      </c>
      <c r="G90" s="17">
        <v>12</v>
      </c>
      <c r="H90" s="5" t="s">
        <v>112</v>
      </c>
      <c r="J90" s="2" t="s">
        <v>19</v>
      </c>
      <c r="K90" s="9">
        <v>39.200000000000003</v>
      </c>
      <c r="L90" s="9">
        <v>35.5</v>
      </c>
      <c r="M90" s="9">
        <f t="shared" si="19"/>
        <v>3.7000000000000028</v>
      </c>
      <c r="N90" s="9">
        <f t="shared" si="20"/>
        <v>3.7000000000000028</v>
      </c>
      <c r="O90" s="10">
        <v>12</v>
      </c>
      <c r="P90" s="17">
        <v>12</v>
      </c>
      <c r="Q90" s="13" t="s">
        <v>71</v>
      </c>
    </row>
    <row r="91" spans="1:17" x14ac:dyDescent="0.2">
      <c r="A91" s="4" t="s">
        <v>27</v>
      </c>
      <c r="B91" s="11"/>
      <c r="C91" s="11"/>
      <c r="D91" s="11"/>
      <c r="E91" s="11"/>
      <c r="G91" s="6">
        <f>SUM(G78:G90)</f>
        <v>9</v>
      </c>
      <c r="I91" s="12"/>
      <c r="J91" s="4" t="s">
        <v>27</v>
      </c>
      <c r="K91" s="11"/>
      <c r="L91" s="11"/>
      <c r="M91" s="11"/>
      <c r="N91" s="11"/>
      <c r="P91" s="6">
        <f>SUM(P78:P90)</f>
        <v>57</v>
      </c>
    </row>
    <row r="93" spans="1:17" x14ac:dyDescent="0.2">
      <c r="A93" s="1" t="s">
        <v>23</v>
      </c>
      <c r="J93" s="1" t="s">
        <v>23</v>
      </c>
    </row>
    <row r="94" spans="1:17" x14ac:dyDescent="0.2">
      <c r="A94" s="1"/>
    </row>
    <row r="95" spans="1:17" x14ac:dyDescent="0.2">
      <c r="A95" s="1" t="s">
        <v>20</v>
      </c>
      <c r="B95" s="3" t="s">
        <v>1</v>
      </c>
      <c r="C95" s="3" t="s">
        <v>2</v>
      </c>
      <c r="D95" s="3" t="s">
        <v>3</v>
      </c>
      <c r="E95" s="3" t="s">
        <v>4</v>
      </c>
      <c r="F95" s="3" t="s">
        <v>5</v>
      </c>
      <c r="G95" s="15" t="s">
        <v>6</v>
      </c>
      <c r="J95" s="1" t="s">
        <v>21</v>
      </c>
      <c r="K95" s="3" t="s">
        <v>1</v>
      </c>
      <c r="L95" s="3" t="s">
        <v>2</v>
      </c>
      <c r="M95" s="3" t="s">
        <v>3</v>
      </c>
      <c r="N95" s="3" t="s">
        <v>4</v>
      </c>
      <c r="O95" s="3" t="s">
        <v>5</v>
      </c>
      <c r="P95" s="15" t="s">
        <v>6</v>
      </c>
    </row>
    <row r="96" spans="1:17" x14ac:dyDescent="0.2">
      <c r="A96" s="2" t="s">
        <v>7</v>
      </c>
      <c r="B96" s="9">
        <v>66.099999999999994</v>
      </c>
      <c r="C96" s="9">
        <v>66.3</v>
      </c>
      <c r="D96" s="9">
        <f t="shared" ref="D96:D108" si="21">B96-C96</f>
        <v>-0.20000000000000284</v>
      </c>
      <c r="E96" s="9">
        <f t="shared" ref="E96:E108" si="22">ABS(D96)</f>
        <v>0.20000000000000284</v>
      </c>
      <c r="F96" s="9">
        <v>2.5</v>
      </c>
      <c r="G96" s="6">
        <v>-2.5</v>
      </c>
      <c r="H96" s="8" t="s">
        <v>188</v>
      </c>
      <c r="J96" s="2" t="s">
        <v>7</v>
      </c>
      <c r="K96" s="9">
        <v>29.8</v>
      </c>
      <c r="L96" s="9">
        <v>27.1</v>
      </c>
      <c r="M96" s="9">
        <f t="shared" ref="M96:M108" si="23">K96-L96</f>
        <v>2.6999999999999993</v>
      </c>
      <c r="N96" s="9">
        <f t="shared" ref="N96:N108" si="24">ABS(M96)</f>
        <v>2.6999999999999993</v>
      </c>
      <c r="O96" s="9">
        <v>6</v>
      </c>
      <c r="P96" s="6">
        <v>6</v>
      </c>
      <c r="Q96" s="8" t="s">
        <v>189</v>
      </c>
    </row>
    <row r="97" spans="1:17" x14ac:dyDescent="0.2">
      <c r="A97" s="2" t="s">
        <v>8</v>
      </c>
      <c r="B97" s="9">
        <v>73.599999999999994</v>
      </c>
      <c r="C97" s="9">
        <v>71.599999999999994</v>
      </c>
      <c r="D97" s="9">
        <f t="shared" si="21"/>
        <v>2</v>
      </c>
      <c r="E97" s="9">
        <f t="shared" si="22"/>
        <v>2</v>
      </c>
      <c r="F97" s="9">
        <v>7</v>
      </c>
      <c r="G97" s="6">
        <v>7</v>
      </c>
      <c r="H97" s="8" t="s">
        <v>190</v>
      </c>
      <c r="J97" s="2" t="s">
        <v>8</v>
      </c>
      <c r="K97" s="9">
        <v>23.4</v>
      </c>
      <c r="L97" s="9">
        <v>22.8</v>
      </c>
      <c r="M97" s="9">
        <f t="shared" si="23"/>
        <v>0.59999999999999787</v>
      </c>
      <c r="N97" s="9">
        <f t="shared" si="24"/>
        <v>0.59999999999999787</v>
      </c>
      <c r="O97" s="9">
        <v>3</v>
      </c>
      <c r="P97" s="6">
        <v>3</v>
      </c>
      <c r="Q97" s="8" t="s">
        <v>191</v>
      </c>
    </row>
    <row r="98" spans="1:17" x14ac:dyDescent="0.2">
      <c r="A98" s="2" t="s">
        <v>9</v>
      </c>
      <c r="B98" s="9">
        <v>62.8</v>
      </c>
      <c r="C98" s="9">
        <v>63</v>
      </c>
      <c r="D98" s="9">
        <f t="shared" si="21"/>
        <v>-0.20000000000000284</v>
      </c>
      <c r="E98" s="9">
        <f t="shared" si="22"/>
        <v>0.20000000000000284</v>
      </c>
      <c r="F98" s="9">
        <v>2.5</v>
      </c>
      <c r="G98" s="6">
        <v>-2.5</v>
      </c>
      <c r="H98" s="8" t="s">
        <v>192</v>
      </c>
      <c r="J98" s="2" t="s">
        <v>9</v>
      </c>
      <c r="K98" s="9">
        <v>31.3</v>
      </c>
      <c r="L98" s="9">
        <v>31</v>
      </c>
      <c r="M98" s="9">
        <f t="shared" si="23"/>
        <v>0.30000000000000071</v>
      </c>
      <c r="N98" s="9">
        <f t="shared" si="24"/>
        <v>0.30000000000000071</v>
      </c>
      <c r="O98" s="9">
        <v>1</v>
      </c>
      <c r="P98" s="6">
        <v>1</v>
      </c>
      <c r="Q98" s="8" t="s">
        <v>193</v>
      </c>
    </row>
    <row r="99" spans="1:17" x14ac:dyDescent="0.2">
      <c r="A99" s="2" t="s">
        <v>10</v>
      </c>
      <c r="B99" s="9">
        <v>68.400000000000006</v>
      </c>
      <c r="C99" s="9">
        <v>69</v>
      </c>
      <c r="D99" s="9">
        <f t="shared" si="21"/>
        <v>-0.59999999999999432</v>
      </c>
      <c r="E99" s="9">
        <f t="shared" si="22"/>
        <v>0.59999999999999432</v>
      </c>
      <c r="F99" s="9">
        <v>4</v>
      </c>
      <c r="G99" s="6">
        <v>-4</v>
      </c>
      <c r="H99" s="8" t="s">
        <v>194</v>
      </c>
      <c r="J99" s="2" t="s">
        <v>10</v>
      </c>
      <c r="K99" s="9">
        <v>28.4</v>
      </c>
      <c r="L99" s="9">
        <v>24.5</v>
      </c>
      <c r="M99" s="9">
        <f t="shared" si="23"/>
        <v>3.8999999999999986</v>
      </c>
      <c r="N99" s="9">
        <f t="shared" si="24"/>
        <v>3.8999999999999986</v>
      </c>
      <c r="O99" s="9">
        <v>10</v>
      </c>
      <c r="P99" s="6">
        <v>10</v>
      </c>
      <c r="Q99" s="8" t="s">
        <v>195</v>
      </c>
    </row>
    <row r="100" spans="1:17" x14ac:dyDescent="0.2">
      <c r="A100" s="2" t="s">
        <v>11</v>
      </c>
      <c r="B100" s="9">
        <v>68.400000000000006</v>
      </c>
      <c r="C100" s="9">
        <v>68.3</v>
      </c>
      <c r="D100" s="9">
        <f t="shared" si="21"/>
        <v>0.10000000000000853</v>
      </c>
      <c r="E100" s="9">
        <f t="shared" si="22"/>
        <v>0.10000000000000853</v>
      </c>
      <c r="F100" s="9">
        <v>1</v>
      </c>
      <c r="G100" s="6">
        <v>1</v>
      </c>
      <c r="H100" s="9"/>
      <c r="J100" s="2" t="s">
        <v>11</v>
      </c>
      <c r="K100" s="9">
        <v>25</v>
      </c>
      <c r="L100" s="9">
        <v>21.4</v>
      </c>
      <c r="M100" s="9">
        <f t="shared" si="23"/>
        <v>3.6000000000000014</v>
      </c>
      <c r="N100" s="9">
        <f t="shared" si="24"/>
        <v>3.6000000000000014</v>
      </c>
      <c r="O100" s="9">
        <v>9</v>
      </c>
      <c r="P100" s="6">
        <v>9</v>
      </c>
    </row>
    <row r="101" spans="1:17" x14ac:dyDescent="0.2">
      <c r="A101" s="2" t="s">
        <v>12</v>
      </c>
      <c r="B101" s="9">
        <v>60.7</v>
      </c>
      <c r="C101" s="9">
        <v>57.5</v>
      </c>
      <c r="D101" s="9">
        <f t="shared" si="21"/>
        <v>3.2000000000000028</v>
      </c>
      <c r="E101" s="9">
        <f t="shared" si="22"/>
        <v>3.2000000000000028</v>
      </c>
      <c r="F101" s="9">
        <v>10</v>
      </c>
      <c r="G101" s="6">
        <v>10</v>
      </c>
      <c r="H101" s="8" t="s">
        <v>196</v>
      </c>
      <c r="J101" s="2" t="s">
        <v>12</v>
      </c>
      <c r="K101" s="9">
        <v>29.8</v>
      </c>
      <c r="L101" s="9">
        <v>29.4</v>
      </c>
      <c r="M101" s="9">
        <f t="shared" si="23"/>
        <v>0.40000000000000213</v>
      </c>
      <c r="N101" s="9">
        <f t="shared" si="24"/>
        <v>0.40000000000000213</v>
      </c>
      <c r="O101" s="9">
        <v>2</v>
      </c>
      <c r="P101" s="6">
        <v>2</v>
      </c>
      <c r="Q101" s="8" t="s">
        <v>197</v>
      </c>
    </row>
    <row r="102" spans="1:17" x14ac:dyDescent="0.2">
      <c r="A102" s="2" t="s">
        <v>13</v>
      </c>
      <c r="B102" s="9">
        <v>59.4</v>
      </c>
      <c r="C102" s="9">
        <v>56.5</v>
      </c>
      <c r="D102" s="9">
        <f t="shared" si="21"/>
        <v>2.8999999999999986</v>
      </c>
      <c r="E102" s="9">
        <f t="shared" si="22"/>
        <v>2.8999999999999986</v>
      </c>
      <c r="F102" s="9">
        <v>8.5</v>
      </c>
      <c r="G102" s="6">
        <v>8.5</v>
      </c>
      <c r="H102" s="9" t="s">
        <v>72</v>
      </c>
      <c r="J102" s="2" t="s">
        <v>13</v>
      </c>
      <c r="K102" s="9">
        <v>33.200000000000003</v>
      </c>
      <c r="L102" s="9">
        <v>34.200000000000003</v>
      </c>
      <c r="M102" s="9">
        <f t="shared" si="23"/>
        <v>-1</v>
      </c>
      <c r="N102" s="9">
        <f t="shared" si="24"/>
        <v>1</v>
      </c>
      <c r="O102" s="9">
        <v>4</v>
      </c>
      <c r="P102" s="6">
        <v>-4</v>
      </c>
      <c r="Q102" s="9" t="s">
        <v>72</v>
      </c>
    </row>
    <row r="103" spans="1:17" x14ac:dyDescent="0.2">
      <c r="A103" s="2" t="s">
        <v>14</v>
      </c>
      <c r="B103" s="9">
        <v>59.8</v>
      </c>
      <c r="C103" s="9">
        <v>59.1</v>
      </c>
      <c r="D103" s="9">
        <f t="shared" si="21"/>
        <v>0.69999999999999574</v>
      </c>
      <c r="E103" s="9">
        <f t="shared" si="22"/>
        <v>0.69999999999999574</v>
      </c>
      <c r="F103" s="9">
        <v>5</v>
      </c>
      <c r="G103" s="6">
        <v>5</v>
      </c>
      <c r="H103" s="9" t="s">
        <v>74</v>
      </c>
      <c r="J103" s="2" t="s">
        <v>14</v>
      </c>
      <c r="K103" s="9">
        <v>36.299999999999997</v>
      </c>
      <c r="L103" s="9">
        <v>34.6</v>
      </c>
      <c r="M103" s="9">
        <f t="shared" si="23"/>
        <v>1.6999999999999957</v>
      </c>
      <c r="N103" s="9">
        <f t="shared" si="24"/>
        <v>1.6999999999999957</v>
      </c>
      <c r="O103" s="9">
        <v>5</v>
      </c>
      <c r="P103" s="6">
        <v>5</v>
      </c>
      <c r="Q103" s="9" t="s">
        <v>74</v>
      </c>
    </row>
    <row r="104" spans="1:17" x14ac:dyDescent="0.2">
      <c r="A104" s="2" t="s">
        <v>15</v>
      </c>
      <c r="B104" s="9">
        <v>59</v>
      </c>
      <c r="C104" s="9">
        <v>63.2</v>
      </c>
      <c r="D104" s="9">
        <f t="shared" si="21"/>
        <v>-4.2000000000000028</v>
      </c>
      <c r="E104" s="9">
        <f t="shared" si="22"/>
        <v>4.2000000000000028</v>
      </c>
      <c r="F104" s="9">
        <v>12</v>
      </c>
      <c r="G104" s="6">
        <v>-12</v>
      </c>
      <c r="H104" s="9"/>
      <c r="J104" s="2" t="s">
        <v>15</v>
      </c>
      <c r="K104" s="9">
        <v>34.9</v>
      </c>
      <c r="L104" s="9">
        <v>29.2</v>
      </c>
      <c r="M104" s="9">
        <f t="shared" si="23"/>
        <v>5.6999999999999993</v>
      </c>
      <c r="N104" s="9">
        <f t="shared" si="24"/>
        <v>5.6999999999999993</v>
      </c>
      <c r="O104" s="9">
        <v>12</v>
      </c>
      <c r="P104" s="6">
        <v>12</v>
      </c>
    </row>
    <row r="105" spans="1:17" x14ac:dyDescent="0.2">
      <c r="A105" s="2" t="s">
        <v>16</v>
      </c>
      <c r="B105" s="9">
        <v>58.8</v>
      </c>
      <c r="C105" s="9">
        <v>59.6</v>
      </c>
      <c r="D105" s="9">
        <f t="shared" si="21"/>
        <v>-0.80000000000000426</v>
      </c>
      <c r="E105" s="9">
        <f t="shared" si="22"/>
        <v>0.80000000000000426</v>
      </c>
      <c r="F105" s="9">
        <v>6</v>
      </c>
      <c r="G105" s="6">
        <v>-6</v>
      </c>
      <c r="H105" s="9" t="s">
        <v>76</v>
      </c>
      <c r="J105" s="2" t="s">
        <v>16</v>
      </c>
      <c r="K105" s="9">
        <v>34.200000000000003</v>
      </c>
      <c r="L105" s="9">
        <v>29.6</v>
      </c>
      <c r="M105" s="9">
        <f t="shared" si="23"/>
        <v>4.6000000000000014</v>
      </c>
      <c r="N105" s="9">
        <f t="shared" si="24"/>
        <v>4.6000000000000014</v>
      </c>
      <c r="O105" s="9">
        <v>11</v>
      </c>
      <c r="P105" s="6">
        <v>11</v>
      </c>
      <c r="Q105" s="9" t="s">
        <v>76</v>
      </c>
    </row>
    <row r="106" spans="1:17" x14ac:dyDescent="0.2">
      <c r="A106" s="2" t="s">
        <v>17</v>
      </c>
      <c r="B106" s="9">
        <v>54.4</v>
      </c>
      <c r="C106" s="9">
        <v>45.5</v>
      </c>
      <c r="D106" s="9">
        <f t="shared" si="21"/>
        <v>8.8999999999999986</v>
      </c>
      <c r="E106" s="9">
        <f t="shared" si="22"/>
        <v>8.8999999999999986</v>
      </c>
      <c r="F106" s="9">
        <v>13</v>
      </c>
      <c r="G106" s="6">
        <v>13</v>
      </c>
      <c r="J106" s="2" t="s">
        <v>17</v>
      </c>
      <c r="K106" s="9">
        <v>39.5</v>
      </c>
      <c r="L106" s="9">
        <v>45.6</v>
      </c>
      <c r="M106" s="9">
        <f t="shared" si="23"/>
        <v>-6.1000000000000014</v>
      </c>
      <c r="N106" s="9">
        <f t="shared" si="24"/>
        <v>6.1000000000000014</v>
      </c>
      <c r="O106" s="9">
        <v>13</v>
      </c>
      <c r="P106" s="6">
        <v>-13</v>
      </c>
    </row>
    <row r="107" spans="1:17" x14ac:dyDescent="0.2">
      <c r="A107" s="2" t="s">
        <v>18</v>
      </c>
      <c r="B107" s="9">
        <v>55.3</v>
      </c>
      <c r="C107" s="9">
        <v>51.6</v>
      </c>
      <c r="D107" s="9">
        <f t="shared" si="21"/>
        <v>3.6999999999999957</v>
      </c>
      <c r="E107" s="9">
        <f t="shared" si="22"/>
        <v>3.6999999999999957</v>
      </c>
      <c r="F107" s="9">
        <v>11</v>
      </c>
      <c r="G107" s="6">
        <v>11</v>
      </c>
      <c r="H107" s="5" t="s">
        <v>149</v>
      </c>
      <c r="J107" s="2" t="s">
        <v>18</v>
      </c>
      <c r="K107" s="9">
        <v>41</v>
      </c>
      <c r="L107" s="9">
        <v>44.1</v>
      </c>
      <c r="M107" s="9">
        <f t="shared" si="23"/>
        <v>-3.1000000000000014</v>
      </c>
      <c r="N107" s="9">
        <f t="shared" si="24"/>
        <v>3.1000000000000014</v>
      </c>
      <c r="O107" s="9">
        <v>8</v>
      </c>
      <c r="P107" s="6">
        <v>-8</v>
      </c>
      <c r="Q107" s="5" t="s">
        <v>150</v>
      </c>
    </row>
    <row r="108" spans="1:17" x14ac:dyDescent="0.2">
      <c r="A108" s="2" t="s">
        <v>19</v>
      </c>
      <c r="B108" s="9">
        <v>54</v>
      </c>
      <c r="C108" s="9">
        <v>51.1</v>
      </c>
      <c r="D108" s="9">
        <f t="shared" si="21"/>
        <v>2.8999999999999986</v>
      </c>
      <c r="E108" s="9">
        <f t="shared" si="22"/>
        <v>2.8999999999999986</v>
      </c>
      <c r="F108" s="10">
        <v>8.5</v>
      </c>
      <c r="G108" s="17">
        <v>8.5</v>
      </c>
      <c r="H108" s="5" t="s">
        <v>112</v>
      </c>
      <c r="J108" s="2" t="s">
        <v>19</v>
      </c>
      <c r="K108" s="9">
        <v>43.8</v>
      </c>
      <c r="L108" s="9">
        <v>40.700000000000003</v>
      </c>
      <c r="M108" s="9">
        <f t="shared" si="23"/>
        <v>3.0999999999999943</v>
      </c>
      <c r="N108" s="9">
        <f t="shared" si="24"/>
        <v>3.0999999999999943</v>
      </c>
      <c r="O108" s="10">
        <v>7</v>
      </c>
      <c r="P108" s="17">
        <v>7</v>
      </c>
      <c r="Q108" s="5" t="s">
        <v>112</v>
      </c>
    </row>
    <row r="109" spans="1:17" x14ac:dyDescent="0.2">
      <c r="A109" s="4" t="s">
        <v>27</v>
      </c>
      <c r="B109" s="11"/>
      <c r="C109" s="11"/>
      <c r="D109" s="11"/>
      <c r="E109" s="11"/>
      <c r="G109" s="6">
        <f>SUM(G96:G108)</f>
        <v>37</v>
      </c>
      <c r="H109" s="14"/>
      <c r="I109" s="12"/>
      <c r="J109" s="4" t="s">
        <v>27</v>
      </c>
      <c r="K109" s="11"/>
      <c r="L109" s="11"/>
      <c r="M109" s="11"/>
      <c r="N109" s="11"/>
      <c r="P109" s="6">
        <f>SUM(P96:P108)</f>
        <v>41</v>
      </c>
    </row>
    <row r="110" spans="1:17" x14ac:dyDescent="0.2">
      <c r="A110" s="7"/>
      <c r="B110" s="12"/>
      <c r="C110" s="12"/>
      <c r="D110" s="12"/>
      <c r="E110" s="12"/>
      <c r="I110" s="12"/>
      <c r="J110" s="7"/>
      <c r="K110" s="12"/>
      <c r="L110" s="12"/>
      <c r="M110" s="12"/>
      <c r="N110" s="12"/>
    </row>
    <row r="111" spans="1:17" x14ac:dyDescent="0.2">
      <c r="E111" s="6"/>
      <c r="F111" s="6"/>
      <c r="G111" s="9"/>
      <c r="N111" s="6"/>
      <c r="P111" s="9"/>
    </row>
    <row r="112" spans="1:17" x14ac:dyDescent="0.2">
      <c r="E112" s="6"/>
      <c r="F112" s="6"/>
      <c r="G112" s="9"/>
      <c r="H112" s="9"/>
      <c r="N112" s="6"/>
      <c r="P112" s="9"/>
    </row>
    <row r="113" spans="5:16" x14ac:dyDescent="0.2">
      <c r="E113" s="6"/>
      <c r="F113" s="6"/>
      <c r="G113" s="9"/>
      <c r="H113" s="9"/>
      <c r="N113" s="6"/>
      <c r="P113" s="9"/>
    </row>
    <row r="114" spans="5:16" x14ac:dyDescent="0.2">
      <c r="E114" s="6"/>
      <c r="F114" s="6"/>
      <c r="G114" s="9"/>
      <c r="H114" s="9"/>
      <c r="N114" s="6"/>
      <c r="P114" s="9"/>
    </row>
    <row r="115" spans="5:16" x14ac:dyDescent="0.2">
      <c r="E115" s="6"/>
      <c r="F115" s="6"/>
      <c r="G115" s="9"/>
      <c r="H115" s="9"/>
      <c r="N115" s="6"/>
      <c r="P115" s="9"/>
    </row>
    <row r="116" spans="5:16" x14ac:dyDescent="0.2">
      <c r="E116" s="6"/>
      <c r="F116" s="6"/>
      <c r="G116" s="9"/>
      <c r="H116" s="9"/>
      <c r="N116" s="6"/>
      <c r="P116" s="9"/>
    </row>
    <row r="117" spans="5:16" x14ac:dyDescent="0.2">
      <c r="E117" s="6"/>
      <c r="F117" s="6"/>
      <c r="G117" s="9"/>
      <c r="H117" s="9"/>
      <c r="N117" s="6"/>
      <c r="P117" s="9"/>
    </row>
    <row r="118" spans="5:16" x14ac:dyDescent="0.2">
      <c r="E118" s="6"/>
      <c r="F118" s="6"/>
      <c r="G118" s="9"/>
      <c r="H118" s="9"/>
      <c r="N118" s="6"/>
      <c r="P118" s="9"/>
    </row>
    <row r="119" spans="5:16" x14ac:dyDescent="0.2">
      <c r="E119" s="6"/>
      <c r="F119" s="6"/>
      <c r="G119" s="9"/>
      <c r="H119" s="9"/>
      <c r="N119" s="6"/>
      <c r="P119" s="9"/>
    </row>
    <row r="120" spans="5:16" x14ac:dyDescent="0.2">
      <c r="E120" s="6"/>
      <c r="F120" s="6"/>
      <c r="G120" s="9"/>
      <c r="H120" s="9"/>
      <c r="N120" s="6"/>
      <c r="P120" s="9"/>
    </row>
    <row r="121" spans="5:16" x14ac:dyDescent="0.2">
      <c r="E121" s="6"/>
      <c r="F121" s="6"/>
      <c r="G121" s="9"/>
      <c r="H121" s="9"/>
      <c r="N121" s="6"/>
      <c r="P121" s="9"/>
    </row>
    <row r="122" spans="5:16" x14ac:dyDescent="0.2">
      <c r="E122" s="6"/>
      <c r="F122" s="6"/>
      <c r="G122" s="9"/>
      <c r="H122" s="9"/>
      <c r="N122" s="6"/>
      <c r="P122" s="9"/>
    </row>
    <row r="123" spans="5:16" x14ac:dyDescent="0.2">
      <c r="E123" s="6"/>
      <c r="F123" s="6"/>
      <c r="G123" s="9"/>
      <c r="H123" s="9"/>
      <c r="N123" s="6"/>
      <c r="P123" s="9"/>
    </row>
    <row r="124" spans="5:16" x14ac:dyDescent="0.2">
      <c r="E124" s="6"/>
      <c r="F124" s="6"/>
      <c r="G124" s="9"/>
      <c r="H124" s="9"/>
      <c r="N124" s="6"/>
      <c r="P124" s="9"/>
    </row>
    <row r="125" spans="5:16" x14ac:dyDescent="0.2">
      <c r="E125" s="6"/>
      <c r="F125" s="6"/>
      <c r="G125" s="9"/>
      <c r="H125" s="9"/>
      <c r="N125" s="6"/>
      <c r="P125" s="9"/>
    </row>
    <row r="126" spans="5:16" x14ac:dyDescent="0.2">
      <c r="H126" s="9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zoomScale="125" zoomScaleNormal="125" zoomScalePageLayoutView="125" workbookViewId="0">
      <selection activeCell="Q103" sqref="Q103"/>
    </sheetView>
  </sheetViews>
  <sheetFormatPr baseColWidth="10" defaultRowHeight="16" x14ac:dyDescent="0.2"/>
  <cols>
    <col min="1" max="1" width="25.1640625" style="9" bestFit="1" customWidth="1"/>
    <col min="2" max="3" width="10.83203125" style="9"/>
    <col min="4" max="4" width="13" style="9" bestFit="1" customWidth="1"/>
    <col min="5" max="5" width="15" style="9" bestFit="1" customWidth="1"/>
    <col min="6" max="7" width="10.83203125" style="9"/>
    <col min="8" max="8" width="25.83203125" style="9" bestFit="1" customWidth="1"/>
    <col min="9" max="9" width="10.83203125" style="9"/>
    <col min="10" max="10" width="25.1640625" style="9" bestFit="1" customWidth="1"/>
    <col min="11" max="12" width="10.83203125" style="9"/>
    <col min="13" max="13" width="13" style="9" bestFit="1" customWidth="1"/>
    <col min="14" max="14" width="15" style="9" bestFit="1" customWidth="1"/>
    <col min="15" max="16" width="10.83203125" style="9"/>
    <col min="17" max="17" width="25.83203125" style="9" bestFit="1" customWidth="1"/>
    <col min="18" max="16384" width="10.83203125" style="9"/>
  </cols>
  <sheetData>
    <row r="1" spans="1:17" s="1" customFormat="1" x14ac:dyDescent="0.2">
      <c r="A1" s="1" t="s">
        <v>29</v>
      </c>
      <c r="B1" s="3" t="s">
        <v>33</v>
      </c>
      <c r="C1" s="3" t="s">
        <v>34</v>
      </c>
    </row>
    <row r="2" spans="1:17" x14ac:dyDescent="0.2">
      <c r="A2" s="1"/>
    </row>
    <row r="3" spans="1:17" x14ac:dyDescent="0.2">
      <c r="A3" s="1" t="s">
        <v>0</v>
      </c>
    </row>
    <row r="5" spans="1:17" x14ac:dyDescent="0.2">
      <c r="A5" s="1" t="s">
        <v>31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15" t="s">
        <v>6</v>
      </c>
      <c r="J5" s="1" t="s">
        <v>32</v>
      </c>
      <c r="K5" s="3" t="s">
        <v>1</v>
      </c>
      <c r="L5" s="3" t="s">
        <v>2</v>
      </c>
      <c r="M5" s="3" t="s">
        <v>3</v>
      </c>
      <c r="N5" s="3" t="s">
        <v>4</v>
      </c>
      <c r="O5" s="3" t="s">
        <v>5</v>
      </c>
      <c r="P5" s="15" t="s">
        <v>6</v>
      </c>
    </row>
    <row r="6" spans="1:17" x14ac:dyDescent="0.2">
      <c r="A6" s="2" t="s">
        <v>7</v>
      </c>
      <c r="B6" s="9">
        <v>112</v>
      </c>
      <c r="C6" s="9">
        <v>127</v>
      </c>
      <c r="D6" s="9">
        <f t="shared" ref="D6:D18" si="0">B6-C6</f>
        <v>-15</v>
      </c>
      <c r="E6" s="9">
        <f t="shared" ref="E6:E18" si="1">ABS(D6)</f>
        <v>15</v>
      </c>
      <c r="F6" s="9">
        <v>6</v>
      </c>
      <c r="G6" s="9">
        <v>-6</v>
      </c>
      <c r="H6" s="8" t="s">
        <v>81</v>
      </c>
      <c r="J6" s="2" t="s">
        <v>7</v>
      </c>
      <c r="K6" s="9">
        <v>95</v>
      </c>
      <c r="L6" s="9">
        <v>89</v>
      </c>
      <c r="M6" s="9">
        <f t="shared" ref="M6:M18" si="2">K6-L6</f>
        <v>6</v>
      </c>
      <c r="N6" s="9">
        <f t="shared" ref="N6:N18" si="3">ABS(M6)</f>
        <v>6</v>
      </c>
      <c r="O6" s="9">
        <v>5.5</v>
      </c>
      <c r="P6" s="9">
        <v>5.5</v>
      </c>
      <c r="Q6" s="8" t="s">
        <v>82</v>
      </c>
    </row>
    <row r="7" spans="1:17" x14ac:dyDescent="0.2">
      <c r="A7" s="2" t="s">
        <v>8</v>
      </c>
      <c r="B7" s="9">
        <v>36</v>
      </c>
      <c r="C7" s="9">
        <v>42</v>
      </c>
      <c r="D7" s="9">
        <f t="shared" si="0"/>
        <v>-6</v>
      </c>
      <c r="E7" s="9">
        <f t="shared" si="1"/>
        <v>6</v>
      </c>
      <c r="F7" s="9">
        <v>5</v>
      </c>
      <c r="G7" s="9">
        <v>-5</v>
      </c>
      <c r="H7" s="8" t="s">
        <v>83</v>
      </c>
      <c r="J7" s="2" t="s">
        <v>8</v>
      </c>
      <c r="K7" s="9">
        <v>23</v>
      </c>
      <c r="L7" s="9">
        <v>19</v>
      </c>
      <c r="M7" s="9">
        <f t="shared" si="2"/>
        <v>4</v>
      </c>
      <c r="N7" s="9">
        <f t="shared" si="3"/>
        <v>4</v>
      </c>
      <c r="O7" s="9">
        <v>4</v>
      </c>
      <c r="P7" s="9">
        <v>4</v>
      </c>
      <c r="Q7" s="8" t="s">
        <v>84</v>
      </c>
    </row>
    <row r="8" spans="1:17" x14ac:dyDescent="0.2">
      <c r="A8" s="2" t="s">
        <v>9</v>
      </c>
      <c r="B8" s="9">
        <v>214</v>
      </c>
      <c r="C8" s="9">
        <v>242</v>
      </c>
      <c r="D8" s="9">
        <f t="shared" si="0"/>
        <v>-28</v>
      </c>
      <c r="E8" s="9">
        <f t="shared" si="1"/>
        <v>28</v>
      </c>
      <c r="F8" s="9">
        <v>8</v>
      </c>
      <c r="G8" s="9">
        <v>-8</v>
      </c>
      <c r="H8" s="8" t="s">
        <v>85</v>
      </c>
      <c r="J8" s="2" t="s">
        <v>9</v>
      </c>
      <c r="K8" s="9">
        <v>165</v>
      </c>
      <c r="L8" s="9">
        <v>164</v>
      </c>
      <c r="M8" s="9">
        <f t="shared" si="2"/>
        <v>1</v>
      </c>
      <c r="N8" s="9">
        <f t="shared" si="3"/>
        <v>1</v>
      </c>
      <c r="O8" s="9">
        <v>1.5</v>
      </c>
      <c r="P8" s="9">
        <v>1.5</v>
      </c>
      <c r="Q8" s="8" t="s">
        <v>86</v>
      </c>
    </row>
    <row r="9" spans="1:17" x14ac:dyDescent="0.2">
      <c r="A9" s="2" t="s">
        <v>10</v>
      </c>
      <c r="B9" s="9">
        <v>189</v>
      </c>
      <c r="C9" s="9">
        <v>219</v>
      </c>
      <c r="D9" s="9">
        <f t="shared" si="0"/>
        <v>-30</v>
      </c>
      <c r="E9" s="9">
        <f t="shared" si="1"/>
        <v>30</v>
      </c>
      <c r="F9" s="9">
        <v>9</v>
      </c>
      <c r="G9" s="9">
        <v>-9</v>
      </c>
      <c r="H9" s="8" t="s">
        <v>87</v>
      </c>
      <c r="J9" s="2" t="s">
        <v>10</v>
      </c>
      <c r="K9" s="9">
        <v>116</v>
      </c>
      <c r="L9" s="9">
        <v>95</v>
      </c>
      <c r="M9" s="9">
        <f t="shared" si="2"/>
        <v>21</v>
      </c>
      <c r="N9" s="9">
        <f t="shared" si="3"/>
        <v>21</v>
      </c>
      <c r="O9" s="9">
        <v>7</v>
      </c>
      <c r="P9" s="9">
        <v>7</v>
      </c>
      <c r="Q9" s="8" t="s">
        <v>88</v>
      </c>
    </row>
    <row r="10" spans="1:17" x14ac:dyDescent="0.2">
      <c r="A10" s="2" t="s">
        <v>11</v>
      </c>
      <c r="B10" s="9">
        <v>2279</v>
      </c>
      <c r="C10" s="9">
        <v>2359</v>
      </c>
      <c r="D10" s="9">
        <f t="shared" si="0"/>
        <v>-80</v>
      </c>
      <c r="E10" s="9">
        <f t="shared" si="1"/>
        <v>80</v>
      </c>
      <c r="F10" s="9">
        <v>11</v>
      </c>
      <c r="G10" s="9">
        <v>-11</v>
      </c>
      <c r="J10" s="2" t="s">
        <v>11</v>
      </c>
      <c r="K10" s="9">
        <v>994</v>
      </c>
      <c r="L10" s="9">
        <v>919</v>
      </c>
      <c r="M10" s="9">
        <f t="shared" si="2"/>
        <v>75</v>
      </c>
      <c r="N10" s="9">
        <f t="shared" si="3"/>
        <v>75</v>
      </c>
      <c r="O10" s="9">
        <v>9</v>
      </c>
      <c r="P10" s="9">
        <v>9</v>
      </c>
    </row>
    <row r="11" spans="1:17" x14ac:dyDescent="0.2">
      <c r="A11" s="2" t="s">
        <v>12</v>
      </c>
      <c r="B11" s="9">
        <v>3433</v>
      </c>
      <c r="C11" s="9">
        <v>3633</v>
      </c>
      <c r="D11" s="9">
        <f t="shared" si="0"/>
        <v>-200</v>
      </c>
      <c r="E11" s="9">
        <f t="shared" si="1"/>
        <v>200</v>
      </c>
      <c r="F11" s="9">
        <v>13</v>
      </c>
      <c r="G11" s="9">
        <v>-13</v>
      </c>
      <c r="H11" s="8" t="s">
        <v>89</v>
      </c>
      <c r="J11" s="2" t="s">
        <v>12</v>
      </c>
      <c r="K11" s="9">
        <v>1919</v>
      </c>
      <c r="L11" s="9">
        <v>1821</v>
      </c>
      <c r="M11" s="9">
        <f t="shared" si="2"/>
        <v>98</v>
      </c>
      <c r="N11" s="9">
        <f t="shared" si="3"/>
        <v>98</v>
      </c>
      <c r="O11" s="9">
        <v>11</v>
      </c>
      <c r="P11" s="9">
        <v>11</v>
      </c>
      <c r="Q11" s="8" t="s">
        <v>90</v>
      </c>
    </row>
    <row r="12" spans="1:17" x14ac:dyDescent="0.2">
      <c r="A12" s="2" t="s">
        <v>13</v>
      </c>
      <c r="B12" s="9">
        <v>273</v>
      </c>
      <c r="C12" s="9">
        <v>274</v>
      </c>
      <c r="D12" s="9">
        <f t="shared" si="0"/>
        <v>-1</v>
      </c>
      <c r="E12" s="9">
        <f t="shared" si="1"/>
        <v>1</v>
      </c>
      <c r="F12" s="9">
        <v>2.5</v>
      </c>
      <c r="G12" s="9">
        <v>-2.5</v>
      </c>
      <c r="H12" s="9" t="s">
        <v>72</v>
      </c>
      <c r="J12" s="2" t="s">
        <v>13</v>
      </c>
      <c r="K12" s="9">
        <v>222</v>
      </c>
      <c r="L12" s="9">
        <v>228</v>
      </c>
      <c r="M12" s="9">
        <f t="shared" si="2"/>
        <v>-6</v>
      </c>
      <c r="N12" s="9">
        <f t="shared" si="3"/>
        <v>6</v>
      </c>
      <c r="O12" s="9">
        <v>5.5</v>
      </c>
      <c r="P12" s="9">
        <v>-5.5</v>
      </c>
      <c r="Q12" s="9" t="s">
        <v>73</v>
      </c>
    </row>
    <row r="13" spans="1:17" x14ac:dyDescent="0.2">
      <c r="A13" s="2" t="s">
        <v>14</v>
      </c>
      <c r="B13" s="9">
        <v>227</v>
      </c>
      <c r="C13" s="9">
        <v>253</v>
      </c>
      <c r="D13" s="9">
        <f t="shared" si="0"/>
        <v>-26</v>
      </c>
      <c r="E13" s="9">
        <f t="shared" si="1"/>
        <v>26</v>
      </c>
      <c r="F13" s="9">
        <v>7</v>
      </c>
      <c r="G13" s="9">
        <v>-7</v>
      </c>
      <c r="H13" s="9" t="s">
        <v>74</v>
      </c>
      <c r="J13" s="2" t="s">
        <v>14</v>
      </c>
      <c r="K13" s="9">
        <v>207</v>
      </c>
      <c r="L13" s="9">
        <v>182</v>
      </c>
      <c r="M13" s="9">
        <f t="shared" si="2"/>
        <v>25</v>
      </c>
      <c r="N13" s="9">
        <f t="shared" si="3"/>
        <v>25</v>
      </c>
      <c r="O13" s="9">
        <v>8</v>
      </c>
      <c r="P13" s="9">
        <v>8</v>
      </c>
      <c r="Q13" s="9" t="s">
        <v>75</v>
      </c>
    </row>
    <row r="14" spans="1:17" x14ac:dyDescent="0.2">
      <c r="A14" s="2" t="s">
        <v>15</v>
      </c>
      <c r="B14" s="9">
        <v>970</v>
      </c>
      <c r="C14" s="9">
        <v>1002</v>
      </c>
      <c r="D14" s="9">
        <f t="shared" si="0"/>
        <v>-32</v>
      </c>
      <c r="E14" s="9">
        <f t="shared" si="1"/>
        <v>32</v>
      </c>
      <c r="F14" s="9">
        <v>10</v>
      </c>
      <c r="G14" s="9">
        <v>-10</v>
      </c>
      <c r="J14" s="2" t="s">
        <v>15</v>
      </c>
      <c r="K14" s="9">
        <v>677</v>
      </c>
      <c r="L14" s="9">
        <v>569</v>
      </c>
      <c r="M14" s="9">
        <f t="shared" si="2"/>
        <v>108</v>
      </c>
      <c r="N14" s="9">
        <f t="shared" si="3"/>
        <v>108</v>
      </c>
      <c r="O14" s="9">
        <v>12</v>
      </c>
      <c r="P14" s="9">
        <v>12</v>
      </c>
    </row>
    <row r="15" spans="1:17" x14ac:dyDescent="0.2">
      <c r="A15" s="2" t="s">
        <v>16</v>
      </c>
      <c r="B15" s="9">
        <v>1100</v>
      </c>
      <c r="C15" s="9">
        <v>1215</v>
      </c>
      <c r="D15" s="9">
        <f t="shared" si="0"/>
        <v>-115</v>
      </c>
      <c r="E15" s="9">
        <f t="shared" si="1"/>
        <v>115</v>
      </c>
      <c r="F15" s="9">
        <v>12</v>
      </c>
      <c r="G15" s="9">
        <v>-12</v>
      </c>
      <c r="H15" s="9" t="s">
        <v>76</v>
      </c>
      <c r="J15" s="2" t="s">
        <v>16</v>
      </c>
      <c r="K15" s="9">
        <v>794</v>
      </c>
      <c r="L15" s="9">
        <v>709</v>
      </c>
      <c r="M15" s="9">
        <f t="shared" si="2"/>
        <v>85</v>
      </c>
      <c r="N15" s="9">
        <f t="shared" si="3"/>
        <v>85</v>
      </c>
      <c r="O15" s="9">
        <v>10</v>
      </c>
      <c r="P15" s="9">
        <v>10</v>
      </c>
      <c r="Q15" s="9" t="s">
        <v>77</v>
      </c>
    </row>
    <row r="16" spans="1:17" x14ac:dyDescent="0.2">
      <c r="A16" s="2" t="s">
        <v>17</v>
      </c>
      <c r="B16" s="9">
        <v>8</v>
      </c>
      <c r="C16" s="9">
        <v>7</v>
      </c>
      <c r="D16" s="9">
        <f t="shared" si="0"/>
        <v>1</v>
      </c>
      <c r="E16" s="9">
        <f t="shared" si="1"/>
        <v>1</v>
      </c>
      <c r="F16" s="9">
        <v>2.5</v>
      </c>
      <c r="G16" s="9">
        <v>2.5</v>
      </c>
      <c r="J16" s="2" t="s">
        <v>17</v>
      </c>
      <c r="K16" s="9">
        <v>7</v>
      </c>
      <c r="L16" s="9">
        <v>7</v>
      </c>
      <c r="M16" s="9">
        <f t="shared" si="2"/>
        <v>0</v>
      </c>
      <c r="N16" s="9">
        <f t="shared" si="3"/>
        <v>0</v>
      </c>
      <c r="O16" s="19" t="s">
        <v>35</v>
      </c>
      <c r="P16" s="19" t="s">
        <v>35</v>
      </c>
    </row>
    <row r="17" spans="1:17" x14ac:dyDescent="0.2">
      <c r="A17" s="2" t="s">
        <v>18</v>
      </c>
      <c r="B17" s="9">
        <v>8</v>
      </c>
      <c r="C17" s="9">
        <v>9</v>
      </c>
      <c r="D17" s="9">
        <f t="shared" si="0"/>
        <v>-1</v>
      </c>
      <c r="E17" s="9">
        <f t="shared" si="1"/>
        <v>1</v>
      </c>
      <c r="F17" s="9">
        <v>2.5</v>
      </c>
      <c r="G17" s="9">
        <v>-2.5</v>
      </c>
      <c r="H17" s="13" t="s">
        <v>46</v>
      </c>
      <c r="J17" s="2" t="s">
        <v>18</v>
      </c>
      <c r="K17" s="9">
        <v>9</v>
      </c>
      <c r="L17" s="9">
        <v>7</v>
      </c>
      <c r="M17" s="9">
        <f t="shared" si="2"/>
        <v>2</v>
      </c>
      <c r="N17" s="9">
        <f t="shared" si="3"/>
        <v>2</v>
      </c>
      <c r="O17" s="9">
        <v>3</v>
      </c>
      <c r="P17" s="9">
        <v>3</v>
      </c>
      <c r="Q17" s="13" t="s">
        <v>47</v>
      </c>
    </row>
    <row r="18" spans="1:17" x14ac:dyDescent="0.2">
      <c r="A18" s="2" t="s">
        <v>19</v>
      </c>
      <c r="B18" s="9">
        <v>5</v>
      </c>
      <c r="C18" s="9">
        <v>6</v>
      </c>
      <c r="D18" s="9">
        <f t="shared" si="0"/>
        <v>-1</v>
      </c>
      <c r="E18" s="9">
        <f t="shared" si="1"/>
        <v>1</v>
      </c>
      <c r="F18" s="9">
        <v>2.5</v>
      </c>
      <c r="G18" s="9">
        <v>-2.5</v>
      </c>
      <c r="H18" s="13" t="s">
        <v>71</v>
      </c>
      <c r="J18" s="2" t="s">
        <v>19</v>
      </c>
      <c r="K18" s="9">
        <v>7</v>
      </c>
      <c r="L18" s="9">
        <v>6</v>
      </c>
      <c r="M18" s="9">
        <f t="shared" si="2"/>
        <v>1</v>
      </c>
      <c r="N18" s="9">
        <f t="shared" si="3"/>
        <v>1</v>
      </c>
      <c r="O18" s="9">
        <v>1.5</v>
      </c>
      <c r="P18" s="9">
        <v>1.5</v>
      </c>
      <c r="Q18" s="13" t="s">
        <v>71</v>
      </c>
    </row>
    <row r="19" spans="1:17" x14ac:dyDescent="0.2">
      <c r="A19" s="11"/>
      <c r="B19" s="11"/>
      <c r="C19" s="11"/>
      <c r="D19" s="11"/>
      <c r="E19" s="11"/>
      <c r="F19" s="11"/>
      <c r="G19" s="11">
        <f>SUM(G6:G18)</f>
        <v>-86</v>
      </c>
      <c r="J19" s="11"/>
      <c r="K19" s="11"/>
      <c r="L19" s="11"/>
      <c r="M19" s="11"/>
      <c r="N19" s="11"/>
      <c r="O19" s="11"/>
      <c r="P19" s="11">
        <f>SUM(P6:P18)</f>
        <v>67</v>
      </c>
    </row>
    <row r="20" spans="1:17" x14ac:dyDescent="0.2">
      <c r="A20" s="2" t="s">
        <v>22</v>
      </c>
    </row>
    <row r="22" spans="1:17" x14ac:dyDescent="0.2">
      <c r="A22" s="1" t="s">
        <v>31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15" t="s">
        <v>6</v>
      </c>
      <c r="J22" s="1" t="s">
        <v>32</v>
      </c>
      <c r="K22" s="3" t="s">
        <v>1</v>
      </c>
      <c r="L22" s="3" t="s">
        <v>2</v>
      </c>
      <c r="M22" s="3" t="s">
        <v>3</v>
      </c>
      <c r="N22" s="3" t="s">
        <v>4</v>
      </c>
      <c r="O22" s="3" t="s">
        <v>5</v>
      </c>
      <c r="P22" s="15" t="s">
        <v>6</v>
      </c>
    </row>
    <row r="23" spans="1:17" x14ac:dyDescent="0.2">
      <c r="A23" s="2" t="s">
        <v>7</v>
      </c>
      <c r="B23" s="9">
        <v>105</v>
      </c>
      <c r="C23" s="9">
        <v>117</v>
      </c>
      <c r="D23" s="9">
        <f t="shared" ref="D23:D35" si="4">B23-C23</f>
        <v>-12</v>
      </c>
      <c r="E23" s="9">
        <f t="shared" ref="E23:E35" si="5">ABS(D23)</f>
        <v>12</v>
      </c>
      <c r="F23" s="9">
        <v>5</v>
      </c>
      <c r="G23" s="9">
        <v>-5</v>
      </c>
      <c r="H23" s="8" t="s">
        <v>91</v>
      </c>
      <c r="J23" s="2" t="s">
        <v>7</v>
      </c>
      <c r="K23" s="9">
        <v>81</v>
      </c>
      <c r="L23" s="9">
        <v>72</v>
      </c>
      <c r="M23" s="9">
        <f t="shared" ref="M23:M35" si="6">K23-L23</f>
        <v>9</v>
      </c>
      <c r="N23" s="9">
        <f t="shared" ref="N23:N35" si="7">ABS(M23)</f>
        <v>9</v>
      </c>
      <c r="O23" s="9">
        <v>5</v>
      </c>
      <c r="P23" s="9">
        <v>5</v>
      </c>
      <c r="Q23" s="8" t="s">
        <v>92</v>
      </c>
    </row>
    <row r="24" spans="1:17" x14ac:dyDescent="0.2">
      <c r="A24" s="2" t="s">
        <v>8</v>
      </c>
      <c r="B24" s="9">
        <v>39</v>
      </c>
      <c r="C24" s="9">
        <v>41</v>
      </c>
      <c r="D24" s="9">
        <f t="shared" si="4"/>
        <v>-2</v>
      </c>
      <c r="E24" s="9">
        <f t="shared" si="5"/>
        <v>2</v>
      </c>
      <c r="F24" s="9">
        <v>2</v>
      </c>
      <c r="G24" s="9">
        <v>-2</v>
      </c>
      <c r="H24" s="8" t="s">
        <v>93</v>
      </c>
      <c r="J24" s="2" t="s">
        <v>8</v>
      </c>
      <c r="K24" s="9">
        <v>15</v>
      </c>
      <c r="L24" s="9">
        <v>15</v>
      </c>
      <c r="M24" s="9">
        <f t="shared" si="6"/>
        <v>0</v>
      </c>
      <c r="N24" s="9">
        <f t="shared" si="7"/>
        <v>0</v>
      </c>
      <c r="O24" s="20" t="s">
        <v>35</v>
      </c>
      <c r="P24" s="20" t="s">
        <v>35</v>
      </c>
      <c r="Q24" s="8" t="s">
        <v>94</v>
      </c>
    </row>
    <row r="25" spans="1:17" x14ac:dyDescent="0.2">
      <c r="A25" s="2" t="s">
        <v>9</v>
      </c>
      <c r="B25" s="9">
        <v>210</v>
      </c>
      <c r="C25" s="9">
        <v>243</v>
      </c>
      <c r="D25" s="9">
        <f t="shared" si="4"/>
        <v>-33</v>
      </c>
      <c r="E25" s="9">
        <f t="shared" si="5"/>
        <v>33</v>
      </c>
      <c r="F25" s="9">
        <v>8</v>
      </c>
      <c r="G25" s="9">
        <v>-8</v>
      </c>
      <c r="H25" s="8" t="s">
        <v>95</v>
      </c>
      <c r="J25" s="2" t="s">
        <v>9</v>
      </c>
      <c r="K25" s="9">
        <v>124</v>
      </c>
      <c r="L25" s="9">
        <v>116</v>
      </c>
      <c r="M25" s="9">
        <f t="shared" si="6"/>
        <v>8</v>
      </c>
      <c r="N25" s="9">
        <f t="shared" si="7"/>
        <v>8</v>
      </c>
      <c r="O25" s="9">
        <v>4</v>
      </c>
      <c r="P25" s="9">
        <v>4</v>
      </c>
      <c r="Q25" s="8" t="s">
        <v>96</v>
      </c>
    </row>
    <row r="26" spans="1:17" x14ac:dyDescent="0.2">
      <c r="A26" s="2" t="s">
        <v>10</v>
      </c>
      <c r="B26" s="9">
        <v>171</v>
      </c>
      <c r="C26" s="9">
        <v>205</v>
      </c>
      <c r="D26" s="9">
        <f t="shared" si="4"/>
        <v>-34</v>
      </c>
      <c r="E26" s="9">
        <f t="shared" si="5"/>
        <v>34</v>
      </c>
      <c r="F26" s="9">
        <v>9</v>
      </c>
      <c r="G26" s="9">
        <v>-9</v>
      </c>
      <c r="H26" s="8" t="s">
        <v>97</v>
      </c>
      <c r="J26" s="2" t="s">
        <v>10</v>
      </c>
      <c r="K26" s="9">
        <v>104</v>
      </c>
      <c r="L26" s="9">
        <v>75</v>
      </c>
      <c r="M26" s="9">
        <f t="shared" si="6"/>
        <v>29</v>
      </c>
      <c r="N26" s="9">
        <f t="shared" si="7"/>
        <v>29</v>
      </c>
      <c r="O26" s="9">
        <v>8</v>
      </c>
      <c r="P26" s="9">
        <v>8</v>
      </c>
      <c r="Q26" s="8" t="s">
        <v>98</v>
      </c>
    </row>
    <row r="27" spans="1:17" x14ac:dyDescent="0.2">
      <c r="A27" s="2" t="s">
        <v>11</v>
      </c>
      <c r="B27" s="9">
        <v>2197</v>
      </c>
      <c r="C27" s="9">
        <v>2229</v>
      </c>
      <c r="D27" s="9">
        <f t="shared" si="4"/>
        <v>-32</v>
      </c>
      <c r="E27" s="9">
        <f t="shared" si="5"/>
        <v>32</v>
      </c>
      <c r="F27" s="9">
        <v>7</v>
      </c>
      <c r="G27" s="9">
        <v>-7</v>
      </c>
      <c r="J27" s="2" t="s">
        <v>11</v>
      </c>
      <c r="K27" s="9">
        <v>784</v>
      </c>
      <c r="L27" s="9">
        <v>726</v>
      </c>
      <c r="M27" s="9">
        <f t="shared" si="6"/>
        <v>58</v>
      </c>
      <c r="N27" s="9">
        <f t="shared" si="7"/>
        <v>58</v>
      </c>
      <c r="O27" s="9">
        <v>9</v>
      </c>
      <c r="P27" s="9">
        <v>9</v>
      </c>
    </row>
    <row r="28" spans="1:17" x14ac:dyDescent="0.2">
      <c r="A28" s="2" t="s">
        <v>12</v>
      </c>
      <c r="B28" s="9">
        <v>3042</v>
      </c>
      <c r="C28" s="9">
        <v>3136</v>
      </c>
      <c r="D28" s="9">
        <f t="shared" si="4"/>
        <v>-94</v>
      </c>
      <c r="E28" s="9">
        <f t="shared" si="5"/>
        <v>94</v>
      </c>
      <c r="F28" s="9">
        <v>10</v>
      </c>
      <c r="G28" s="9">
        <v>-10</v>
      </c>
      <c r="H28" s="8" t="s">
        <v>99</v>
      </c>
      <c r="J28" s="2" t="s">
        <v>12</v>
      </c>
      <c r="K28" s="9">
        <v>1387</v>
      </c>
      <c r="L28" s="9">
        <v>1293</v>
      </c>
      <c r="M28" s="9">
        <f t="shared" si="6"/>
        <v>94</v>
      </c>
      <c r="N28" s="9">
        <f t="shared" si="7"/>
        <v>94</v>
      </c>
      <c r="O28" s="9">
        <v>10</v>
      </c>
      <c r="P28" s="9">
        <v>10</v>
      </c>
      <c r="Q28" s="8" t="s">
        <v>100</v>
      </c>
    </row>
    <row r="29" spans="1:17" x14ac:dyDescent="0.2">
      <c r="A29" s="2" t="s">
        <v>13</v>
      </c>
      <c r="B29" s="9">
        <v>242</v>
      </c>
      <c r="C29" s="9">
        <v>239</v>
      </c>
      <c r="D29" s="9">
        <f t="shared" si="4"/>
        <v>3</v>
      </c>
      <c r="E29" s="9">
        <f t="shared" si="5"/>
        <v>3</v>
      </c>
      <c r="F29" s="9">
        <v>3</v>
      </c>
      <c r="G29" s="9">
        <v>3</v>
      </c>
      <c r="H29" s="9" t="s">
        <v>78</v>
      </c>
      <c r="J29" s="2" t="s">
        <v>13</v>
      </c>
      <c r="K29" s="9">
        <v>198</v>
      </c>
      <c r="L29" s="9">
        <v>210</v>
      </c>
      <c r="M29" s="9">
        <f t="shared" si="6"/>
        <v>-12</v>
      </c>
      <c r="N29" s="9">
        <f t="shared" si="7"/>
        <v>12</v>
      </c>
      <c r="O29" s="9">
        <v>6</v>
      </c>
      <c r="P29" s="9">
        <v>-6</v>
      </c>
      <c r="Q29" s="9" t="s">
        <v>73</v>
      </c>
    </row>
    <row r="30" spans="1:17" x14ac:dyDescent="0.2">
      <c r="A30" s="2" t="s">
        <v>14</v>
      </c>
      <c r="B30" s="9">
        <v>201</v>
      </c>
      <c r="C30" s="9">
        <v>224</v>
      </c>
      <c r="D30" s="9">
        <f t="shared" si="4"/>
        <v>-23</v>
      </c>
      <c r="E30" s="9">
        <f t="shared" si="5"/>
        <v>23</v>
      </c>
      <c r="F30" s="9">
        <v>6</v>
      </c>
      <c r="G30" s="9">
        <v>-6</v>
      </c>
      <c r="H30" s="9" t="s">
        <v>79</v>
      </c>
      <c r="J30" s="2" t="s">
        <v>14</v>
      </c>
      <c r="K30" s="9">
        <v>182</v>
      </c>
      <c r="L30" s="9">
        <v>161</v>
      </c>
      <c r="M30" s="9">
        <f t="shared" si="6"/>
        <v>21</v>
      </c>
      <c r="N30" s="9">
        <f t="shared" si="7"/>
        <v>21</v>
      </c>
      <c r="O30" s="9">
        <v>7</v>
      </c>
      <c r="P30" s="9">
        <v>7</v>
      </c>
      <c r="Q30" s="9" t="s">
        <v>75</v>
      </c>
    </row>
    <row r="31" spans="1:17" x14ac:dyDescent="0.2">
      <c r="A31" s="2" t="s">
        <v>15</v>
      </c>
      <c r="B31" s="9">
        <v>908</v>
      </c>
      <c r="C31" s="9">
        <v>918</v>
      </c>
      <c r="D31" s="9">
        <f t="shared" si="4"/>
        <v>-10</v>
      </c>
      <c r="E31" s="9">
        <f t="shared" si="5"/>
        <v>10</v>
      </c>
      <c r="F31" s="9">
        <v>4</v>
      </c>
      <c r="G31" s="9">
        <v>-4</v>
      </c>
      <c r="J31" s="2" t="s">
        <v>15</v>
      </c>
      <c r="K31" s="9">
        <v>561</v>
      </c>
      <c r="L31" s="9">
        <v>456</v>
      </c>
      <c r="M31" s="9">
        <f t="shared" si="6"/>
        <v>105</v>
      </c>
      <c r="N31" s="9">
        <f t="shared" si="7"/>
        <v>105</v>
      </c>
      <c r="O31" s="9">
        <v>11</v>
      </c>
      <c r="P31" s="9">
        <v>11</v>
      </c>
    </row>
    <row r="32" spans="1:17" x14ac:dyDescent="0.2">
      <c r="A32" s="2" t="s">
        <v>16</v>
      </c>
      <c r="B32" s="9">
        <v>995</v>
      </c>
      <c r="C32" s="9">
        <v>1152</v>
      </c>
      <c r="D32" s="9">
        <f t="shared" si="4"/>
        <v>-157</v>
      </c>
      <c r="E32" s="9">
        <f t="shared" si="5"/>
        <v>157</v>
      </c>
      <c r="F32" s="9">
        <v>11</v>
      </c>
      <c r="G32" s="9">
        <v>-11</v>
      </c>
      <c r="H32" s="9" t="s">
        <v>80</v>
      </c>
      <c r="J32" s="2" t="s">
        <v>16</v>
      </c>
      <c r="K32" s="9">
        <v>630</v>
      </c>
      <c r="L32" s="9">
        <v>504</v>
      </c>
      <c r="M32" s="9">
        <f t="shared" si="6"/>
        <v>126</v>
      </c>
      <c r="N32" s="9">
        <f t="shared" si="7"/>
        <v>126</v>
      </c>
      <c r="O32" s="9">
        <v>12</v>
      </c>
      <c r="P32" s="9">
        <v>12</v>
      </c>
      <c r="Q32" s="9" t="s">
        <v>77</v>
      </c>
    </row>
    <row r="33" spans="1:17" x14ac:dyDescent="0.2">
      <c r="A33" s="2" t="s">
        <v>17</v>
      </c>
      <c r="B33" s="9">
        <v>8</v>
      </c>
      <c r="C33" s="9">
        <v>7</v>
      </c>
      <c r="D33" s="9">
        <f t="shared" si="4"/>
        <v>1</v>
      </c>
      <c r="E33" s="9">
        <f t="shared" si="5"/>
        <v>1</v>
      </c>
      <c r="F33" s="9">
        <v>1</v>
      </c>
      <c r="G33" s="9">
        <v>1</v>
      </c>
      <c r="J33" s="2" t="s">
        <v>17</v>
      </c>
      <c r="K33" s="9">
        <v>5</v>
      </c>
      <c r="L33" s="9">
        <v>6</v>
      </c>
      <c r="M33" s="9">
        <f t="shared" si="6"/>
        <v>-1</v>
      </c>
      <c r="N33" s="9">
        <f t="shared" si="7"/>
        <v>1</v>
      </c>
      <c r="O33" s="9">
        <v>1.5</v>
      </c>
      <c r="P33" s="9">
        <v>-1.5</v>
      </c>
    </row>
    <row r="34" spans="1:17" x14ac:dyDescent="0.2">
      <c r="A34" s="2" t="s">
        <v>18</v>
      </c>
      <c r="B34" s="9">
        <v>7</v>
      </c>
      <c r="C34" s="9">
        <v>7</v>
      </c>
      <c r="D34" s="9">
        <f t="shared" si="4"/>
        <v>0</v>
      </c>
      <c r="E34" s="9">
        <f t="shared" si="5"/>
        <v>0</v>
      </c>
      <c r="F34" s="20" t="s">
        <v>35</v>
      </c>
      <c r="G34" s="20" t="s">
        <v>35</v>
      </c>
      <c r="H34" s="13" t="s">
        <v>49</v>
      </c>
      <c r="J34" s="2" t="s">
        <v>18</v>
      </c>
      <c r="K34" s="9">
        <v>9</v>
      </c>
      <c r="L34" s="9">
        <v>7</v>
      </c>
      <c r="M34" s="9">
        <f t="shared" si="6"/>
        <v>2</v>
      </c>
      <c r="N34" s="9">
        <f t="shared" si="7"/>
        <v>2</v>
      </c>
      <c r="O34" s="9">
        <v>3</v>
      </c>
      <c r="P34" s="9">
        <v>3</v>
      </c>
      <c r="Q34" s="13" t="s">
        <v>50</v>
      </c>
    </row>
    <row r="35" spans="1:17" x14ac:dyDescent="0.2">
      <c r="A35" s="2" t="s">
        <v>19</v>
      </c>
      <c r="B35" s="9">
        <v>5</v>
      </c>
      <c r="C35" s="9">
        <v>5</v>
      </c>
      <c r="D35" s="9">
        <f t="shared" si="4"/>
        <v>0</v>
      </c>
      <c r="E35" s="9">
        <f t="shared" si="5"/>
        <v>0</v>
      </c>
      <c r="F35" s="20" t="s">
        <v>35</v>
      </c>
      <c r="G35" s="20" t="s">
        <v>35</v>
      </c>
      <c r="H35" s="13" t="s">
        <v>71</v>
      </c>
      <c r="J35" s="2" t="s">
        <v>19</v>
      </c>
      <c r="K35" s="9">
        <v>7</v>
      </c>
      <c r="L35" s="9">
        <v>6</v>
      </c>
      <c r="M35" s="9">
        <f t="shared" si="6"/>
        <v>1</v>
      </c>
      <c r="N35" s="9">
        <f t="shared" si="7"/>
        <v>1</v>
      </c>
      <c r="O35" s="9">
        <v>1.5</v>
      </c>
      <c r="P35" s="9">
        <v>1.5</v>
      </c>
      <c r="Q35" s="13" t="s">
        <v>71</v>
      </c>
    </row>
    <row r="36" spans="1:17" x14ac:dyDescent="0.2">
      <c r="A36" s="11"/>
      <c r="B36" s="11"/>
      <c r="C36" s="11"/>
      <c r="D36" s="11"/>
      <c r="E36" s="11"/>
      <c r="F36" s="11"/>
      <c r="G36" s="11">
        <f>SUM(G23:G35)</f>
        <v>-58</v>
      </c>
      <c r="J36" s="11"/>
      <c r="K36" s="11"/>
      <c r="L36" s="11"/>
      <c r="M36" s="11"/>
      <c r="N36" s="11"/>
      <c r="O36" s="11"/>
      <c r="P36" s="11">
        <f>SUM(P23:P35)</f>
        <v>63</v>
      </c>
    </row>
    <row r="37" spans="1:17" x14ac:dyDescent="0.2">
      <c r="A37" s="2" t="s">
        <v>26</v>
      </c>
    </row>
    <row r="39" spans="1:17" x14ac:dyDescent="0.2">
      <c r="A39" s="1" t="s">
        <v>31</v>
      </c>
      <c r="B39" s="3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15" t="s">
        <v>6</v>
      </c>
      <c r="J39" s="1" t="s">
        <v>32</v>
      </c>
      <c r="K39" s="3" t="s">
        <v>1</v>
      </c>
      <c r="L39" s="3" t="s">
        <v>2</v>
      </c>
      <c r="M39" s="3" t="s">
        <v>3</v>
      </c>
      <c r="N39" s="3" t="s">
        <v>4</v>
      </c>
      <c r="O39" s="3" t="s">
        <v>5</v>
      </c>
      <c r="P39" s="15" t="s">
        <v>6</v>
      </c>
    </row>
    <row r="40" spans="1:17" ht="20" x14ac:dyDescent="0.25">
      <c r="A40" s="2" t="s">
        <v>7</v>
      </c>
      <c r="B40" s="9">
        <v>154</v>
      </c>
      <c r="C40" s="9">
        <v>165</v>
      </c>
      <c r="D40" s="9">
        <f t="shared" ref="D40:D52" si="8">B40-C40</f>
        <v>-11</v>
      </c>
      <c r="E40" s="9">
        <f t="shared" ref="E40:E52" si="9">ABS(D40)</f>
        <v>11</v>
      </c>
      <c r="F40" s="9">
        <v>6</v>
      </c>
      <c r="G40" s="9">
        <v>-6</v>
      </c>
      <c r="H40" s="8" t="s">
        <v>51</v>
      </c>
      <c r="J40" s="2" t="s">
        <v>7</v>
      </c>
      <c r="K40" s="9">
        <v>43</v>
      </c>
      <c r="L40" s="9">
        <v>39</v>
      </c>
      <c r="M40" s="9">
        <f t="shared" ref="M40:M52" si="10">K40-L40</f>
        <v>4</v>
      </c>
      <c r="N40" s="9">
        <f t="shared" ref="N40:N52" si="11">ABS(M40)</f>
        <v>4</v>
      </c>
      <c r="O40" s="9">
        <v>3</v>
      </c>
      <c r="P40" s="9">
        <v>3</v>
      </c>
      <c r="Q40" s="8" t="s">
        <v>57</v>
      </c>
    </row>
    <row r="41" spans="1:17" ht="20" x14ac:dyDescent="0.25">
      <c r="A41" s="2" t="s">
        <v>8</v>
      </c>
      <c r="B41" s="9">
        <v>45</v>
      </c>
      <c r="C41" s="9">
        <v>47</v>
      </c>
      <c r="D41" s="9">
        <f t="shared" si="8"/>
        <v>-2</v>
      </c>
      <c r="E41" s="9">
        <f t="shared" si="9"/>
        <v>2</v>
      </c>
      <c r="F41" s="9">
        <v>3</v>
      </c>
      <c r="G41" s="9">
        <v>-3</v>
      </c>
      <c r="H41" s="8" t="s">
        <v>52</v>
      </c>
      <c r="J41" s="2" t="s">
        <v>8</v>
      </c>
      <c r="K41" s="9">
        <v>10</v>
      </c>
      <c r="L41" s="9">
        <v>12</v>
      </c>
      <c r="M41" s="9">
        <f t="shared" si="10"/>
        <v>-2</v>
      </c>
      <c r="N41" s="9">
        <f t="shared" si="11"/>
        <v>2</v>
      </c>
      <c r="O41" s="9">
        <v>2</v>
      </c>
      <c r="P41" s="9">
        <v>-2</v>
      </c>
      <c r="Q41" s="8" t="s">
        <v>58</v>
      </c>
    </row>
    <row r="42" spans="1:17" ht="20" x14ac:dyDescent="0.25">
      <c r="A42" s="2" t="s">
        <v>9</v>
      </c>
      <c r="B42" s="9">
        <v>269</v>
      </c>
      <c r="C42" s="9">
        <v>299</v>
      </c>
      <c r="D42" s="9">
        <f t="shared" si="8"/>
        <v>-30</v>
      </c>
      <c r="E42" s="9">
        <f t="shared" si="9"/>
        <v>30</v>
      </c>
      <c r="F42" s="9">
        <v>8.5</v>
      </c>
      <c r="G42" s="9">
        <v>-8.5</v>
      </c>
      <c r="H42" s="8" t="s">
        <v>53</v>
      </c>
      <c r="J42" s="2" t="s">
        <v>9</v>
      </c>
      <c r="K42" s="9">
        <v>99</v>
      </c>
      <c r="L42" s="9">
        <v>92</v>
      </c>
      <c r="M42" s="9">
        <f t="shared" si="10"/>
        <v>7</v>
      </c>
      <c r="N42" s="9">
        <f t="shared" si="11"/>
        <v>7</v>
      </c>
      <c r="O42" s="9">
        <v>4</v>
      </c>
      <c r="P42" s="9">
        <v>4</v>
      </c>
      <c r="Q42" s="8" t="s">
        <v>59</v>
      </c>
    </row>
    <row r="43" spans="1:17" ht="20" x14ac:dyDescent="0.25">
      <c r="A43" s="2" t="s">
        <v>10</v>
      </c>
      <c r="B43" s="9">
        <v>211</v>
      </c>
      <c r="C43" s="9">
        <v>242</v>
      </c>
      <c r="D43" s="9">
        <f t="shared" si="8"/>
        <v>-31</v>
      </c>
      <c r="E43" s="9">
        <f t="shared" si="9"/>
        <v>31</v>
      </c>
      <c r="F43" s="9">
        <v>10</v>
      </c>
      <c r="G43" s="9">
        <v>-10</v>
      </c>
      <c r="H43" s="8" t="s">
        <v>54</v>
      </c>
      <c r="J43" s="2" t="s">
        <v>10</v>
      </c>
      <c r="K43" s="9">
        <v>81</v>
      </c>
      <c r="L43" s="9">
        <v>59</v>
      </c>
      <c r="M43" s="9">
        <f t="shared" si="10"/>
        <v>22</v>
      </c>
      <c r="N43" s="9">
        <f t="shared" si="11"/>
        <v>22</v>
      </c>
      <c r="O43" s="9">
        <v>6.5</v>
      </c>
      <c r="P43" s="9">
        <v>6.5</v>
      </c>
      <c r="Q43" s="8" t="s">
        <v>60</v>
      </c>
    </row>
    <row r="44" spans="1:17" x14ac:dyDescent="0.2">
      <c r="A44" s="2" t="s">
        <v>11</v>
      </c>
      <c r="B44" s="9">
        <v>2121</v>
      </c>
      <c r="C44" s="9">
        <v>2241</v>
      </c>
      <c r="D44" s="9">
        <f t="shared" si="8"/>
        <v>-120</v>
      </c>
      <c r="E44" s="9">
        <f t="shared" si="9"/>
        <v>120</v>
      </c>
      <c r="F44" s="9">
        <v>12</v>
      </c>
      <c r="G44" s="9">
        <v>-12</v>
      </c>
      <c r="H44"/>
      <c r="J44" s="2" t="s">
        <v>11</v>
      </c>
      <c r="K44" s="9">
        <v>971</v>
      </c>
      <c r="L44" s="9">
        <v>786</v>
      </c>
      <c r="M44" s="9">
        <f t="shared" si="10"/>
        <v>185</v>
      </c>
      <c r="N44" s="9">
        <f t="shared" si="11"/>
        <v>185</v>
      </c>
      <c r="O44" s="9">
        <v>11</v>
      </c>
      <c r="P44" s="9">
        <v>11</v>
      </c>
      <c r="Q44"/>
    </row>
    <row r="45" spans="1:17" ht="20" x14ac:dyDescent="0.25">
      <c r="A45" s="2" t="s">
        <v>12</v>
      </c>
      <c r="B45" s="9">
        <v>3686</v>
      </c>
      <c r="C45" s="9">
        <v>3769</v>
      </c>
      <c r="D45" s="9">
        <f t="shared" si="8"/>
        <v>-83</v>
      </c>
      <c r="E45" s="9">
        <f t="shared" si="9"/>
        <v>83</v>
      </c>
      <c r="F45" s="9">
        <v>11</v>
      </c>
      <c r="G45" s="9">
        <v>-11</v>
      </c>
      <c r="H45" s="8" t="s">
        <v>55</v>
      </c>
      <c r="J45" s="2" t="s">
        <v>12</v>
      </c>
      <c r="K45" s="9">
        <v>1443</v>
      </c>
      <c r="L45" s="9">
        <v>1323</v>
      </c>
      <c r="M45" s="9">
        <f t="shared" si="10"/>
        <v>120</v>
      </c>
      <c r="N45" s="9">
        <f t="shared" si="11"/>
        <v>120</v>
      </c>
      <c r="O45" s="9">
        <v>9</v>
      </c>
      <c r="P45" s="9">
        <v>9</v>
      </c>
      <c r="Q45" s="8" t="s">
        <v>61</v>
      </c>
    </row>
    <row r="46" spans="1:17" x14ac:dyDescent="0.2">
      <c r="A46" s="2" t="s">
        <v>13</v>
      </c>
      <c r="B46" s="9">
        <v>324</v>
      </c>
      <c r="C46" s="9">
        <v>350</v>
      </c>
      <c r="D46" s="9">
        <f t="shared" si="8"/>
        <v>-26</v>
      </c>
      <c r="E46" s="9">
        <f t="shared" si="9"/>
        <v>26</v>
      </c>
      <c r="F46" s="9">
        <v>7</v>
      </c>
      <c r="G46" s="9">
        <v>-7</v>
      </c>
      <c r="H46" t="s">
        <v>39</v>
      </c>
      <c r="J46" s="2" t="s">
        <v>13</v>
      </c>
      <c r="K46" s="9">
        <v>150</v>
      </c>
      <c r="L46" s="9">
        <v>128</v>
      </c>
      <c r="M46" s="9">
        <f t="shared" si="10"/>
        <v>22</v>
      </c>
      <c r="N46" s="9">
        <f t="shared" si="11"/>
        <v>22</v>
      </c>
      <c r="O46" s="9">
        <v>6.5</v>
      </c>
      <c r="P46" s="9">
        <v>6.5</v>
      </c>
      <c r="Q46" t="s">
        <v>42</v>
      </c>
    </row>
    <row r="47" spans="1:17" x14ac:dyDescent="0.2">
      <c r="A47" s="2" t="s">
        <v>14</v>
      </c>
      <c r="B47" s="9">
        <v>286</v>
      </c>
      <c r="C47" s="9">
        <v>316</v>
      </c>
      <c r="D47" s="9">
        <f t="shared" si="8"/>
        <v>-30</v>
      </c>
      <c r="E47" s="9">
        <f t="shared" si="9"/>
        <v>30</v>
      </c>
      <c r="F47" s="9">
        <v>8.5</v>
      </c>
      <c r="G47" s="9">
        <v>-8.5</v>
      </c>
      <c r="H47" t="s">
        <v>40</v>
      </c>
      <c r="J47" s="2" t="s">
        <v>14</v>
      </c>
      <c r="K47" s="9">
        <v>135</v>
      </c>
      <c r="L47" s="9">
        <v>97</v>
      </c>
      <c r="M47" s="9">
        <f t="shared" si="10"/>
        <v>38</v>
      </c>
      <c r="N47" s="9">
        <f t="shared" si="11"/>
        <v>38</v>
      </c>
      <c r="O47" s="9">
        <v>8</v>
      </c>
      <c r="P47" s="9">
        <v>8</v>
      </c>
      <c r="Q47" t="s">
        <v>43</v>
      </c>
    </row>
    <row r="48" spans="1:17" x14ac:dyDescent="0.2">
      <c r="A48" s="2" t="s">
        <v>15</v>
      </c>
      <c r="B48" s="9">
        <v>1100</v>
      </c>
      <c r="C48" s="9">
        <v>1110</v>
      </c>
      <c r="D48" s="9">
        <f t="shared" si="8"/>
        <v>-10</v>
      </c>
      <c r="E48" s="9">
        <f t="shared" si="9"/>
        <v>10</v>
      </c>
      <c r="F48" s="9">
        <v>5</v>
      </c>
      <c r="G48" s="9">
        <v>-5</v>
      </c>
      <c r="H48"/>
      <c r="J48" s="2" t="s">
        <v>15</v>
      </c>
      <c r="K48" s="9">
        <v>509</v>
      </c>
      <c r="L48" s="9">
        <v>379</v>
      </c>
      <c r="M48" s="9">
        <f t="shared" si="10"/>
        <v>130</v>
      </c>
      <c r="N48" s="9">
        <f t="shared" si="11"/>
        <v>130</v>
      </c>
      <c r="O48" s="9">
        <v>10</v>
      </c>
      <c r="P48" s="9">
        <v>10</v>
      </c>
      <c r="Q48"/>
    </row>
    <row r="49" spans="1:17" x14ac:dyDescent="0.2">
      <c r="A49" s="2" t="s">
        <v>16</v>
      </c>
      <c r="B49" s="9">
        <v>1330</v>
      </c>
      <c r="C49" s="9">
        <v>1322</v>
      </c>
      <c r="D49" s="9">
        <f t="shared" si="8"/>
        <v>8</v>
      </c>
      <c r="E49" s="9">
        <f t="shared" si="9"/>
        <v>8</v>
      </c>
      <c r="F49" s="9">
        <v>4</v>
      </c>
      <c r="G49" s="9">
        <v>4</v>
      </c>
      <c r="H49" t="s">
        <v>41</v>
      </c>
      <c r="J49" s="2" t="s">
        <v>16</v>
      </c>
      <c r="K49" s="9">
        <v>490</v>
      </c>
      <c r="L49" s="9">
        <v>481</v>
      </c>
      <c r="M49" s="9">
        <f t="shared" si="10"/>
        <v>9</v>
      </c>
      <c r="N49" s="9">
        <f t="shared" si="11"/>
        <v>9</v>
      </c>
      <c r="O49" s="9">
        <v>5</v>
      </c>
      <c r="P49" s="9">
        <v>5</v>
      </c>
      <c r="Q49" t="s">
        <v>44</v>
      </c>
    </row>
    <row r="50" spans="1:17" x14ac:dyDescent="0.2">
      <c r="A50" s="2" t="s">
        <v>17</v>
      </c>
      <c r="B50" s="9">
        <v>10</v>
      </c>
      <c r="C50" s="9">
        <v>9</v>
      </c>
      <c r="D50" s="9">
        <f t="shared" si="8"/>
        <v>1</v>
      </c>
      <c r="E50" s="9">
        <f t="shared" si="9"/>
        <v>1</v>
      </c>
      <c r="F50" s="9">
        <v>1.5</v>
      </c>
      <c r="G50" s="9">
        <v>1.5</v>
      </c>
      <c r="J50" s="2" t="s">
        <v>17</v>
      </c>
      <c r="K50" s="9">
        <v>4</v>
      </c>
      <c r="L50" s="9">
        <v>5</v>
      </c>
      <c r="M50" s="9">
        <f t="shared" si="10"/>
        <v>-1</v>
      </c>
      <c r="N50" s="9">
        <f t="shared" si="11"/>
        <v>1</v>
      </c>
      <c r="O50" s="9">
        <v>1</v>
      </c>
      <c r="P50" s="9">
        <v>-1</v>
      </c>
    </row>
    <row r="51" spans="1:17" x14ac:dyDescent="0.2">
      <c r="A51" s="2" t="s">
        <v>18</v>
      </c>
      <c r="B51" s="9">
        <v>11</v>
      </c>
      <c r="C51" s="9">
        <v>11</v>
      </c>
      <c r="D51" s="9">
        <f t="shared" si="8"/>
        <v>0</v>
      </c>
      <c r="E51" s="9">
        <f t="shared" si="9"/>
        <v>0</v>
      </c>
      <c r="F51" s="20" t="s">
        <v>35</v>
      </c>
      <c r="G51" s="20" t="s">
        <v>35</v>
      </c>
      <c r="H51" s="13" t="s">
        <v>56</v>
      </c>
      <c r="J51" s="2" t="s">
        <v>18</v>
      </c>
      <c r="K51" s="9">
        <v>5</v>
      </c>
      <c r="L51" s="9">
        <v>5</v>
      </c>
      <c r="M51" s="9">
        <f t="shared" si="10"/>
        <v>0</v>
      </c>
      <c r="N51" s="9">
        <f t="shared" si="11"/>
        <v>0</v>
      </c>
      <c r="O51" s="20" t="s">
        <v>35</v>
      </c>
      <c r="P51" s="20" t="s">
        <v>35</v>
      </c>
      <c r="Q51" s="13" t="s">
        <v>28</v>
      </c>
    </row>
    <row r="52" spans="1:17" x14ac:dyDescent="0.2">
      <c r="A52" s="2" t="s">
        <v>19</v>
      </c>
      <c r="B52" s="9">
        <v>8</v>
      </c>
      <c r="C52" s="9">
        <v>7</v>
      </c>
      <c r="D52" s="9">
        <f t="shared" si="8"/>
        <v>1</v>
      </c>
      <c r="E52" s="9">
        <f t="shared" si="9"/>
        <v>1</v>
      </c>
      <c r="F52" s="9">
        <v>1.5</v>
      </c>
      <c r="G52" s="9">
        <v>1.5</v>
      </c>
      <c r="H52" s="13" t="s">
        <v>71</v>
      </c>
      <c r="J52" s="2" t="s">
        <v>19</v>
      </c>
      <c r="K52" s="9">
        <v>4</v>
      </c>
      <c r="L52" s="9">
        <v>4</v>
      </c>
      <c r="M52" s="9">
        <f t="shared" si="10"/>
        <v>0</v>
      </c>
      <c r="N52" s="9">
        <f t="shared" si="11"/>
        <v>0</v>
      </c>
      <c r="O52" s="20" t="s">
        <v>35</v>
      </c>
      <c r="P52" s="20" t="s">
        <v>35</v>
      </c>
      <c r="Q52" s="13" t="s">
        <v>71</v>
      </c>
    </row>
    <row r="53" spans="1:17" x14ac:dyDescent="0.2">
      <c r="A53" s="11"/>
      <c r="B53" s="11"/>
      <c r="C53" s="11"/>
      <c r="D53" s="11"/>
      <c r="E53" s="11"/>
      <c r="F53" s="11"/>
      <c r="G53" s="11">
        <f>SUM(G40:G52)</f>
        <v>-64</v>
      </c>
      <c r="J53" s="11"/>
      <c r="K53" s="11"/>
      <c r="L53" s="11"/>
      <c r="M53" s="11"/>
      <c r="N53" s="11"/>
      <c r="O53" s="11"/>
      <c r="P53" s="11">
        <f>SUM(P40:P52)</f>
        <v>60</v>
      </c>
    </row>
    <row r="54" spans="1:17" x14ac:dyDescent="0.2">
      <c r="A54" s="2" t="s">
        <v>25</v>
      </c>
    </row>
    <row r="56" spans="1:17" x14ac:dyDescent="0.2">
      <c r="A56" s="1" t="s">
        <v>31</v>
      </c>
      <c r="B56" s="3" t="s">
        <v>1</v>
      </c>
      <c r="C56" s="3" t="s">
        <v>2</v>
      </c>
      <c r="D56" s="3" t="s">
        <v>3</v>
      </c>
      <c r="E56" s="3" t="s">
        <v>4</v>
      </c>
      <c r="F56" s="3" t="s">
        <v>5</v>
      </c>
      <c r="G56" s="15" t="s">
        <v>6</v>
      </c>
      <c r="J56" s="1" t="s">
        <v>32</v>
      </c>
      <c r="K56" s="3" t="s">
        <v>1</v>
      </c>
      <c r="L56" s="3" t="s">
        <v>2</v>
      </c>
      <c r="M56" s="3" t="s">
        <v>3</v>
      </c>
      <c r="N56" s="3" t="s">
        <v>4</v>
      </c>
      <c r="O56" s="3" t="s">
        <v>5</v>
      </c>
      <c r="P56" s="15" t="s">
        <v>6</v>
      </c>
    </row>
    <row r="57" spans="1:17" ht="20" x14ac:dyDescent="0.25">
      <c r="A57" s="2" t="s">
        <v>7</v>
      </c>
      <c r="B57" s="9">
        <v>125</v>
      </c>
      <c r="C57" s="9">
        <v>138</v>
      </c>
      <c r="D57" s="9">
        <f t="shared" ref="D57:D69" si="12">B57-C57</f>
        <v>-13</v>
      </c>
      <c r="E57" s="9">
        <f t="shared" ref="E57:E69" si="13">ABS(D57)</f>
        <v>13</v>
      </c>
      <c r="F57" s="9">
        <v>4</v>
      </c>
      <c r="G57" s="9">
        <v>-4</v>
      </c>
      <c r="H57" s="8" t="s">
        <v>62</v>
      </c>
      <c r="J57" s="2" t="s">
        <v>7</v>
      </c>
      <c r="K57" s="9">
        <v>75</v>
      </c>
      <c r="L57" s="9">
        <v>66</v>
      </c>
      <c r="M57" s="9">
        <f t="shared" ref="M57:M69" si="14">K57-L57</f>
        <v>9</v>
      </c>
      <c r="N57" s="9">
        <f t="shared" ref="N57:N69" si="15">ABS(M57)</f>
        <v>9</v>
      </c>
      <c r="O57" s="9">
        <v>6.5</v>
      </c>
      <c r="P57" s="9">
        <v>6.5</v>
      </c>
      <c r="Q57" s="8" t="s">
        <v>101</v>
      </c>
    </row>
    <row r="58" spans="1:17" ht="20" x14ac:dyDescent="0.25">
      <c r="A58" s="2" t="s">
        <v>8</v>
      </c>
      <c r="B58" s="9">
        <v>35</v>
      </c>
      <c r="C58" s="9">
        <v>40</v>
      </c>
      <c r="D58" s="9">
        <f t="shared" si="12"/>
        <v>-5</v>
      </c>
      <c r="E58" s="9">
        <f t="shared" si="13"/>
        <v>5</v>
      </c>
      <c r="F58" s="9">
        <v>3</v>
      </c>
      <c r="G58" s="9">
        <v>-3</v>
      </c>
      <c r="H58" s="8" t="s">
        <v>63</v>
      </c>
      <c r="J58" s="2" t="s">
        <v>8</v>
      </c>
      <c r="K58" s="9">
        <v>20</v>
      </c>
      <c r="L58" s="9">
        <v>19</v>
      </c>
      <c r="M58" s="9">
        <f t="shared" si="14"/>
        <v>1</v>
      </c>
      <c r="N58" s="9">
        <f t="shared" si="15"/>
        <v>1</v>
      </c>
      <c r="O58" s="9">
        <v>2</v>
      </c>
      <c r="P58" s="9">
        <v>2</v>
      </c>
      <c r="Q58" s="8" t="s">
        <v>102</v>
      </c>
    </row>
    <row r="59" spans="1:17" ht="20" x14ac:dyDescent="0.25">
      <c r="A59" s="2" t="s">
        <v>9</v>
      </c>
      <c r="B59" s="9">
        <v>202</v>
      </c>
      <c r="C59" s="9">
        <v>244</v>
      </c>
      <c r="D59" s="9">
        <f t="shared" si="12"/>
        <v>-42</v>
      </c>
      <c r="E59" s="9">
        <f t="shared" si="13"/>
        <v>42</v>
      </c>
      <c r="F59" s="9">
        <v>7</v>
      </c>
      <c r="G59" s="9">
        <v>-7</v>
      </c>
      <c r="H59" s="8" t="s">
        <v>64</v>
      </c>
      <c r="J59" s="2" t="s">
        <v>9</v>
      </c>
      <c r="K59" s="9">
        <v>159</v>
      </c>
      <c r="L59" s="9">
        <v>145</v>
      </c>
      <c r="M59" s="9">
        <f t="shared" si="14"/>
        <v>14</v>
      </c>
      <c r="N59" s="9">
        <f t="shared" si="15"/>
        <v>14</v>
      </c>
      <c r="O59" s="9">
        <v>8</v>
      </c>
      <c r="P59" s="9">
        <v>8</v>
      </c>
      <c r="Q59" s="8" t="s">
        <v>103</v>
      </c>
    </row>
    <row r="60" spans="1:17" ht="20" x14ac:dyDescent="0.25">
      <c r="A60" s="2" t="s">
        <v>10</v>
      </c>
      <c r="B60" s="9">
        <v>178</v>
      </c>
      <c r="C60" s="9">
        <v>199</v>
      </c>
      <c r="D60" s="9">
        <f t="shared" si="12"/>
        <v>-21</v>
      </c>
      <c r="E60" s="9">
        <f t="shared" si="13"/>
        <v>21</v>
      </c>
      <c r="F60" s="9">
        <v>5</v>
      </c>
      <c r="G60" s="9">
        <v>-5</v>
      </c>
      <c r="H60" s="8" t="s">
        <v>65</v>
      </c>
      <c r="J60" s="2" t="s">
        <v>10</v>
      </c>
      <c r="K60" s="9">
        <v>115</v>
      </c>
      <c r="L60" s="9">
        <v>106</v>
      </c>
      <c r="M60" s="9">
        <f t="shared" si="14"/>
        <v>9</v>
      </c>
      <c r="N60" s="9">
        <f t="shared" si="15"/>
        <v>9</v>
      </c>
      <c r="O60" s="9">
        <v>6.5</v>
      </c>
      <c r="P60" s="9">
        <v>6.5</v>
      </c>
      <c r="Q60" s="8" t="s">
        <v>104</v>
      </c>
    </row>
    <row r="61" spans="1:17" x14ac:dyDescent="0.2">
      <c r="A61" s="2" t="s">
        <v>11</v>
      </c>
      <c r="B61" s="9">
        <v>1976</v>
      </c>
      <c r="C61" s="9">
        <v>2027</v>
      </c>
      <c r="D61" s="9">
        <f t="shared" si="12"/>
        <v>-51</v>
      </c>
      <c r="E61" s="9">
        <f t="shared" si="13"/>
        <v>51</v>
      </c>
      <c r="F61" s="9">
        <v>8</v>
      </c>
      <c r="G61" s="9">
        <v>-8</v>
      </c>
      <c r="H61"/>
      <c r="J61" s="2" t="s">
        <v>11</v>
      </c>
      <c r="K61" s="9">
        <v>1073</v>
      </c>
      <c r="L61" s="9">
        <v>1013</v>
      </c>
      <c r="M61" s="9">
        <f t="shared" si="14"/>
        <v>60</v>
      </c>
      <c r="N61" s="9">
        <f t="shared" si="15"/>
        <v>60</v>
      </c>
      <c r="O61" s="9">
        <v>10</v>
      </c>
      <c r="P61" s="9">
        <v>10</v>
      </c>
      <c r="Q61"/>
    </row>
    <row r="62" spans="1:17" ht="20" x14ac:dyDescent="0.25">
      <c r="A62" s="2" t="s">
        <v>12</v>
      </c>
      <c r="B62" s="9">
        <v>2974</v>
      </c>
      <c r="C62" s="9">
        <v>3185</v>
      </c>
      <c r="D62" s="9">
        <f t="shared" si="12"/>
        <v>-211</v>
      </c>
      <c r="E62" s="9">
        <f t="shared" si="13"/>
        <v>211</v>
      </c>
      <c r="F62" s="9">
        <v>10</v>
      </c>
      <c r="G62" s="9">
        <v>-10</v>
      </c>
      <c r="H62" s="8" t="s">
        <v>66</v>
      </c>
      <c r="J62" s="2" t="s">
        <v>12</v>
      </c>
      <c r="K62" s="9">
        <v>1937</v>
      </c>
      <c r="L62" s="9">
        <v>1952</v>
      </c>
      <c r="M62" s="9">
        <f t="shared" si="14"/>
        <v>-15</v>
      </c>
      <c r="N62" s="9">
        <f t="shared" si="15"/>
        <v>15</v>
      </c>
      <c r="O62" s="9">
        <v>9</v>
      </c>
      <c r="P62" s="9">
        <v>-9</v>
      </c>
      <c r="Q62" s="8" t="s">
        <v>105</v>
      </c>
    </row>
    <row r="63" spans="1:17" x14ac:dyDescent="0.2">
      <c r="A63" s="2" t="s">
        <v>13</v>
      </c>
      <c r="B63" s="9">
        <v>255</v>
      </c>
      <c r="C63" s="9">
        <v>285</v>
      </c>
      <c r="D63" s="9">
        <f t="shared" si="12"/>
        <v>-30</v>
      </c>
      <c r="E63" s="9">
        <f t="shared" si="13"/>
        <v>30</v>
      </c>
      <c r="F63" s="9">
        <v>6</v>
      </c>
      <c r="G63" s="9">
        <v>-6</v>
      </c>
      <c r="H63" t="s">
        <v>67</v>
      </c>
      <c r="J63" s="2" t="s">
        <v>13</v>
      </c>
      <c r="K63" s="9">
        <v>198</v>
      </c>
      <c r="L63" s="9">
        <v>205</v>
      </c>
      <c r="M63" s="9">
        <f t="shared" si="14"/>
        <v>-7</v>
      </c>
      <c r="N63" s="9">
        <f t="shared" si="15"/>
        <v>7</v>
      </c>
      <c r="O63" s="9">
        <v>4.5</v>
      </c>
      <c r="P63" s="9">
        <v>-4.5</v>
      </c>
      <c r="Q63" t="s">
        <v>39</v>
      </c>
    </row>
    <row r="64" spans="1:17" x14ac:dyDescent="0.2">
      <c r="A64" s="2" t="s">
        <v>14</v>
      </c>
      <c r="B64" s="9">
        <v>233</v>
      </c>
      <c r="C64" s="9">
        <v>235</v>
      </c>
      <c r="D64" s="9">
        <f t="shared" si="12"/>
        <v>-2</v>
      </c>
      <c r="E64" s="9">
        <f t="shared" si="13"/>
        <v>2</v>
      </c>
      <c r="F64" s="9">
        <v>2</v>
      </c>
      <c r="G64" s="9">
        <v>-2</v>
      </c>
      <c r="H64" t="s">
        <v>68</v>
      </c>
      <c r="J64" s="2" t="s">
        <v>14</v>
      </c>
      <c r="K64" s="9">
        <v>176</v>
      </c>
      <c r="L64" s="9">
        <v>169</v>
      </c>
      <c r="M64" s="9">
        <f t="shared" si="14"/>
        <v>7</v>
      </c>
      <c r="N64" s="9">
        <f t="shared" si="15"/>
        <v>7</v>
      </c>
      <c r="O64" s="9">
        <v>4.5</v>
      </c>
      <c r="P64" s="9">
        <v>4.5</v>
      </c>
      <c r="Q64" t="s">
        <v>40</v>
      </c>
    </row>
    <row r="65" spans="1:17" x14ac:dyDescent="0.2">
      <c r="A65" s="2" t="s">
        <v>15</v>
      </c>
      <c r="B65" s="9">
        <v>948</v>
      </c>
      <c r="C65" s="9">
        <v>948</v>
      </c>
      <c r="D65" s="9">
        <f t="shared" si="12"/>
        <v>0</v>
      </c>
      <c r="E65" s="9">
        <f t="shared" si="13"/>
        <v>0</v>
      </c>
      <c r="F65" s="20" t="s">
        <v>35</v>
      </c>
      <c r="G65" s="20" t="s">
        <v>35</v>
      </c>
      <c r="H65"/>
      <c r="J65" s="2" t="s">
        <v>15</v>
      </c>
      <c r="K65" s="9">
        <v>638</v>
      </c>
      <c r="L65" s="9">
        <v>556</v>
      </c>
      <c r="M65" s="9">
        <f t="shared" si="14"/>
        <v>82</v>
      </c>
      <c r="N65" s="9">
        <f t="shared" si="15"/>
        <v>82</v>
      </c>
      <c r="O65" s="9">
        <v>12</v>
      </c>
      <c r="P65" s="9">
        <v>12</v>
      </c>
      <c r="Q65"/>
    </row>
    <row r="66" spans="1:17" x14ac:dyDescent="0.2">
      <c r="A66" s="2" t="s">
        <v>16</v>
      </c>
      <c r="B66" s="9">
        <v>1012</v>
      </c>
      <c r="C66" s="9">
        <v>1088</v>
      </c>
      <c r="D66" s="9">
        <f t="shared" si="12"/>
        <v>-76</v>
      </c>
      <c r="E66" s="9">
        <f t="shared" si="13"/>
        <v>76</v>
      </c>
      <c r="F66" s="9">
        <v>9</v>
      </c>
      <c r="G66" s="9">
        <v>-9</v>
      </c>
      <c r="H66" t="s">
        <v>69</v>
      </c>
      <c r="J66" s="2" t="s">
        <v>16</v>
      </c>
      <c r="K66" s="9">
        <v>775</v>
      </c>
      <c r="L66" s="9">
        <v>712</v>
      </c>
      <c r="M66" s="9">
        <f t="shared" si="14"/>
        <v>63</v>
      </c>
      <c r="N66" s="9">
        <f t="shared" si="15"/>
        <v>63</v>
      </c>
      <c r="O66" s="9">
        <v>11</v>
      </c>
      <c r="P66" s="9">
        <v>11</v>
      </c>
      <c r="Q66" t="s">
        <v>41</v>
      </c>
    </row>
    <row r="67" spans="1:17" x14ac:dyDescent="0.2">
      <c r="A67" s="2" t="s">
        <v>17</v>
      </c>
      <c r="B67" s="9">
        <v>7</v>
      </c>
      <c r="C67" s="9">
        <v>6</v>
      </c>
      <c r="D67" s="9">
        <f t="shared" si="12"/>
        <v>1</v>
      </c>
      <c r="E67" s="9">
        <f t="shared" si="13"/>
        <v>1</v>
      </c>
      <c r="F67" s="9">
        <v>1</v>
      </c>
      <c r="G67" s="9">
        <v>1</v>
      </c>
      <c r="J67" s="2" t="s">
        <v>17</v>
      </c>
      <c r="K67" s="9">
        <v>7</v>
      </c>
      <c r="L67" s="9">
        <v>7</v>
      </c>
      <c r="M67" s="9">
        <f t="shared" si="14"/>
        <v>0</v>
      </c>
      <c r="N67" s="9">
        <f t="shared" si="15"/>
        <v>0</v>
      </c>
      <c r="O67" s="20" t="s">
        <v>35</v>
      </c>
      <c r="P67" s="20" t="s">
        <v>35</v>
      </c>
    </row>
    <row r="68" spans="1:17" x14ac:dyDescent="0.2">
      <c r="A68" s="2" t="s">
        <v>18</v>
      </c>
      <c r="B68" s="9">
        <v>7</v>
      </c>
      <c r="C68" s="9">
        <v>7</v>
      </c>
      <c r="D68" s="9">
        <f t="shared" si="12"/>
        <v>0</v>
      </c>
      <c r="E68" s="9">
        <f t="shared" si="13"/>
        <v>0</v>
      </c>
      <c r="F68" s="20" t="s">
        <v>35</v>
      </c>
      <c r="G68" s="20" t="s">
        <v>35</v>
      </c>
      <c r="H68" s="13" t="s">
        <v>70</v>
      </c>
      <c r="J68" s="2" t="s">
        <v>18</v>
      </c>
      <c r="K68" s="9">
        <v>9</v>
      </c>
      <c r="L68" s="9">
        <v>8</v>
      </c>
      <c r="M68" s="9">
        <f t="shared" si="14"/>
        <v>1</v>
      </c>
      <c r="N68" s="9">
        <f t="shared" si="15"/>
        <v>1</v>
      </c>
      <c r="O68" s="9">
        <v>2</v>
      </c>
      <c r="P68" s="9">
        <v>2</v>
      </c>
      <c r="Q68" s="13" t="s">
        <v>106</v>
      </c>
    </row>
    <row r="69" spans="1:17" x14ac:dyDescent="0.2">
      <c r="A69" s="2" t="s">
        <v>19</v>
      </c>
      <c r="B69" s="9">
        <v>5</v>
      </c>
      <c r="C69" s="9">
        <v>5</v>
      </c>
      <c r="D69" s="9">
        <f t="shared" si="12"/>
        <v>0</v>
      </c>
      <c r="E69" s="9">
        <f t="shared" si="13"/>
        <v>0</v>
      </c>
      <c r="F69" s="20" t="s">
        <v>35</v>
      </c>
      <c r="G69" s="20" t="s">
        <v>35</v>
      </c>
      <c r="H69" s="13" t="s">
        <v>71</v>
      </c>
      <c r="J69" s="2" t="s">
        <v>19</v>
      </c>
      <c r="K69" s="9">
        <v>7</v>
      </c>
      <c r="L69" s="9">
        <v>6</v>
      </c>
      <c r="M69" s="9">
        <f t="shared" si="14"/>
        <v>1</v>
      </c>
      <c r="N69" s="9">
        <f t="shared" si="15"/>
        <v>1</v>
      </c>
      <c r="O69" s="9">
        <v>2</v>
      </c>
      <c r="P69" s="9">
        <v>2</v>
      </c>
      <c r="Q69" s="13" t="s">
        <v>71</v>
      </c>
    </row>
    <row r="70" spans="1:17" x14ac:dyDescent="0.2">
      <c r="A70" s="11"/>
      <c r="B70" s="11"/>
      <c r="C70" s="11"/>
      <c r="D70" s="11"/>
      <c r="E70" s="11"/>
      <c r="F70" s="11"/>
      <c r="G70" s="11">
        <f>SUM(G57:G69)</f>
        <v>-53</v>
      </c>
      <c r="J70" s="11"/>
      <c r="K70" s="11"/>
      <c r="L70" s="11"/>
      <c r="M70" s="11"/>
      <c r="N70" s="11"/>
      <c r="O70" s="11"/>
      <c r="P70" s="11">
        <f>SUM(P57:P69)</f>
        <v>51</v>
      </c>
    </row>
    <row r="71" spans="1:17" x14ac:dyDescent="0.2">
      <c r="A71" s="2" t="s">
        <v>24</v>
      </c>
    </row>
    <row r="73" spans="1:17" x14ac:dyDescent="0.2">
      <c r="A73" s="1" t="s">
        <v>31</v>
      </c>
      <c r="B73" s="3" t="s">
        <v>1</v>
      </c>
      <c r="C73" s="3" t="s">
        <v>2</v>
      </c>
      <c r="D73" s="3" t="s">
        <v>3</v>
      </c>
      <c r="E73" s="3" t="s">
        <v>4</v>
      </c>
      <c r="F73" s="3" t="s">
        <v>5</v>
      </c>
      <c r="G73" s="15" t="s">
        <v>6</v>
      </c>
      <c r="J73" s="1" t="s">
        <v>32</v>
      </c>
      <c r="K73" s="3" t="s">
        <v>1</v>
      </c>
      <c r="L73" s="3" t="s">
        <v>2</v>
      </c>
      <c r="M73" s="3" t="s">
        <v>3</v>
      </c>
      <c r="N73" s="3" t="s">
        <v>4</v>
      </c>
      <c r="O73" s="3" t="s">
        <v>5</v>
      </c>
      <c r="P73" s="15" t="s">
        <v>6</v>
      </c>
    </row>
    <row r="74" spans="1:17" ht="20" x14ac:dyDescent="0.25">
      <c r="A74" s="2" t="s">
        <v>7</v>
      </c>
      <c r="B74" s="9">
        <v>139</v>
      </c>
      <c r="C74" s="9">
        <v>142</v>
      </c>
      <c r="D74" s="9">
        <f t="shared" ref="D74:D86" si="16">B74-C74</f>
        <v>-3</v>
      </c>
      <c r="E74" s="9">
        <f t="shared" ref="E74:E86" si="17">ABS(D74)</f>
        <v>3</v>
      </c>
      <c r="F74" s="9">
        <v>4.5</v>
      </c>
      <c r="G74" s="9">
        <v>-4.5</v>
      </c>
      <c r="H74" s="8" t="s">
        <v>107</v>
      </c>
      <c r="J74" s="2" t="s">
        <v>7</v>
      </c>
      <c r="K74" s="9">
        <v>66</v>
      </c>
      <c r="L74" s="9">
        <v>71</v>
      </c>
      <c r="M74" s="9">
        <f t="shared" ref="M74:M86" si="18">K74-L74</f>
        <v>-5</v>
      </c>
      <c r="N74" s="9">
        <f t="shared" ref="N74:N86" si="19">ABS(M74)</f>
        <v>5</v>
      </c>
      <c r="O74" s="9">
        <v>7</v>
      </c>
      <c r="P74" s="9">
        <v>-7</v>
      </c>
      <c r="Q74" s="8" t="s">
        <v>113</v>
      </c>
    </row>
    <row r="75" spans="1:17" ht="20" x14ac:dyDescent="0.25">
      <c r="A75" s="2" t="s">
        <v>8</v>
      </c>
      <c r="B75" s="9">
        <v>41</v>
      </c>
      <c r="C75" s="9">
        <v>44</v>
      </c>
      <c r="D75" s="9">
        <f t="shared" si="16"/>
        <v>-3</v>
      </c>
      <c r="E75" s="9">
        <f t="shared" si="17"/>
        <v>3</v>
      </c>
      <c r="F75" s="9">
        <v>4.5</v>
      </c>
      <c r="G75" s="9">
        <v>-4.5</v>
      </c>
      <c r="H75" s="8" t="s">
        <v>108</v>
      </c>
      <c r="J75" s="2" t="s">
        <v>8</v>
      </c>
      <c r="K75" s="9">
        <v>16</v>
      </c>
      <c r="L75" s="9">
        <v>17</v>
      </c>
      <c r="M75" s="9">
        <f t="shared" si="18"/>
        <v>-1</v>
      </c>
      <c r="N75" s="9">
        <f t="shared" si="19"/>
        <v>1</v>
      </c>
      <c r="O75" s="9">
        <v>3</v>
      </c>
      <c r="P75" s="9">
        <v>-3</v>
      </c>
      <c r="Q75" s="8" t="s">
        <v>114</v>
      </c>
    </row>
    <row r="76" spans="1:17" ht="20" x14ac:dyDescent="0.25">
      <c r="A76" s="2" t="s">
        <v>9</v>
      </c>
      <c r="B76" s="9">
        <v>250</v>
      </c>
      <c r="C76" s="9">
        <v>276</v>
      </c>
      <c r="D76" s="9">
        <f t="shared" si="16"/>
        <v>-26</v>
      </c>
      <c r="E76" s="9">
        <f t="shared" si="17"/>
        <v>26</v>
      </c>
      <c r="F76" s="9">
        <v>9</v>
      </c>
      <c r="G76" s="9">
        <v>-9</v>
      </c>
      <c r="H76" s="8" t="s">
        <v>109</v>
      </c>
      <c r="J76" s="2" t="s">
        <v>9</v>
      </c>
      <c r="K76" s="9">
        <v>124</v>
      </c>
      <c r="L76" s="9">
        <v>125</v>
      </c>
      <c r="M76" s="9">
        <f t="shared" si="18"/>
        <v>-1</v>
      </c>
      <c r="N76" s="9">
        <f t="shared" si="19"/>
        <v>1</v>
      </c>
      <c r="O76" s="9">
        <v>3</v>
      </c>
      <c r="P76" s="9">
        <v>-3</v>
      </c>
      <c r="Q76" s="8" t="s">
        <v>115</v>
      </c>
    </row>
    <row r="77" spans="1:17" ht="20" x14ac:dyDescent="0.25">
      <c r="A77" s="2" t="s">
        <v>10</v>
      </c>
      <c r="B77" s="9">
        <v>215</v>
      </c>
      <c r="C77" s="9">
        <v>232</v>
      </c>
      <c r="D77" s="9">
        <f t="shared" si="16"/>
        <v>-17</v>
      </c>
      <c r="E77" s="9">
        <f t="shared" si="17"/>
        <v>17</v>
      </c>
      <c r="F77" s="9">
        <v>8</v>
      </c>
      <c r="G77" s="9">
        <v>-8</v>
      </c>
      <c r="H77" s="8" t="s">
        <v>48</v>
      </c>
      <c r="J77" s="2" t="s">
        <v>10</v>
      </c>
      <c r="K77" s="9">
        <v>86</v>
      </c>
      <c r="L77" s="9">
        <v>84</v>
      </c>
      <c r="M77" s="9">
        <f t="shared" si="18"/>
        <v>2</v>
      </c>
      <c r="N77" s="9">
        <f t="shared" si="19"/>
        <v>2</v>
      </c>
      <c r="O77" s="9">
        <v>6</v>
      </c>
      <c r="P77" s="9">
        <v>6</v>
      </c>
      <c r="Q77" s="8" t="s">
        <v>116</v>
      </c>
    </row>
    <row r="78" spans="1:17" x14ac:dyDescent="0.2">
      <c r="A78" s="2" t="s">
        <v>11</v>
      </c>
      <c r="B78" s="9">
        <v>2451</v>
      </c>
      <c r="C78" s="9">
        <v>2504</v>
      </c>
      <c r="D78" s="9">
        <f t="shared" si="16"/>
        <v>-53</v>
      </c>
      <c r="E78" s="9">
        <f t="shared" si="17"/>
        <v>53</v>
      </c>
      <c r="F78" s="9">
        <v>11</v>
      </c>
      <c r="G78" s="9">
        <v>-11</v>
      </c>
      <c r="H78"/>
      <c r="J78" s="2" t="s">
        <v>11</v>
      </c>
      <c r="K78" s="9">
        <v>795</v>
      </c>
      <c r="L78" s="9">
        <v>749</v>
      </c>
      <c r="M78" s="9">
        <f t="shared" si="18"/>
        <v>46</v>
      </c>
      <c r="N78" s="9">
        <f t="shared" si="19"/>
        <v>46</v>
      </c>
      <c r="O78" s="9">
        <v>10</v>
      </c>
      <c r="P78" s="9">
        <v>10</v>
      </c>
      <c r="Q78"/>
    </row>
    <row r="79" spans="1:17" ht="20" x14ac:dyDescent="0.25">
      <c r="A79" s="2" t="s">
        <v>12</v>
      </c>
      <c r="B79" s="9">
        <v>3753</v>
      </c>
      <c r="C79" s="9">
        <v>3753</v>
      </c>
      <c r="D79" s="9">
        <f t="shared" si="16"/>
        <v>0</v>
      </c>
      <c r="E79" s="9">
        <f t="shared" si="17"/>
        <v>0</v>
      </c>
      <c r="F79" s="20" t="s">
        <v>35</v>
      </c>
      <c r="G79" s="20" t="s">
        <v>35</v>
      </c>
      <c r="H79" s="8" t="s">
        <v>110</v>
      </c>
      <c r="J79" s="2" t="s">
        <v>12</v>
      </c>
      <c r="K79" s="9">
        <v>1578</v>
      </c>
      <c r="L79" s="9">
        <v>1639</v>
      </c>
      <c r="M79" s="9">
        <f t="shared" si="18"/>
        <v>-61</v>
      </c>
      <c r="N79" s="9">
        <f t="shared" si="19"/>
        <v>61</v>
      </c>
      <c r="O79" s="9">
        <v>11</v>
      </c>
      <c r="P79" s="9">
        <v>-11</v>
      </c>
      <c r="Q79" s="8" t="s">
        <v>117</v>
      </c>
    </row>
    <row r="80" spans="1:17" x14ac:dyDescent="0.2">
      <c r="A80" s="2" t="s">
        <v>13</v>
      </c>
      <c r="B80" s="9">
        <v>313</v>
      </c>
      <c r="C80" s="9">
        <v>317</v>
      </c>
      <c r="D80" s="9">
        <f t="shared" si="16"/>
        <v>-4</v>
      </c>
      <c r="E80" s="9">
        <f t="shared" si="17"/>
        <v>4</v>
      </c>
      <c r="F80" s="9">
        <v>6</v>
      </c>
      <c r="G80" s="9">
        <v>-6</v>
      </c>
      <c r="H80" t="s">
        <v>39</v>
      </c>
      <c r="J80" s="2" t="s">
        <v>13</v>
      </c>
      <c r="K80" s="9">
        <v>180</v>
      </c>
      <c r="L80" s="9">
        <v>180</v>
      </c>
      <c r="M80" s="9">
        <f t="shared" si="18"/>
        <v>0</v>
      </c>
      <c r="N80" s="9">
        <f t="shared" si="19"/>
        <v>0</v>
      </c>
      <c r="O80" s="20" t="s">
        <v>35</v>
      </c>
      <c r="P80" s="20" t="s">
        <v>35</v>
      </c>
      <c r="Q80" t="s">
        <v>42</v>
      </c>
    </row>
    <row r="81" spans="1:17" x14ac:dyDescent="0.2">
      <c r="A81" s="2" t="s">
        <v>14</v>
      </c>
      <c r="B81" s="9">
        <v>260</v>
      </c>
      <c r="C81" s="9">
        <v>274</v>
      </c>
      <c r="D81" s="9">
        <f t="shared" si="16"/>
        <v>-14</v>
      </c>
      <c r="E81" s="9">
        <f t="shared" si="17"/>
        <v>14</v>
      </c>
      <c r="F81" s="9">
        <v>7</v>
      </c>
      <c r="G81" s="9">
        <v>-7</v>
      </c>
      <c r="H81" t="s">
        <v>40</v>
      </c>
      <c r="J81" s="2" t="s">
        <v>14</v>
      </c>
      <c r="K81" s="9">
        <v>166</v>
      </c>
      <c r="L81" s="9">
        <v>153</v>
      </c>
      <c r="M81" s="9">
        <f t="shared" si="18"/>
        <v>13</v>
      </c>
      <c r="N81" s="9">
        <f t="shared" si="19"/>
        <v>13</v>
      </c>
      <c r="O81" s="9">
        <v>8</v>
      </c>
      <c r="P81" s="9">
        <v>8</v>
      </c>
      <c r="Q81" t="s">
        <v>43</v>
      </c>
    </row>
    <row r="82" spans="1:17" x14ac:dyDescent="0.2">
      <c r="A82" s="2" t="s">
        <v>15</v>
      </c>
      <c r="B82" s="9">
        <v>1081</v>
      </c>
      <c r="C82" s="9">
        <v>1054</v>
      </c>
      <c r="D82" s="9">
        <f t="shared" si="16"/>
        <v>27</v>
      </c>
      <c r="E82" s="9">
        <f t="shared" si="17"/>
        <v>27</v>
      </c>
      <c r="F82" s="9">
        <v>10</v>
      </c>
      <c r="G82" s="9">
        <v>10</v>
      </c>
      <c r="H82"/>
      <c r="J82" s="2" t="s">
        <v>15</v>
      </c>
      <c r="K82" s="9">
        <v>549</v>
      </c>
      <c r="L82" s="9">
        <v>505</v>
      </c>
      <c r="M82" s="9">
        <f t="shared" si="18"/>
        <v>44</v>
      </c>
      <c r="N82" s="9">
        <f t="shared" si="19"/>
        <v>44</v>
      </c>
      <c r="O82" s="9">
        <v>9</v>
      </c>
      <c r="P82" s="9">
        <v>9</v>
      </c>
      <c r="Q82"/>
    </row>
    <row r="83" spans="1:17" x14ac:dyDescent="0.2">
      <c r="A83" s="2" t="s">
        <v>16</v>
      </c>
      <c r="B83" s="9">
        <v>1225</v>
      </c>
      <c r="C83" s="9">
        <v>1281</v>
      </c>
      <c r="D83" s="9">
        <f t="shared" si="16"/>
        <v>-56</v>
      </c>
      <c r="E83" s="9">
        <f t="shared" si="17"/>
        <v>56</v>
      </c>
      <c r="F83" s="9">
        <v>12</v>
      </c>
      <c r="G83" s="9">
        <v>-12</v>
      </c>
      <c r="H83" t="s">
        <v>41</v>
      </c>
      <c r="J83" s="2" t="s">
        <v>16</v>
      </c>
      <c r="K83" s="9">
        <v>618</v>
      </c>
      <c r="L83" s="9">
        <v>619</v>
      </c>
      <c r="M83" s="9">
        <f t="shared" si="18"/>
        <v>-1</v>
      </c>
      <c r="N83" s="9">
        <f t="shared" si="19"/>
        <v>1</v>
      </c>
      <c r="O83" s="9">
        <v>3</v>
      </c>
      <c r="P83" s="9">
        <v>-3</v>
      </c>
      <c r="Q83" t="s">
        <v>44</v>
      </c>
    </row>
    <row r="84" spans="1:17" x14ac:dyDescent="0.2">
      <c r="A84" s="2" t="s">
        <v>17</v>
      </c>
      <c r="B84" s="9">
        <v>10</v>
      </c>
      <c r="C84" s="9">
        <v>8</v>
      </c>
      <c r="D84" s="9">
        <f t="shared" si="16"/>
        <v>2</v>
      </c>
      <c r="E84" s="9">
        <f t="shared" si="17"/>
        <v>2</v>
      </c>
      <c r="F84" s="9">
        <v>3</v>
      </c>
      <c r="G84" s="9">
        <v>3</v>
      </c>
      <c r="J84" s="2" t="s">
        <v>17</v>
      </c>
      <c r="K84" s="9">
        <v>5</v>
      </c>
      <c r="L84" s="9">
        <v>6</v>
      </c>
      <c r="M84" s="9">
        <f t="shared" si="18"/>
        <v>-1</v>
      </c>
      <c r="N84" s="9">
        <f t="shared" si="19"/>
        <v>1</v>
      </c>
      <c r="O84" s="9">
        <v>3</v>
      </c>
      <c r="P84" s="9">
        <v>-3</v>
      </c>
    </row>
    <row r="85" spans="1:17" x14ac:dyDescent="0.2">
      <c r="A85" s="2" t="s">
        <v>18</v>
      </c>
      <c r="B85" s="9">
        <v>10</v>
      </c>
      <c r="C85" s="9">
        <v>9</v>
      </c>
      <c r="D85" s="9">
        <f t="shared" si="16"/>
        <v>1</v>
      </c>
      <c r="E85" s="9">
        <f t="shared" si="17"/>
        <v>1</v>
      </c>
      <c r="F85" s="9">
        <v>1.5</v>
      </c>
      <c r="G85" s="9">
        <v>1.5</v>
      </c>
      <c r="H85" s="5" t="s">
        <v>111</v>
      </c>
      <c r="J85" s="2" t="s">
        <v>18</v>
      </c>
      <c r="K85" s="9">
        <v>7</v>
      </c>
      <c r="L85" s="9">
        <v>7</v>
      </c>
      <c r="M85" s="9">
        <f t="shared" si="18"/>
        <v>0</v>
      </c>
      <c r="N85" s="9">
        <f t="shared" si="19"/>
        <v>0</v>
      </c>
      <c r="O85" s="20" t="s">
        <v>35</v>
      </c>
      <c r="P85" s="20" t="s">
        <v>35</v>
      </c>
      <c r="Q85" s="5" t="s">
        <v>45</v>
      </c>
    </row>
    <row r="86" spans="1:17" x14ac:dyDescent="0.2">
      <c r="A86" s="2" t="s">
        <v>19</v>
      </c>
      <c r="B86" s="9">
        <v>8</v>
      </c>
      <c r="C86" s="9">
        <v>7</v>
      </c>
      <c r="D86" s="9">
        <f t="shared" si="16"/>
        <v>1</v>
      </c>
      <c r="E86" s="9">
        <f t="shared" si="17"/>
        <v>1</v>
      </c>
      <c r="F86" s="9">
        <v>1.5</v>
      </c>
      <c r="G86" s="9">
        <v>1.5</v>
      </c>
      <c r="H86" s="5" t="s">
        <v>112</v>
      </c>
      <c r="J86" s="2" t="s">
        <v>19</v>
      </c>
      <c r="K86" s="9">
        <v>5</v>
      </c>
      <c r="L86" s="9">
        <v>4</v>
      </c>
      <c r="M86" s="9">
        <f t="shared" si="18"/>
        <v>1</v>
      </c>
      <c r="N86" s="9">
        <f t="shared" si="19"/>
        <v>1</v>
      </c>
      <c r="O86" s="9">
        <v>3</v>
      </c>
      <c r="P86" s="9">
        <v>3</v>
      </c>
      <c r="Q86" s="5" t="s">
        <v>112</v>
      </c>
    </row>
    <row r="87" spans="1:17" x14ac:dyDescent="0.2">
      <c r="A87" s="11"/>
      <c r="B87" s="11"/>
      <c r="C87" s="11"/>
      <c r="D87" s="11"/>
      <c r="E87" s="11"/>
      <c r="F87" s="11"/>
      <c r="G87" s="11">
        <f>SUM(G74:G86)</f>
        <v>-46</v>
      </c>
      <c r="J87" s="11"/>
      <c r="K87" s="11"/>
      <c r="L87" s="11"/>
      <c r="M87" s="11"/>
      <c r="N87" s="11"/>
      <c r="O87" s="11"/>
      <c r="P87" s="11">
        <f>SUM(P74:P86)</f>
        <v>6</v>
      </c>
    </row>
    <row r="88" spans="1:17" x14ac:dyDescent="0.2">
      <c r="A88" s="2" t="s">
        <v>23</v>
      </c>
    </row>
    <row r="90" spans="1:17" x14ac:dyDescent="0.2">
      <c r="A90" s="1" t="s">
        <v>31</v>
      </c>
      <c r="B90" s="3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G90" s="15" t="s">
        <v>6</v>
      </c>
      <c r="J90" s="1" t="s">
        <v>32</v>
      </c>
      <c r="K90" s="3" t="s">
        <v>1</v>
      </c>
      <c r="L90" s="3" t="s">
        <v>2</v>
      </c>
      <c r="M90" s="3" t="s">
        <v>3</v>
      </c>
      <c r="N90" s="3" t="s">
        <v>4</v>
      </c>
      <c r="O90" s="3" t="s">
        <v>5</v>
      </c>
      <c r="P90" s="15" t="s">
        <v>6</v>
      </c>
    </row>
    <row r="91" spans="1:17" ht="20" x14ac:dyDescent="0.25">
      <c r="A91" s="2" t="s">
        <v>7</v>
      </c>
      <c r="B91" s="9">
        <v>138</v>
      </c>
      <c r="C91" s="9">
        <v>146</v>
      </c>
      <c r="D91" s="9">
        <f t="shared" ref="D91:D103" si="20">B91-C91</f>
        <v>-8</v>
      </c>
      <c r="E91" s="9">
        <f t="shared" ref="E91:E103" si="21">ABS(D91)</f>
        <v>8</v>
      </c>
      <c r="F91" s="9">
        <v>6</v>
      </c>
      <c r="G91" s="9">
        <v>-6</v>
      </c>
      <c r="H91" s="8" t="s">
        <v>118</v>
      </c>
      <c r="J91" s="2" t="s">
        <v>7</v>
      </c>
      <c r="K91" s="9">
        <v>62</v>
      </c>
      <c r="L91" s="9">
        <v>60</v>
      </c>
      <c r="M91" s="9">
        <f t="shared" ref="M91:M103" si="22">K91-L91</f>
        <v>2</v>
      </c>
      <c r="N91" s="9">
        <f t="shared" ref="N91:N103" si="23">ABS(M91)</f>
        <v>2</v>
      </c>
      <c r="O91" s="9">
        <v>3</v>
      </c>
      <c r="P91" s="9">
        <v>3</v>
      </c>
      <c r="Q91" s="8" t="s">
        <v>124</v>
      </c>
    </row>
    <row r="92" spans="1:17" ht="20" x14ac:dyDescent="0.25">
      <c r="A92" s="2" t="s">
        <v>8</v>
      </c>
      <c r="B92" s="9">
        <v>43</v>
      </c>
      <c r="C92" s="9">
        <v>45</v>
      </c>
      <c r="D92" s="9">
        <f t="shared" si="20"/>
        <v>-2</v>
      </c>
      <c r="E92" s="9">
        <f t="shared" si="21"/>
        <v>2</v>
      </c>
      <c r="F92" s="9">
        <v>3.5</v>
      </c>
      <c r="G92" s="9">
        <v>-3.5</v>
      </c>
      <c r="H92" s="8" t="s">
        <v>119</v>
      </c>
      <c r="J92" s="2" t="s">
        <v>8</v>
      </c>
      <c r="K92" s="9">
        <v>14</v>
      </c>
      <c r="L92" s="9">
        <v>14</v>
      </c>
      <c r="M92" s="9">
        <f t="shared" si="22"/>
        <v>0</v>
      </c>
      <c r="N92" s="9">
        <f t="shared" si="23"/>
        <v>0</v>
      </c>
      <c r="O92" s="20" t="s">
        <v>35</v>
      </c>
      <c r="P92" s="20" t="s">
        <v>35</v>
      </c>
      <c r="Q92" s="8" t="s">
        <v>125</v>
      </c>
    </row>
    <row r="93" spans="1:17" ht="20" x14ac:dyDescent="0.25">
      <c r="A93" s="2" t="s">
        <v>9</v>
      </c>
      <c r="B93" s="9">
        <v>241</v>
      </c>
      <c r="C93" s="9">
        <v>260</v>
      </c>
      <c r="D93" s="9">
        <f t="shared" si="20"/>
        <v>-19</v>
      </c>
      <c r="E93" s="9">
        <f t="shared" si="21"/>
        <v>19</v>
      </c>
      <c r="F93" s="9">
        <v>9</v>
      </c>
      <c r="G93" s="9">
        <v>-9</v>
      </c>
      <c r="H93" s="8" t="s">
        <v>120</v>
      </c>
      <c r="J93" s="2" t="s">
        <v>9</v>
      </c>
      <c r="K93" s="9">
        <v>120</v>
      </c>
      <c r="L93" s="9">
        <v>128</v>
      </c>
      <c r="M93" s="9">
        <f t="shared" si="22"/>
        <v>-8</v>
      </c>
      <c r="N93" s="9">
        <f t="shared" si="23"/>
        <v>8</v>
      </c>
      <c r="O93" s="9">
        <v>5.5</v>
      </c>
      <c r="P93" s="9">
        <v>-5.5</v>
      </c>
      <c r="Q93" s="8" t="s">
        <v>126</v>
      </c>
    </row>
    <row r="94" spans="1:17" ht="20" x14ac:dyDescent="0.25">
      <c r="A94" s="2" t="s">
        <v>10</v>
      </c>
      <c r="B94" s="9">
        <v>211</v>
      </c>
      <c r="C94" s="9">
        <v>223</v>
      </c>
      <c r="D94" s="9">
        <f t="shared" si="20"/>
        <v>-12</v>
      </c>
      <c r="E94" s="9">
        <f t="shared" si="21"/>
        <v>12</v>
      </c>
      <c r="F94" s="9">
        <v>7.5</v>
      </c>
      <c r="G94" s="9">
        <v>-7.5</v>
      </c>
      <c r="H94" s="8" t="s">
        <v>121</v>
      </c>
      <c r="J94" s="2" t="s">
        <v>10</v>
      </c>
      <c r="K94" s="9">
        <v>87</v>
      </c>
      <c r="L94" s="9">
        <v>79</v>
      </c>
      <c r="M94" s="9">
        <f t="shared" si="22"/>
        <v>8</v>
      </c>
      <c r="N94" s="9">
        <f t="shared" si="23"/>
        <v>8</v>
      </c>
      <c r="O94" s="9">
        <v>5.5</v>
      </c>
      <c r="P94" s="9">
        <v>5.5</v>
      </c>
      <c r="Q94" s="8" t="s">
        <v>127</v>
      </c>
    </row>
    <row r="95" spans="1:17" x14ac:dyDescent="0.2">
      <c r="A95" s="2" t="s">
        <v>11</v>
      </c>
      <c r="B95" s="9">
        <v>2305</v>
      </c>
      <c r="C95" s="9">
        <v>2339</v>
      </c>
      <c r="D95" s="9">
        <f t="shared" si="20"/>
        <v>-34</v>
      </c>
      <c r="E95" s="9">
        <f t="shared" si="21"/>
        <v>34</v>
      </c>
      <c r="F95" s="9">
        <v>11</v>
      </c>
      <c r="G95" s="9">
        <v>-11</v>
      </c>
      <c r="H95"/>
      <c r="J95" s="2" t="s">
        <v>11</v>
      </c>
      <c r="K95" s="9">
        <v>842</v>
      </c>
      <c r="L95" s="9">
        <v>733</v>
      </c>
      <c r="M95" s="9">
        <f t="shared" si="22"/>
        <v>109</v>
      </c>
      <c r="N95" s="9">
        <f t="shared" si="23"/>
        <v>109</v>
      </c>
      <c r="O95" s="9">
        <v>10</v>
      </c>
      <c r="P95" s="9">
        <v>10</v>
      </c>
      <c r="Q95"/>
    </row>
    <row r="96" spans="1:17" ht="20" x14ac:dyDescent="0.25">
      <c r="A96" s="2" t="s">
        <v>12</v>
      </c>
      <c r="B96" s="9">
        <v>3395</v>
      </c>
      <c r="C96" s="9">
        <v>3352</v>
      </c>
      <c r="D96" s="9">
        <f t="shared" si="20"/>
        <v>43</v>
      </c>
      <c r="E96" s="9">
        <f t="shared" si="21"/>
        <v>43</v>
      </c>
      <c r="F96" s="9">
        <v>12</v>
      </c>
      <c r="G96" s="9">
        <v>12</v>
      </c>
      <c r="H96" s="8" t="s">
        <v>122</v>
      </c>
      <c r="J96" s="2" t="s">
        <v>12</v>
      </c>
      <c r="K96" s="9">
        <v>1668</v>
      </c>
      <c r="L96" s="9">
        <v>1710</v>
      </c>
      <c r="M96" s="9">
        <f t="shared" si="22"/>
        <v>-42</v>
      </c>
      <c r="N96" s="9">
        <f t="shared" si="23"/>
        <v>42</v>
      </c>
      <c r="O96" s="9">
        <v>8</v>
      </c>
      <c r="P96" s="9">
        <v>-8</v>
      </c>
      <c r="Q96" s="8" t="s">
        <v>128</v>
      </c>
    </row>
    <row r="97" spans="1:17" x14ac:dyDescent="0.2">
      <c r="A97" s="2" t="s">
        <v>13</v>
      </c>
      <c r="B97" s="9">
        <v>307</v>
      </c>
      <c r="C97" s="9">
        <v>295</v>
      </c>
      <c r="D97" s="9">
        <f t="shared" si="20"/>
        <v>12</v>
      </c>
      <c r="E97" s="9">
        <f t="shared" si="21"/>
        <v>12</v>
      </c>
      <c r="F97" s="9">
        <v>7.5</v>
      </c>
      <c r="G97" s="9">
        <v>7.5</v>
      </c>
      <c r="H97" t="s">
        <v>36</v>
      </c>
      <c r="J97" s="2" t="s">
        <v>13</v>
      </c>
      <c r="K97" s="9">
        <v>171</v>
      </c>
      <c r="L97" s="9">
        <v>179</v>
      </c>
      <c r="M97" s="9">
        <f t="shared" si="22"/>
        <v>-8</v>
      </c>
      <c r="N97" s="9">
        <f t="shared" si="23"/>
        <v>8</v>
      </c>
      <c r="O97" s="9">
        <v>5.5</v>
      </c>
      <c r="P97" s="9">
        <v>-5.5</v>
      </c>
      <c r="Q97" t="s">
        <v>42</v>
      </c>
    </row>
    <row r="98" spans="1:17" x14ac:dyDescent="0.2">
      <c r="A98" s="2" t="s">
        <v>14</v>
      </c>
      <c r="B98" s="9">
        <v>266</v>
      </c>
      <c r="C98" s="9">
        <v>262</v>
      </c>
      <c r="D98" s="9">
        <f t="shared" si="20"/>
        <v>4</v>
      </c>
      <c r="E98" s="9">
        <f t="shared" si="21"/>
        <v>4</v>
      </c>
      <c r="F98" s="9">
        <v>5</v>
      </c>
      <c r="G98" s="9">
        <v>5</v>
      </c>
      <c r="H98" t="s">
        <v>37</v>
      </c>
      <c r="J98" s="2" t="s">
        <v>14</v>
      </c>
      <c r="K98" s="9">
        <v>162</v>
      </c>
      <c r="L98" s="9">
        <v>154</v>
      </c>
      <c r="M98" s="9">
        <f t="shared" si="22"/>
        <v>8</v>
      </c>
      <c r="N98" s="9">
        <f t="shared" si="23"/>
        <v>8</v>
      </c>
      <c r="O98" s="9">
        <v>5.5</v>
      </c>
      <c r="P98" s="9">
        <v>5.5</v>
      </c>
      <c r="Q98" t="s">
        <v>43</v>
      </c>
    </row>
    <row r="99" spans="1:17" x14ac:dyDescent="0.2">
      <c r="A99" s="2" t="s">
        <v>15</v>
      </c>
      <c r="B99" s="9">
        <v>1002</v>
      </c>
      <c r="C99" s="9">
        <v>1029</v>
      </c>
      <c r="D99" s="9">
        <f t="shared" si="20"/>
        <v>-27</v>
      </c>
      <c r="E99" s="9">
        <f t="shared" si="21"/>
        <v>27</v>
      </c>
      <c r="F99" s="9">
        <v>10</v>
      </c>
      <c r="G99" s="9">
        <v>-10</v>
      </c>
      <c r="H99"/>
      <c r="J99" s="2" t="s">
        <v>15</v>
      </c>
      <c r="K99" s="9">
        <v>592</v>
      </c>
      <c r="L99" s="9">
        <v>475</v>
      </c>
      <c r="M99" s="9">
        <f t="shared" si="22"/>
        <v>117</v>
      </c>
      <c r="N99" s="9">
        <f t="shared" si="23"/>
        <v>117</v>
      </c>
      <c r="O99" s="9">
        <v>11</v>
      </c>
      <c r="P99" s="9">
        <v>11</v>
      </c>
      <c r="Q99"/>
    </row>
    <row r="100" spans="1:17" x14ac:dyDescent="0.2">
      <c r="A100" s="2" t="s">
        <v>16</v>
      </c>
      <c r="B100" s="9">
        <v>1153</v>
      </c>
      <c r="C100" s="9">
        <v>1204</v>
      </c>
      <c r="D100" s="9">
        <f t="shared" si="20"/>
        <v>-51</v>
      </c>
      <c r="E100" s="9">
        <f t="shared" si="21"/>
        <v>51</v>
      </c>
      <c r="F100" s="9">
        <v>13</v>
      </c>
      <c r="G100" s="9">
        <v>-13</v>
      </c>
      <c r="H100" t="s">
        <v>38</v>
      </c>
      <c r="J100" s="2" t="s">
        <v>16</v>
      </c>
      <c r="K100" s="9">
        <v>670</v>
      </c>
      <c r="L100" s="9">
        <v>598</v>
      </c>
      <c r="M100" s="9">
        <f t="shared" si="22"/>
        <v>72</v>
      </c>
      <c r="N100" s="9">
        <f t="shared" si="23"/>
        <v>72</v>
      </c>
      <c r="O100" s="9">
        <v>9</v>
      </c>
      <c r="P100" s="9">
        <v>9</v>
      </c>
      <c r="Q100" t="s">
        <v>44</v>
      </c>
    </row>
    <row r="101" spans="1:17" x14ac:dyDescent="0.2">
      <c r="A101" s="2" t="s">
        <v>17</v>
      </c>
      <c r="B101" s="9">
        <v>8</v>
      </c>
      <c r="C101" s="9">
        <v>7</v>
      </c>
      <c r="D101" s="9">
        <f t="shared" si="20"/>
        <v>1</v>
      </c>
      <c r="E101" s="9">
        <f t="shared" si="21"/>
        <v>1</v>
      </c>
      <c r="F101" s="9">
        <v>1.5</v>
      </c>
      <c r="G101" s="9">
        <v>1.5</v>
      </c>
      <c r="J101" s="2" t="s">
        <v>17</v>
      </c>
      <c r="K101" s="9">
        <v>6</v>
      </c>
      <c r="L101" s="9">
        <v>7</v>
      </c>
      <c r="M101" s="9">
        <f t="shared" si="22"/>
        <v>-1</v>
      </c>
      <c r="N101" s="9">
        <f t="shared" si="23"/>
        <v>1</v>
      </c>
      <c r="O101" s="9">
        <v>1.5</v>
      </c>
      <c r="P101" s="9">
        <v>-1.5</v>
      </c>
    </row>
    <row r="102" spans="1:17" x14ac:dyDescent="0.2">
      <c r="A102" s="2" t="s">
        <v>18</v>
      </c>
      <c r="B102" s="9">
        <v>10</v>
      </c>
      <c r="C102" s="9">
        <v>8</v>
      </c>
      <c r="D102" s="9">
        <f t="shared" si="20"/>
        <v>2</v>
      </c>
      <c r="E102" s="9">
        <f t="shared" si="21"/>
        <v>2</v>
      </c>
      <c r="F102" s="9">
        <v>3.5</v>
      </c>
      <c r="G102" s="9">
        <v>3.5</v>
      </c>
      <c r="H102" s="5" t="s">
        <v>123</v>
      </c>
      <c r="J102" s="2" t="s">
        <v>18</v>
      </c>
      <c r="K102" s="9">
        <v>7</v>
      </c>
      <c r="L102" s="9">
        <v>7</v>
      </c>
      <c r="M102" s="9">
        <f t="shared" si="22"/>
        <v>0</v>
      </c>
      <c r="N102" s="9">
        <f t="shared" si="23"/>
        <v>0</v>
      </c>
      <c r="O102" s="20" t="s">
        <v>35</v>
      </c>
      <c r="P102" s="20" t="s">
        <v>35</v>
      </c>
      <c r="Q102" s="5" t="s">
        <v>129</v>
      </c>
    </row>
    <row r="103" spans="1:17" x14ac:dyDescent="0.2">
      <c r="A103" s="2" t="s">
        <v>19</v>
      </c>
      <c r="B103" s="9">
        <v>7</v>
      </c>
      <c r="C103" s="9">
        <v>6</v>
      </c>
      <c r="D103" s="9">
        <f t="shared" si="20"/>
        <v>1</v>
      </c>
      <c r="E103" s="9">
        <f t="shared" si="21"/>
        <v>1</v>
      </c>
      <c r="F103" s="9">
        <v>1.5</v>
      </c>
      <c r="G103" s="9">
        <v>1.5</v>
      </c>
      <c r="H103" s="5" t="s">
        <v>112</v>
      </c>
      <c r="J103" s="2" t="s">
        <v>19</v>
      </c>
      <c r="K103" s="9">
        <v>6</v>
      </c>
      <c r="L103" s="9">
        <v>5</v>
      </c>
      <c r="M103" s="9">
        <f t="shared" si="22"/>
        <v>1</v>
      </c>
      <c r="N103" s="9">
        <f t="shared" si="23"/>
        <v>1</v>
      </c>
      <c r="O103" s="9">
        <v>1.5</v>
      </c>
      <c r="P103" s="9">
        <v>1.5</v>
      </c>
      <c r="Q103" s="5" t="s">
        <v>112</v>
      </c>
    </row>
    <row r="104" spans="1:17" x14ac:dyDescent="0.2">
      <c r="A104" s="11"/>
      <c r="B104" s="11"/>
      <c r="C104" s="11"/>
      <c r="D104" s="11"/>
      <c r="E104" s="11"/>
      <c r="F104" s="11"/>
      <c r="G104" s="11">
        <f>SUM(G91:G103)</f>
        <v>-29</v>
      </c>
      <c r="J104" s="11"/>
      <c r="K104" s="11"/>
      <c r="L104" s="11"/>
      <c r="M104" s="11"/>
      <c r="N104" s="11"/>
      <c r="O104" s="11"/>
      <c r="P104" s="11">
        <f>SUM(P91:P103)</f>
        <v>25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- Percent</vt:lpstr>
      <vt:lpstr>Review - Number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Microsoft Office User</cp:lastModifiedBy>
  <dcterms:created xsi:type="dcterms:W3CDTF">2017-02-26T02:30:54Z</dcterms:created>
  <dcterms:modified xsi:type="dcterms:W3CDTF">2017-04-19T01:18:58Z</dcterms:modified>
</cp:coreProperties>
</file>