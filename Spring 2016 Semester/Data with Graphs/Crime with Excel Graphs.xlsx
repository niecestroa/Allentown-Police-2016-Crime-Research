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200" yWindow="0" windowWidth="25400" windowHeight="148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  <c r="D11" i="1"/>
  <c r="D12" i="1"/>
  <c r="D13" i="1"/>
  <c r="D14" i="1"/>
  <c r="D15" i="1"/>
  <c r="D10" i="1"/>
</calcChain>
</file>

<file path=xl/sharedStrings.xml><?xml version="1.0" encoding="utf-8"?>
<sst xmlns="http://schemas.openxmlformats.org/spreadsheetml/2006/main" count="363" uniqueCount="207">
  <si>
    <t>Year</t>
  </si>
  <si>
    <t>MO</t>
  </si>
  <si>
    <t>FO</t>
  </si>
  <si>
    <t>HCan</t>
  </si>
  <si>
    <t>HAt</t>
  </si>
  <si>
    <t>HQ</t>
  </si>
  <si>
    <t>HO</t>
  </si>
  <si>
    <t>HM</t>
  </si>
  <si>
    <t>HS</t>
  </si>
  <si>
    <t>HAl</t>
  </si>
  <si>
    <t>HBC</t>
  </si>
  <si>
    <t>HT</t>
  </si>
  <si>
    <t>YAI</t>
  </si>
  <si>
    <t>YR</t>
  </si>
  <si>
    <t>YPR</t>
  </si>
  <si>
    <t>YTC</t>
  </si>
  <si>
    <t>YCC</t>
  </si>
  <si>
    <t>YCO</t>
  </si>
  <si>
    <t>YC</t>
  </si>
  <si>
    <t>YR12</t>
  </si>
  <si>
    <t>Yad</t>
  </si>
  <si>
    <t>YR18</t>
  </si>
  <si>
    <t>YYT</t>
  </si>
  <si>
    <t>YR27</t>
  </si>
  <si>
    <t>YYNY</t>
  </si>
  <si>
    <t>YRYN</t>
  </si>
  <si>
    <t>NTAI</t>
  </si>
  <si>
    <t>NTR</t>
  </si>
  <si>
    <t>NTTC</t>
  </si>
  <si>
    <t>NTCC</t>
  </si>
  <si>
    <t>NTCO</t>
  </si>
  <si>
    <t>NTC</t>
  </si>
  <si>
    <t>NTR12</t>
  </si>
  <si>
    <t>NTAd</t>
  </si>
  <si>
    <t>NTR18</t>
  </si>
  <si>
    <t>NTY</t>
  </si>
  <si>
    <t>NTR27</t>
  </si>
  <si>
    <t>NTYN</t>
  </si>
  <si>
    <t>NTRYN</t>
  </si>
  <si>
    <t>NUR</t>
  </si>
  <si>
    <t>NUTC</t>
  </si>
  <si>
    <t>NUCC</t>
  </si>
  <si>
    <t>NUCO</t>
  </si>
  <si>
    <t>NUC</t>
  </si>
  <si>
    <t>NR12</t>
  </si>
  <si>
    <t>NURC</t>
  </si>
  <si>
    <t>NUR18</t>
  </si>
  <si>
    <t>NUY</t>
  </si>
  <si>
    <t>NUR27</t>
  </si>
  <si>
    <t>NUYN</t>
  </si>
  <si>
    <t>NURYN</t>
  </si>
  <si>
    <t>NLAI</t>
  </si>
  <si>
    <t>NLR</t>
  </si>
  <si>
    <t>NLTC</t>
  </si>
  <si>
    <t>NLCC</t>
  </si>
  <si>
    <t>NLCO</t>
  </si>
  <si>
    <t>NC</t>
  </si>
  <si>
    <t>NLAd</t>
  </si>
  <si>
    <t>NLR18</t>
  </si>
  <si>
    <t>NLY</t>
  </si>
  <si>
    <t>NLR27</t>
  </si>
  <si>
    <t>NLYN</t>
  </si>
  <si>
    <t>NRYN</t>
  </si>
  <si>
    <t>PIAI</t>
  </si>
  <si>
    <t>PIR</t>
  </si>
  <si>
    <t>PITC</t>
  </si>
  <si>
    <t>PICC</t>
  </si>
  <si>
    <t>PICO</t>
  </si>
  <si>
    <t>PIC</t>
  </si>
  <si>
    <t>PIR12</t>
  </si>
  <si>
    <t>PIAd</t>
  </si>
  <si>
    <t>PIR18</t>
  </si>
  <si>
    <t>PIY</t>
  </si>
  <si>
    <t>PIR27</t>
  </si>
  <si>
    <t>PIYN</t>
  </si>
  <si>
    <t>PIRYN</t>
  </si>
  <si>
    <t>NOAI</t>
  </si>
  <si>
    <t>NOR</t>
  </si>
  <si>
    <t>NOTC</t>
  </si>
  <si>
    <t>NOCC</t>
  </si>
  <si>
    <t>NOCO</t>
  </si>
  <si>
    <t>NOC</t>
  </si>
  <si>
    <t>NOR12</t>
  </si>
  <si>
    <t>NOAd</t>
  </si>
  <si>
    <t>NOR18</t>
  </si>
  <si>
    <t>NOY</t>
  </si>
  <si>
    <t>NOR27</t>
  </si>
  <si>
    <t>NOYN</t>
  </si>
  <si>
    <t>NORYN</t>
  </si>
  <si>
    <t>BRAI</t>
  </si>
  <si>
    <t>BRR</t>
  </si>
  <si>
    <t>BRTC</t>
  </si>
  <si>
    <t>BRCC</t>
  </si>
  <si>
    <t>BRCO</t>
  </si>
  <si>
    <t>BRC</t>
  </si>
  <si>
    <t>BRR12</t>
  </si>
  <si>
    <t>BRAd</t>
  </si>
  <si>
    <t>BRR18</t>
  </si>
  <si>
    <t>BRY</t>
  </si>
  <si>
    <t>BRR27</t>
  </si>
  <si>
    <t>BRYN</t>
  </si>
  <si>
    <t>BRRYN</t>
  </si>
  <si>
    <t>CAI</t>
  </si>
  <si>
    <t>CR</t>
  </si>
  <si>
    <t>CTC</t>
  </si>
  <si>
    <t>CCC</t>
  </si>
  <si>
    <t>CCO</t>
  </si>
  <si>
    <t>CC</t>
  </si>
  <si>
    <t>CR12</t>
  </si>
  <si>
    <t>CAd</t>
  </si>
  <si>
    <t>CR18</t>
  </si>
  <si>
    <t>CY</t>
  </si>
  <si>
    <t>CR27</t>
  </si>
  <si>
    <t>CYN</t>
  </si>
  <si>
    <t>CRYN</t>
  </si>
  <si>
    <t>OAI</t>
  </si>
  <si>
    <t>OR</t>
  </si>
  <si>
    <t>OTC</t>
  </si>
  <si>
    <t>OCC</t>
  </si>
  <si>
    <t>OCO</t>
  </si>
  <si>
    <t>OC</t>
  </si>
  <si>
    <t>OR12</t>
  </si>
  <si>
    <t>OAd</t>
  </si>
  <si>
    <t>OR18</t>
  </si>
  <si>
    <t>OY</t>
  </si>
  <si>
    <t>OR27</t>
  </si>
  <si>
    <t>OYN</t>
  </si>
  <si>
    <t>ORYN</t>
  </si>
  <si>
    <t>MAI</t>
  </si>
  <si>
    <t>MR</t>
  </si>
  <si>
    <t>MTC</t>
  </si>
  <si>
    <t>MCC</t>
  </si>
  <si>
    <t>MCO</t>
  </si>
  <si>
    <t>MC</t>
  </si>
  <si>
    <t>MR12</t>
  </si>
  <si>
    <t>MA</t>
  </si>
  <si>
    <t>MR18</t>
  </si>
  <si>
    <t>MY</t>
  </si>
  <si>
    <t>MR27</t>
  </si>
  <si>
    <t>MYN</t>
  </si>
  <si>
    <t>MRYN</t>
  </si>
  <si>
    <t>SR</t>
  </si>
  <si>
    <t>STC</t>
  </si>
  <si>
    <t>SCC</t>
  </si>
  <si>
    <t>SCO</t>
  </si>
  <si>
    <t>SC</t>
  </si>
  <si>
    <t>SR12</t>
  </si>
  <si>
    <t>SA</t>
  </si>
  <si>
    <t>SR18</t>
  </si>
  <si>
    <t>SY</t>
  </si>
  <si>
    <t>SR27</t>
  </si>
  <si>
    <t>SYN</t>
  </si>
  <si>
    <t>SRYN</t>
  </si>
  <si>
    <t>BCAI</t>
  </si>
  <si>
    <t>BCR</t>
  </si>
  <si>
    <t>BCTC</t>
  </si>
  <si>
    <t>BCCC</t>
  </si>
  <si>
    <t>BCCO</t>
  </si>
  <si>
    <t>BCC</t>
  </si>
  <si>
    <t>BCR12</t>
  </si>
  <si>
    <t>BCAd</t>
  </si>
  <si>
    <t>BCR18</t>
  </si>
  <si>
    <t>BCY</t>
  </si>
  <si>
    <t>BCR27</t>
  </si>
  <si>
    <t>BCYN</t>
  </si>
  <si>
    <t>BCRYN</t>
  </si>
  <si>
    <t>NPR</t>
  </si>
  <si>
    <t>NUPR</t>
  </si>
  <si>
    <t>NLPR</t>
  </si>
  <si>
    <t>PIPR</t>
  </si>
  <si>
    <t>NOPR</t>
  </si>
  <si>
    <t>BRPR</t>
  </si>
  <si>
    <t>CPR</t>
  </si>
  <si>
    <t>OPR</t>
  </si>
  <si>
    <t>MPR</t>
  </si>
  <si>
    <t>SPR</t>
  </si>
  <si>
    <t>BCPR</t>
  </si>
  <si>
    <t>NUAI</t>
  </si>
  <si>
    <t>NLRYN</t>
  </si>
  <si>
    <t>SAI</t>
  </si>
  <si>
    <t>YAD</t>
  </si>
  <si>
    <t>NTAD</t>
  </si>
  <si>
    <t>NUAD</t>
  </si>
  <si>
    <t>NLAD</t>
  </si>
  <si>
    <t>PIAD</t>
  </si>
  <si>
    <t>NOAD</t>
  </si>
  <si>
    <t>BRAD</t>
  </si>
  <si>
    <t>OAD</t>
  </si>
  <si>
    <t>MAD</t>
  </si>
  <si>
    <t>SAD</t>
  </si>
  <si>
    <t>BCAD</t>
  </si>
  <si>
    <t>NTPR</t>
  </si>
  <si>
    <t>NTYT</t>
  </si>
  <si>
    <t>NUR12</t>
  </si>
  <si>
    <t>NLC</t>
  </si>
  <si>
    <t>NLR12</t>
  </si>
  <si>
    <t>DIFF</t>
  </si>
  <si>
    <t>NUYT</t>
  </si>
  <si>
    <t>NLYT</t>
  </si>
  <si>
    <t>PIYT</t>
  </si>
  <si>
    <t>NOYT</t>
  </si>
  <si>
    <t>BRYT</t>
  </si>
  <si>
    <t>OYT</t>
  </si>
  <si>
    <t>MYT</t>
  </si>
  <si>
    <t>SYT</t>
  </si>
  <si>
    <t>BCYT</t>
  </si>
  <si>
    <t>YYN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</si>
</sst>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45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Officers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MO</c:v>
                </c:pt>
              </c:strCache>
            </c:strRef>
          </c:tx>
          <c:xVal>
            <c:numRef>
              <c:f>Sheet1!$A$10:$A$15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Sheet1!$B$10:$B$15</c:f>
              <c:numCache>
                <c:formatCode>General</c:formatCode>
                <c:ptCount val="6"/>
                <c:pt idx="0">
                  <c:v>55787.0</c:v>
                </c:pt>
                <c:pt idx="1">
                  <c:v>55820.0</c:v>
                </c:pt>
                <c:pt idx="2">
                  <c:v>55673.0</c:v>
                </c:pt>
                <c:pt idx="3">
                  <c:v>55252.0</c:v>
                </c:pt>
                <c:pt idx="4">
                  <c:v>54650.0</c:v>
                </c:pt>
                <c:pt idx="5">
                  <c:v>54445.0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Sheet1!$C$9</c:f>
              <c:strCache>
                <c:ptCount val="1"/>
                <c:pt idx="0">
                  <c:v>FO</c:v>
                </c:pt>
              </c:strCache>
            </c:strRef>
          </c:tx>
          <c:xVal>
            <c:numRef>
              <c:f>Sheet1!$A$10:$A$15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  <c:pt idx="0">
                  <c:v>13281.0</c:v>
                </c:pt>
                <c:pt idx="1">
                  <c:v>13604.0</c:v>
                </c:pt>
                <c:pt idx="2">
                  <c:v>13832.0</c:v>
                </c:pt>
                <c:pt idx="3">
                  <c:v>13998.0</c:v>
                </c:pt>
                <c:pt idx="4">
                  <c:v>14156.0</c:v>
                </c:pt>
                <c:pt idx="5">
                  <c:v>14332.0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Sheet1!$D$9</c:f>
              <c:strCache>
                <c:ptCount val="1"/>
                <c:pt idx="0">
                  <c:v>DIFF</c:v>
                </c:pt>
              </c:strCache>
            </c:strRef>
          </c:tx>
          <c:xVal>
            <c:numRef>
              <c:f>Sheet1!$A$10:$A$15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Sheet1!$D$10:$D$15</c:f>
              <c:numCache>
                <c:formatCode>General</c:formatCode>
                <c:ptCount val="6"/>
                <c:pt idx="0">
                  <c:v>42506.0</c:v>
                </c:pt>
                <c:pt idx="1">
                  <c:v>42216.0</c:v>
                </c:pt>
                <c:pt idx="2">
                  <c:v>41841.0</c:v>
                </c:pt>
                <c:pt idx="3">
                  <c:v>41254.0</c:v>
                </c:pt>
                <c:pt idx="4">
                  <c:v>40494.0</c:v>
                </c:pt>
                <c:pt idx="5">
                  <c:v>40113.0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590184"/>
        <c:axId val="2092568072"/>
      </c:scatterChart>
      <c:valAx>
        <c:axId val="2091590184"/>
        <c:scaling>
          <c:orientation val="minMax"/>
          <c:max val="2015.0"/>
          <c:min val="2010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2568072"/>
        <c:crosses val="autoZero"/>
        <c:crossBetween val="midCat"/>
      </c:valAx>
      <c:valAx>
        <c:axId val="2092568072"/>
        <c:scaling>
          <c:orientation val="minMax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15901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Homicide Survey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HCan</c:v>
                </c:pt>
              </c:strCache>
            </c:strRef>
          </c:tx>
          <c:xVal>
            <c:numRef>
              <c:f>Sheet1!$A$18:$A$23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Sheet1!$B$18:$B$23</c:f>
              <c:numCache>
                <c:formatCode>General</c:formatCode>
                <c:ptCount val="6"/>
                <c:pt idx="0">
                  <c:v>66.0</c:v>
                </c:pt>
                <c:pt idx="1">
                  <c:v>68.0</c:v>
                </c:pt>
                <c:pt idx="2">
                  <c:v>63.0</c:v>
                </c:pt>
                <c:pt idx="3">
                  <c:v>47.0</c:v>
                </c:pt>
                <c:pt idx="4">
                  <c:v>62.0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Sheet1!$C$17</c:f>
              <c:strCache>
                <c:ptCount val="1"/>
                <c:pt idx="0">
                  <c:v>HAt</c:v>
                </c:pt>
              </c:strCache>
            </c:strRef>
          </c:tx>
          <c:xVal>
            <c:numRef>
              <c:f>Sheet1!$A$18:$A$23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Sheet1!$C$18:$C$23</c:f>
              <c:numCache>
                <c:formatCode>General</c:formatCode>
                <c:ptCount val="6"/>
                <c:pt idx="0">
                  <c:v>7.0</c:v>
                </c:pt>
                <c:pt idx="1">
                  <c:v>7.0</c:v>
                </c:pt>
                <c:pt idx="2">
                  <c:v>4.0</c:v>
                </c:pt>
                <c:pt idx="3">
                  <c:v>5.0</c:v>
                </c:pt>
                <c:pt idx="4">
                  <c:v>2.0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Sheet1!$D$17</c:f>
              <c:strCache>
                <c:ptCount val="1"/>
                <c:pt idx="0">
                  <c:v>HQ</c:v>
                </c:pt>
              </c:strCache>
            </c:strRef>
          </c:tx>
          <c:xVal>
            <c:numRef>
              <c:f>Sheet1!$A$18:$A$23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Sheet1!$D$18:$D$23</c:f>
              <c:numCache>
                <c:formatCode>General</c:formatCode>
                <c:ptCount val="6"/>
                <c:pt idx="0">
                  <c:v>14.0</c:v>
                </c:pt>
                <c:pt idx="1">
                  <c:v>11.0</c:v>
                </c:pt>
                <c:pt idx="2">
                  <c:v>11.0</c:v>
                </c:pt>
                <c:pt idx="3">
                  <c:v>11.0</c:v>
                </c:pt>
                <c:pt idx="4">
                  <c:v>10.0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Sheet1!$E$17</c:f>
              <c:strCache>
                <c:ptCount val="1"/>
                <c:pt idx="0">
                  <c:v>HO</c:v>
                </c:pt>
              </c:strCache>
            </c:strRef>
          </c:tx>
          <c:xVal>
            <c:numRef>
              <c:f>Sheet1!$A$18:$A$23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Sheet1!$E$18:$E$23</c:f>
              <c:numCache>
                <c:formatCode>General</c:formatCode>
                <c:ptCount val="6"/>
                <c:pt idx="0">
                  <c:v>22.0</c:v>
                </c:pt>
                <c:pt idx="1">
                  <c:v>23.0</c:v>
                </c:pt>
                <c:pt idx="2">
                  <c:v>19.0</c:v>
                </c:pt>
                <c:pt idx="3">
                  <c:v>13.0</c:v>
                </c:pt>
                <c:pt idx="4">
                  <c:v>12.0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Sheet1!$F$17</c:f>
              <c:strCache>
                <c:ptCount val="1"/>
                <c:pt idx="0">
                  <c:v>HM</c:v>
                </c:pt>
              </c:strCache>
            </c:strRef>
          </c:tx>
          <c:xVal>
            <c:numRef>
              <c:f>Sheet1!$A$18:$A$23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Sheet1!$F$18:$F$23</c:f>
              <c:numCache>
                <c:formatCode>General</c:formatCode>
                <c:ptCount val="6"/>
                <c:pt idx="0">
                  <c:v>3.0</c:v>
                </c:pt>
                <c:pt idx="1">
                  <c:v>1.0</c:v>
                </c:pt>
                <c:pt idx="2">
                  <c:v>9.0</c:v>
                </c:pt>
                <c:pt idx="3">
                  <c:v>1.0</c:v>
                </c:pt>
                <c:pt idx="4">
                  <c:v>9.0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Sheet1!$G$17</c:f>
              <c:strCache>
                <c:ptCount val="1"/>
                <c:pt idx="0">
                  <c:v>HS</c:v>
                </c:pt>
              </c:strCache>
            </c:strRef>
          </c:tx>
          <c:xVal>
            <c:numRef>
              <c:f>Sheet1!$A$18:$A$23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Sheet1!$G$18:$G$23</c:f>
              <c:numCache>
                <c:formatCode>General</c:formatCode>
                <c:ptCount val="6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2.0</c:v>
                </c:pt>
                <c:pt idx="4">
                  <c:v>3.0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Sheet1!$H$17</c:f>
              <c:strCache>
                <c:ptCount val="1"/>
                <c:pt idx="0">
                  <c:v>HAl</c:v>
                </c:pt>
              </c:strCache>
            </c:strRef>
          </c:tx>
          <c:xVal>
            <c:numRef>
              <c:f>Sheet1!$A$18:$A$23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Sheet1!$H$18:$H$23</c:f>
              <c:numCache>
                <c:formatCode>General</c:formatCode>
                <c:ptCount val="6"/>
                <c:pt idx="0">
                  <c:v>10.0</c:v>
                </c:pt>
                <c:pt idx="1">
                  <c:v>12.0</c:v>
                </c:pt>
                <c:pt idx="2">
                  <c:v>7.0</c:v>
                </c:pt>
                <c:pt idx="3">
                  <c:v>7.0</c:v>
                </c:pt>
                <c:pt idx="4">
                  <c:v>11.0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Sheet1!$I$17</c:f>
              <c:strCache>
                <c:ptCount val="1"/>
                <c:pt idx="0">
                  <c:v>HBC</c:v>
                </c:pt>
              </c:strCache>
            </c:strRef>
          </c:tx>
          <c:xVal>
            <c:numRef>
              <c:f>Sheet1!$A$18:$A$23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Sheet1!$I$18:$I$23</c:f>
              <c:numCache>
                <c:formatCode>General</c:formatCode>
                <c:ptCount val="6"/>
                <c:pt idx="0">
                  <c:v>8.0</c:v>
                </c:pt>
                <c:pt idx="1">
                  <c:v>9.0</c:v>
                </c:pt>
                <c:pt idx="2">
                  <c:v>8.0</c:v>
                </c:pt>
                <c:pt idx="3">
                  <c:v>5.0</c:v>
                </c:pt>
                <c:pt idx="4">
                  <c:v>14.0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Sheet1!$J$17</c:f>
              <c:strCache>
                <c:ptCount val="1"/>
                <c:pt idx="0">
                  <c:v>HT</c:v>
                </c:pt>
              </c:strCache>
            </c:strRef>
          </c:tx>
          <c:xVal>
            <c:numRef>
              <c:f>Sheet1!$A$18:$A$23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Sheet1!$J$18:$J$23</c:f>
              <c:numCache>
                <c:formatCode>General</c:formatCode>
                <c:ptCount val="6"/>
                <c:pt idx="0">
                  <c:v>1.0</c:v>
                </c:pt>
                <c:pt idx="1">
                  <c:v>3.0</c:v>
                </c:pt>
                <c:pt idx="2">
                  <c:v>2.0</c:v>
                </c:pt>
                <c:pt idx="3">
                  <c:v>3.0</c:v>
                </c:pt>
                <c:pt idx="4">
                  <c:v>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233864"/>
        <c:axId val="2092250376"/>
      </c:scatterChart>
      <c:valAx>
        <c:axId val="2092233864"/>
        <c:scaling>
          <c:orientation val="minMax"/>
          <c:max val="2014.0"/>
          <c:min val="2010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2250376"/>
        <c:crosses val="autoZero"/>
        <c:crossBetween val="midCat"/>
      </c:valAx>
      <c:valAx>
        <c:axId val="2092250376"/>
        <c:scaling>
          <c:orientation val="minMax"/>
          <c:max val="7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22338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Acutal Incidents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YAI</c:v>
                </c:pt>
              </c:strCache>
            </c:strRef>
          </c:tx>
          <c:xVal>
            <c:numRef>
              <c:f>Sheet1!$A$26:$A$31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Sheet1!$B$26:$B$31</c:f>
              <c:numCache>
                <c:formatCode>General</c:formatCode>
                <c:ptCount val="6"/>
                <c:pt idx="1">
                  <c:v>7981.0</c:v>
                </c:pt>
                <c:pt idx="2">
                  <c:v>8191.0</c:v>
                </c:pt>
                <c:pt idx="3">
                  <c:v>9492.0</c:v>
                </c:pt>
                <c:pt idx="4">
                  <c:v>9731.0</c:v>
                </c:pt>
                <c:pt idx="5">
                  <c:v>9696.0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Sheet1!$C$25</c:f>
              <c:strCache>
                <c:ptCount val="1"/>
                <c:pt idx="0">
                  <c:v>NTAI</c:v>
                </c:pt>
              </c:strCache>
            </c:strRef>
          </c:tx>
          <c:xVal>
            <c:numRef>
              <c:f>Sheet1!$A$26:$A$31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Sheet1!$C$26:$C$31</c:f>
              <c:numCache>
                <c:formatCode>General</c:formatCode>
                <c:ptCount val="6"/>
                <c:pt idx="1">
                  <c:v>22751.0</c:v>
                </c:pt>
                <c:pt idx="2">
                  <c:v>22367.0</c:v>
                </c:pt>
                <c:pt idx="3">
                  <c:v>21252.0</c:v>
                </c:pt>
                <c:pt idx="4">
                  <c:v>20476.0</c:v>
                </c:pt>
                <c:pt idx="5">
                  <c:v>20784.0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Sheet1!$D$25</c:f>
              <c:strCache>
                <c:ptCount val="1"/>
                <c:pt idx="0">
                  <c:v>NUAI</c:v>
                </c:pt>
              </c:strCache>
            </c:strRef>
          </c:tx>
          <c:xVal>
            <c:numRef>
              <c:f>Sheet1!$A$26:$A$31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Sheet1!$D$26:$D$31</c:f>
              <c:numCache>
                <c:formatCode>General</c:formatCode>
                <c:ptCount val="6"/>
                <c:pt idx="1">
                  <c:v>13488.0</c:v>
                </c:pt>
                <c:pt idx="2">
                  <c:v>14079.0</c:v>
                </c:pt>
                <c:pt idx="3">
                  <c:v>12271.0</c:v>
                </c:pt>
                <c:pt idx="4">
                  <c:v>11768.0</c:v>
                </c:pt>
                <c:pt idx="5">
                  <c:v>12555.0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Sheet1!$E$25</c:f>
              <c:strCache>
                <c:ptCount val="1"/>
                <c:pt idx="0">
                  <c:v>NLAI</c:v>
                </c:pt>
              </c:strCache>
            </c:strRef>
          </c:tx>
          <c:xVal>
            <c:numRef>
              <c:f>Sheet1!$A$26:$A$31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Sheet1!$E$26:$E$31</c:f>
              <c:numCache>
                <c:formatCode>General</c:formatCode>
                <c:ptCount val="6"/>
                <c:pt idx="1">
                  <c:v>37465.0</c:v>
                </c:pt>
                <c:pt idx="2">
                  <c:v>36024.0</c:v>
                </c:pt>
                <c:pt idx="3">
                  <c:v>35217.0</c:v>
                </c:pt>
                <c:pt idx="4">
                  <c:v>32842.0</c:v>
                </c:pt>
                <c:pt idx="5">
                  <c:v>33545.0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Sheet1!$F$25</c:f>
              <c:strCache>
                <c:ptCount val="1"/>
                <c:pt idx="0">
                  <c:v>PIAI</c:v>
                </c:pt>
              </c:strCache>
            </c:strRef>
          </c:tx>
          <c:marker>
            <c:symbol val="square"/>
            <c:size val="9"/>
          </c:marker>
          <c:xVal>
            <c:numRef>
              <c:f>Sheet1!$A$26:$A$31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Sheet1!$F$26:$F$31</c:f>
              <c:numCache>
                <c:formatCode>General</c:formatCode>
                <c:ptCount val="6"/>
                <c:pt idx="1">
                  <c:v>10500.0</c:v>
                </c:pt>
                <c:pt idx="2">
                  <c:v>10678.0</c:v>
                </c:pt>
                <c:pt idx="3">
                  <c:v>9498.0</c:v>
                </c:pt>
                <c:pt idx="4">
                  <c:v>7739.0</c:v>
                </c:pt>
                <c:pt idx="5">
                  <c:v>6849.0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Sheet1!$G$25</c:f>
              <c:strCache>
                <c:ptCount val="1"/>
                <c:pt idx="0">
                  <c:v>NOAI</c:v>
                </c:pt>
              </c:strCache>
            </c:strRef>
          </c:tx>
          <c:xVal>
            <c:numRef>
              <c:f>Sheet1!$A$26:$A$31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Sheet1!$G$26:$G$31</c:f>
              <c:numCache>
                <c:formatCode>General</c:formatCode>
                <c:ptCount val="6"/>
                <c:pt idx="1">
                  <c:v>69357.0</c:v>
                </c:pt>
                <c:pt idx="2">
                  <c:v>67485.0</c:v>
                </c:pt>
                <c:pt idx="3">
                  <c:v>60490.0</c:v>
                </c:pt>
                <c:pt idx="4">
                  <c:v>58688.0</c:v>
                </c:pt>
                <c:pt idx="5">
                  <c:v>53193.0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Sheet1!$H$25</c:f>
              <c:strCache>
                <c:ptCount val="1"/>
                <c:pt idx="0">
                  <c:v>BRAI</c:v>
                </c:pt>
              </c:strCache>
            </c:strRef>
          </c:tx>
          <c:marker>
            <c:symbol val="square"/>
            <c:size val="9"/>
          </c:marker>
          <c:xVal>
            <c:numRef>
              <c:f>Sheet1!$A$26:$A$31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Sheet1!$H$26:$H$31</c:f>
              <c:numCache>
                <c:formatCode>General</c:formatCode>
                <c:ptCount val="6"/>
                <c:pt idx="1">
                  <c:v>45809.0</c:v>
                </c:pt>
                <c:pt idx="2">
                  <c:v>47498.0</c:v>
                </c:pt>
                <c:pt idx="3">
                  <c:v>41384.0</c:v>
                </c:pt>
                <c:pt idx="4">
                  <c:v>38280.0</c:v>
                </c:pt>
                <c:pt idx="5">
                  <c:v>41597.0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Sheet1!$I$25</c:f>
              <c:strCache>
                <c:ptCount val="1"/>
                <c:pt idx="0">
                  <c:v>OAI</c:v>
                </c:pt>
              </c:strCache>
            </c:strRef>
          </c:tx>
          <c:marker>
            <c:symbol val="square"/>
            <c:size val="9"/>
          </c:marker>
          <c:xVal>
            <c:numRef>
              <c:f>Sheet1!$A$26:$A$31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Sheet1!$I$26:$I$31</c:f>
              <c:numCache>
                <c:formatCode>General</c:formatCode>
                <c:ptCount val="6"/>
                <c:pt idx="1">
                  <c:v>636172.0</c:v>
                </c:pt>
                <c:pt idx="2">
                  <c:v>618486.0</c:v>
                </c:pt>
                <c:pt idx="3">
                  <c:v>566931.0</c:v>
                </c:pt>
                <c:pt idx="4">
                  <c:v>547570.0</c:v>
                </c:pt>
                <c:pt idx="5">
                  <c:v>550391.0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Sheet1!$J$25</c:f>
              <c:strCache>
                <c:ptCount val="1"/>
                <c:pt idx="0">
                  <c:v>MAI</c:v>
                </c:pt>
              </c:strCache>
            </c:strRef>
          </c:tx>
          <c:marker>
            <c:symbol val="square"/>
            <c:size val="9"/>
          </c:marker>
          <c:xVal>
            <c:numRef>
              <c:f>Sheet1!$A$26:$A$31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Sheet1!$J$26:$J$31</c:f>
              <c:numCache>
                <c:formatCode>General</c:formatCode>
                <c:ptCount val="6"/>
                <c:pt idx="1">
                  <c:v>121719.0</c:v>
                </c:pt>
                <c:pt idx="2">
                  <c:v>121815.0</c:v>
                </c:pt>
                <c:pt idx="3">
                  <c:v>110361.0</c:v>
                </c:pt>
                <c:pt idx="4">
                  <c:v>107589.0</c:v>
                </c:pt>
                <c:pt idx="5">
                  <c:v>113643.0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Sheet1!$K$25</c:f>
              <c:strCache>
                <c:ptCount val="1"/>
                <c:pt idx="0">
                  <c:v>SAI</c:v>
                </c:pt>
              </c:strCache>
            </c:strRef>
          </c:tx>
          <c:xVal>
            <c:numRef>
              <c:f>Sheet1!$A$26:$A$31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Sheet1!$K$26:$K$31</c:f>
              <c:numCache>
                <c:formatCode>General</c:formatCode>
                <c:ptCount val="6"/>
                <c:pt idx="1">
                  <c:v>150574.0</c:v>
                </c:pt>
                <c:pt idx="2">
                  <c:v>147209.0</c:v>
                </c:pt>
                <c:pt idx="3">
                  <c:v>138600.0</c:v>
                </c:pt>
                <c:pt idx="4">
                  <c:v>136028.0</c:v>
                </c:pt>
                <c:pt idx="5">
                  <c:v>144047.0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Sheet1!$L$25</c:f>
              <c:strCache>
                <c:ptCount val="1"/>
                <c:pt idx="0">
                  <c:v>BCAI</c:v>
                </c:pt>
              </c:strCache>
            </c:strRef>
          </c:tx>
          <c:xVal>
            <c:numRef>
              <c:f>Sheet1!$A$26:$A$31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Sheet1!$L$26:$L$31</c:f>
              <c:numCache>
                <c:formatCode>General</c:formatCode>
                <c:ptCount val="6"/>
                <c:pt idx="1">
                  <c:v>418763.0</c:v>
                </c:pt>
                <c:pt idx="2">
                  <c:v>411975.0</c:v>
                </c:pt>
                <c:pt idx="3">
                  <c:v>391767.0</c:v>
                </c:pt>
                <c:pt idx="4">
                  <c:v>399707.0</c:v>
                </c:pt>
                <c:pt idx="5">
                  <c:v>412078.0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003800"/>
        <c:axId val="-2146529240"/>
      </c:scatterChart>
      <c:valAx>
        <c:axId val="2092003800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6529240"/>
        <c:crosses val="autoZero"/>
        <c:crossBetween val="midCat"/>
        <c:majorUnit val="1.0"/>
      </c:valAx>
      <c:valAx>
        <c:axId val="-2146529240"/>
        <c:scaling>
          <c:orientation val="minMax"/>
          <c:max val="650000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20038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Rate</a:t>
            </a:r>
            <a:r>
              <a:rPr lang="en-US" baseline="0"/>
              <a:t> Per 100,000 Persons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YR</c:v>
                </c:pt>
              </c:strCache>
            </c:strRef>
          </c:tx>
          <c:xVal>
            <c:numRef>
              <c:f>Sheet1!$A$34:$A$39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Sheet1!$B$34:$B$39</c:f>
              <c:numCache>
                <c:formatCode>General</c:formatCode>
                <c:ptCount val="6"/>
                <c:pt idx="1">
                  <c:v>22543.92</c:v>
                </c:pt>
                <c:pt idx="2">
                  <c:v>22633.95</c:v>
                </c:pt>
                <c:pt idx="3">
                  <c:v>26056.16</c:v>
                </c:pt>
                <c:pt idx="4">
                  <c:v>26307.11</c:v>
                </c:pt>
                <c:pt idx="5">
                  <c:v>25905.74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Sheet1!$C$33</c:f>
              <c:strCache>
                <c:ptCount val="1"/>
                <c:pt idx="0">
                  <c:v>NTR</c:v>
                </c:pt>
              </c:strCache>
            </c:strRef>
          </c:tx>
          <c:xVal>
            <c:numRef>
              <c:f>Sheet1!$A$34:$A$39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Sheet1!$C$34:$C$39</c:f>
              <c:numCache>
                <c:formatCode>General</c:formatCode>
                <c:ptCount val="6"/>
                <c:pt idx="1">
                  <c:v>52299.95</c:v>
                </c:pt>
                <c:pt idx="2">
                  <c:v>51244.04</c:v>
                </c:pt>
                <c:pt idx="3">
                  <c:v>48427.67</c:v>
                </c:pt>
                <c:pt idx="4">
                  <c:v>46557.53</c:v>
                </c:pt>
                <c:pt idx="5">
                  <c:v>47142.08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Sheet1!$D$33</c:f>
              <c:strCache>
                <c:ptCount val="1"/>
                <c:pt idx="0">
                  <c:v>NUR</c:v>
                </c:pt>
              </c:strCache>
            </c:strRef>
          </c:tx>
          <c:xVal>
            <c:numRef>
              <c:f>Sheet1!$A$34:$A$39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Sheet1!$D$34:$D$39</c:f>
              <c:numCache>
                <c:formatCode>General</c:formatCode>
                <c:ptCount val="6"/>
                <c:pt idx="1">
                  <c:v>39443.21</c:v>
                </c:pt>
                <c:pt idx="2">
                  <c:v>40539.61</c:v>
                </c:pt>
                <c:pt idx="3">
                  <c:v>34629.6</c:v>
                </c:pt>
                <c:pt idx="4">
                  <c:v>32613.7</c:v>
                </c:pt>
                <c:pt idx="5">
                  <c:v>34006.88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Sheet1!$E$33</c:f>
              <c:strCache>
                <c:ptCount val="1"/>
                <c:pt idx="0">
                  <c:v>NLR</c:v>
                </c:pt>
              </c:strCache>
            </c:strRef>
          </c:tx>
          <c:xVal>
            <c:numRef>
              <c:f>Sheet1!$A$34:$A$39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Sheet1!$E$34:$E$39</c:f>
              <c:numCache>
                <c:formatCode>General</c:formatCode>
                <c:ptCount val="6"/>
                <c:pt idx="1">
                  <c:v>7135.69</c:v>
                </c:pt>
                <c:pt idx="2">
                  <c:v>6837.04</c:v>
                </c:pt>
                <c:pt idx="3">
                  <c:v>6669.67</c:v>
                </c:pt>
                <c:pt idx="4">
                  <c:v>6207.51</c:v>
                </c:pt>
                <c:pt idx="5">
                  <c:v>6356.16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Sheet1!$F$33</c:f>
              <c:strCache>
                <c:ptCount val="1"/>
                <c:pt idx="0">
                  <c:v>PIR</c:v>
                </c:pt>
              </c:strCache>
            </c:strRef>
          </c:tx>
          <c:xVal>
            <c:numRef>
              <c:f>Sheet1!$A$34:$A$39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Sheet1!$F$34:$F$39</c:f>
              <c:numCache>
                <c:formatCode>General</c:formatCode>
                <c:ptCount val="6"/>
                <c:pt idx="1">
                  <c:v>7289.74</c:v>
                </c:pt>
                <c:pt idx="2">
                  <c:v>7351.01</c:v>
                </c:pt>
                <c:pt idx="3">
                  <c:v>6530.48</c:v>
                </c:pt>
                <c:pt idx="4">
                  <c:v>5294.81</c:v>
                </c:pt>
                <c:pt idx="5">
                  <c:v>4676.78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Sheet1!$G$33</c:f>
              <c:strCache>
                <c:ptCount val="1"/>
                <c:pt idx="0">
                  <c:v>NOR</c:v>
                </c:pt>
              </c:strCache>
            </c:strRef>
          </c:tx>
          <c:xVal>
            <c:numRef>
              <c:f>Sheet1!$A$34:$A$39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Sheet1!$G$34:$G$39</c:f>
              <c:numCache>
                <c:formatCode>General</c:formatCode>
                <c:ptCount val="6"/>
                <c:pt idx="1">
                  <c:v>7343.49</c:v>
                </c:pt>
                <c:pt idx="2">
                  <c:v>7142.52</c:v>
                </c:pt>
                <c:pt idx="3">
                  <c:v>6414.7</c:v>
                </c:pt>
                <c:pt idx="4">
                  <c:v>6227.59</c:v>
                </c:pt>
                <c:pt idx="5">
                  <c:v>5640.82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Sheet1!$H$33</c:f>
              <c:strCache>
                <c:ptCount val="1"/>
                <c:pt idx="0">
                  <c:v>BRR</c:v>
                </c:pt>
              </c:strCache>
            </c:strRef>
          </c:tx>
          <c:xVal>
            <c:numRef>
              <c:f>Sheet1!$A$34:$A$39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Sheet1!$H$34:$H$39</c:f>
              <c:numCache>
                <c:formatCode>General</c:formatCode>
                <c:ptCount val="6"/>
                <c:pt idx="1">
                  <c:v>6063.16</c:v>
                </c:pt>
                <c:pt idx="2">
                  <c:v>6275.86</c:v>
                </c:pt>
                <c:pt idx="3">
                  <c:v>5476.12</c:v>
                </c:pt>
                <c:pt idx="4">
                  <c:v>5073.03</c:v>
                </c:pt>
                <c:pt idx="5">
                  <c:v>5517.79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Sheet1!$I$33</c:f>
              <c:strCache>
                <c:ptCount val="1"/>
                <c:pt idx="0">
                  <c:v>OR</c:v>
                </c:pt>
              </c:strCache>
            </c:strRef>
          </c:tx>
          <c:xVal>
            <c:numRef>
              <c:f>Sheet1!$A$34:$A$39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Sheet1!$I$34:$I$39</c:f>
              <c:numCache>
                <c:formatCode>General</c:formatCode>
                <c:ptCount val="6"/>
                <c:pt idx="1">
                  <c:v>4796.4</c:v>
                </c:pt>
                <c:pt idx="2">
                  <c:v>4612.28</c:v>
                </c:pt>
                <c:pt idx="3">
                  <c:v>4183.68</c:v>
                </c:pt>
                <c:pt idx="4">
                  <c:v>4003.38</c:v>
                </c:pt>
                <c:pt idx="5">
                  <c:v>3990.64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Sheet1!$J$33</c:f>
              <c:strCache>
                <c:ptCount val="1"/>
                <c:pt idx="0">
                  <c:v>MR</c:v>
                </c:pt>
              </c:strCache>
            </c:strRef>
          </c:tx>
          <c:xVal>
            <c:numRef>
              <c:f>Sheet1!$A$34:$A$39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Sheet1!$J$34:$J$39</c:f>
              <c:numCache>
                <c:formatCode>General</c:formatCode>
                <c:ptCount val="6"/>
                <c:pt idx="1">
                  <c:v>9865.950000000001</c:v>
                </c:pt>
                <c:pt idx="2">
                  <c:v>9742.04</c:v>
                </c:pt>
                <c:pt idx="3">
                  <c:v>8721.83</c:v>
                </c:pt>
                <c:pt idx="4">
                  <c:v>8403.799999999999</c:v>
                </c:pt>
                <c:pt idx="5">
                  <c:v>8786.53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Sheet1!$K$33</c:f>
              <c:strCache>
                <c:ptCount val="1"/>
                <c:pt idx="0">
                  <c:v>SR</c:v>
                </c:pt>
              </c:strCache>
            </c:strRef>
          </c:tx>
          <c:xVal>
            <c:numRef>
              <c:f>Sheet1!$A$34:$A$39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Sheet1!$K$34:$K$39</c:f>
              <c:numCache>
                <c:formatCode>General</c:formatCode>
                <c:ptCount val="6"/>
                <c:pt idx="1">
                  <c:v>14120.52</c:v>
                </c:pt>
                <c:pt idx="2">
                  <c:v>13539.91</c:v>
                </c:pt>
                <c:pt idx="3">
                  <c:v>12530.26</c:v>
                </c:pt>
                <c:pt idx="4">
                  <c:v>12120.65</c:v>
                </c:pt>
                <c:pt idx="5">
                  <c:v>12706.62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Sheet1!$L$33</c:f>
              <c:strCache>
                <c:ptCount val="1"/>
                <c:pt idx="0">
                  <c:v>BCR</c:v>
                </c:pt>
              </c:strCache>
            </c:strRef>
          </c:tx>
          <c:xVal>
            <c:numRef>
              <c:f>Sheet1!$A$34:$A$39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Sheet1!$L$34:$L$39</c:f>
              <c:numCache>
                <c:formatCode>General</c:formatCode>
                <c:ptCount val="6"/>
                <c:pt idx="1">
                  <c:v>9307.629999999999</c:v>
                </c:pt>
                <c:pt idx="2">
                  <c:v>9069.19</c:v>
                </c:pt>
                <c:pt idx="3">
                  <c:v>8549.0</c:v>
                </c:pt>
                <c:pt idx="4">
                  <c:v>8617.32</c:v>
                </c:pt>
                <c:pt idx="5">
                  <c:v>8799.18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532328"/>
        <c:axId val="-2146774408"/>
      </c:scatterChart>
      <c:valAx>
        <c:axId val="2085532328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6774408"/>
        <c:crosses val="autoZero"/>
        <c:crossBetween val="midCat"/>
        <c:majorUnit val="1.0"/>
      </c:valAx>
      <c:valAx>
        <c:axId val="-2146774408"/>
        <c:scaling>
          <c:orientation val="minMax"/>
          <c:max val="55000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it-IT" sz="1000" b="1" i="0" baseline="0">
                    <a:effectLst/>
                  </a:rPr>
                  <a:t>Rate per 100,000</a:t>
                </a:r>
                <a:endParaRPr lang="it-IT" sz="1000">
                  <a:effectLst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55323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Percentage change in rate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Sheet1!$B$41</c:f>
              <c:strCache>
                <c:ptCount val="1"/>
                <c:pt idx="0">
                  <c:v>YPR</c:v>
                </c:pt>
              </c:strCache>
            </c:strRef>
          </c:tx>
          <c:xVal>
            <c:numRef>
              <c:f>Sheet1!$A$42:$A$47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Sheet1!$B$42:$B$47</c:f>
              <c:numCache>
                <c:formatCode>General</c:formatCode>
                <c:ptCount val="6"/>
                <c:pt idx="1">
                  <c:v>-2.28</c:v>
                </c:pt>
                <c:pt idx="2">
                  <c:v>0.4</c:v>
                </c:pt>
                <c:pt idx="3">
                  <c:v>15.12</c:v>
                </c:pt>
                <c:pt idx="4">
                  <c:v>0.96</c:v>
                </c:pt>
                <c:pt idx="5">
                  <c:v>-1.53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Sheet1!$C$41</c:f>
              <c:strCache>
                <c:ptCount val="1"/>
                <c:pt idx="0">
                  <c:v>NTPR</c:v>
                </c:pt>
              </c:strCache>
            </c:strRef>
          </c:tx>
          <c:xVal>
            <c:numRef>
              <c:f>Sheet1!$A$42:$A$47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Sheet1!$C$42:$C$47</c:f>
              <c:numCache>
                <c:formatCode>General</c:formatCode>
                <c:ptCount val="6"/>
                <c:pt idx="1">
                  <c:v>1.39</c:v>
                </c:pt>
                <c:pt idx="2">
                  <c:v>-2.02</c:v>
                </c:pt>
                <c:pt idx="3">
                  <c:v>-5.5</c:v>
                </c:pt>
                <c:pt idx="4">
                  <c:v>-3.86</c:v>
                </c:pt>
                <c:pt idx="5">
                  <c:v>1.26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Sheet1!$D$41</c:f>
              <c:strCache>
                <c:ptCount val="1"/>
                <c:pt idx="0">
                  <c:v>NUPR</c:v>
                </c:pt>
              </c:strCache>
            </c:strRef>
          </c:tx>
          <c:xVal>
            <c:numRef>
              <c:f>Sheet1!$A$42:$A$47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Sheet1!$D$42:$D$47</c:f>
              <c:numCache>
                <c:formatCode>General</c:formatCode>
                <c:ptCount val="6"/>
                <c:pt idx="1">
                  <c:v>-3.86</c:v>
                </c:pt>
                <c:pt idx="2">
                  <c:v>2.78</c:v>
                </c:pt>
                <c:pt idx="3">
                  <c:v>-14.58</c:v>
                </c:pt>
                <c:pt idx="4">
                  <c:v>-5.82</c:v>
                </c:pt>
                <c:pt idx="5">
                  <c:v>4.27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Sheet1!$E$41</c:f>
              <c:strCache>
                <c:ptCount val="1"/>
                <c:pt idx="0">
                  <c:v>NLPR</c:v>
                </c:pt>
              </c:strCache>
            </c:strRef>
          </c:tx>
          <c:xVal>
            <c:numRef>
              <c:f>Sheet1!$A$42:$A$47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Sheet1!$E$42:$E$47</c:f>
              <c:numCache>
                <c:formatCode>General</c:formatCode>
                <c:ptCount val="6"/>
                <c:pt idx="1">
                  <c:v>-5.3</c:v>
                </c:pt>
                <c:pt idx="2">
                  <c:v>-4.19</c:v>
                </c:pt>
                <c:pt idx="3">
                  <c:v>-2.45</c:v>
                </c:pt>
                <c:pt idx="4">
                  <c:v>-6.93</c:v>
                </c:pt>
                <c:pt idx="5">
                  <c:v>2.39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Sheet1!$F$41</c:f>
              <c:strCache>
                <c:ptCount val="1"/>
                <c:pt idx="0">
                  <c:v>PIPR</c:v>
                </c:pt>
              </c:strCache>
            </c:strRef>
          </c:tx>
          <c:xVal>
            <c:numRef>
              <c:f>Sheet1!$A$42:$A$47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Sheet1!$F$42:$F$47</c:f>
              <c:numCache>
                <c:formatCode>General</c:formatCode>
                <c:ptCount val="6"/>
                <c:pt idx="1">
                  <c:v>2.09</c:v>
                </c:pt>
                <c:pt idx="2">
                  <c:v>0.84</c:v>
                </c:pt>
                <c:pt idx="3">
                  <c:v>-11.16</c:v>
                </c:pt>
                <c:pt idx="4">
                  <c:v>-18.92</c:v>
                </c:pt>
                <c:pt idx="5">
                  <c:v>-11.67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Sheet1!$G$41</c:f>
              <c:strCache>
                <c:ptCount val="1"/>
                <c:pt idx="0">
                  <c:v>NOPR</c:v>
                </c:pt>
              </c:strCache>
            </c:strRef>
          </c:tx>
          <c:xVal>
            <c:numRef>
              <c:f>Sheet1!$A$42:$A$47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Sheet1!$G$42:$G$47</c:f>
              <c:numCache>
                <c:formatCode>General</c:formatCode>
                <c:ptCount val="6"/>
                <c:pt idx="1">
                  <c:v>-6.29</c:v>
                </c:pt>
                <c:pt idx="2">
                  <c:v>-2.74</c:v>
                </c:pt>
                <c:pt idx="3">
                  <c:v>-10.19</c:v>
                </c:pt>
                <c:pt idx="4">
                  <c:v>-2.92</c:v>
                </c:pt>
                <c:pt idx="5">
                  <c:v>-9.42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Sheet1!$H$41</c:f>
              <c:strCache>
                <c:ptCount val="1"/>
                <c:pt idx="0">
                  <c:v>BRPR</c:v>
                </c:pt>
              </c:strCache>
            </c:strRef>
          </c:tx>
          <c:xVal>
            <c:numRef>
              <c:f>Sheet1!$A$42:$A$47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Sheet1!$H$42:$H$47</c:f>
              <c:numCache>
                <c:formatCode>General</c:formatCode>
                <c:ptCount val="6"/>
                <c:pt idx="1">
                  <c:v>-4.35</c:v>
                </c:pt>
                <c:pt idx="2">
                  <c:v>3.51</c:v>
                </c:pt>
                <c:pt idx="3">
                  <c:v>-12.74</c:v>
                </c:pt>
                <c:pt idx="4">
                  <c:v>-7.36</c:v>
                </c:pt>
                <c:pt idx="5">
                  <c:v>8.77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Sheet1!$I$41</c:f>
              <c:strCache>
                <c:ptCount val="1"/>
                <c:pt idx="0">
                  <c:v>OPR</c:v>
                </c:pt>
              </c:strCache>
            </c:strRef>
          </c:tx>
          <c:xVal>
            <c:numRef>
              <c:f>Sheet1!$A$42:$A$47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Sheet1!$I$42:$I$47</c:f>
              <c:numCache>
                <c:formatCode>General</c:formatCode>
                <c:ptCount val="6"/>
                <c:pt idx="1">
                  <c:v>-5.46</c:v>
                </c:pt>
                <c:pt idx="2">
                  <c:v>-3.84</c:v>
                </c:pt>
                <c:pt idx="3">
                  <c:v>-9.29</c:v>
                </c:pt>
                <c:pt idx="4">
                  <c:v>-4.31</c:v>
                </c:pt>
                <c:pt idx="5">
                  <c:v>-0.32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Sheet1!$J$41</c:f>
              <c:strCache>
                <c:ptCount val="1"/>
                <c:pt idx="0">
                  <c:v>MPR</c:v>
                </c:pt>
              </c:strCache>
            </c:strRef>
          </c:tx>
          <c:xVal>
            <c:numRef>
              <c:f>Sheet1!$A$42:$A$47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Sheet1!$J$42:$J$47</c:f>
              <c:numCache>
                <c:formatCode>General</c:formatCode>
                <c:ptCount val="6"/>
                <c:pt idx="1">
                  <c:v>-7.36</c:v>
                </c:pt>
                <c:pt idx="2">
                  <c:v>-1.26</c:v>
                </c:pt>
                <c:pt idx="3">
                  <c:v>-10.47</c:v>
                </c:pt>
                <c:pt idx="4">
                  <c:v>-3.65</c:v>
                </c:pt>
                <c:pt idx="5">
                  <c:v>4.55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Sheet1!$K$41</c:f>
              <c:strCache>
                <c:ptCount val="1"/>
                <c:pt idx="0">
                  <c:v>SPR</c:v>
                </c:pt>
              </c:strCache>
            </c:strRef>
          </c:tx>
          <c:xVal>
            <c:numRef>
              <c:f>Sheet1!$A$42:$A$47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Sheet1!$K$42:$K$47</c:f>
              <c:numCache>
                <c:formatCode>General</c:formatCode>
                <c:ptCount val="6"/>
                <c:pt idx="1">
                  <c:v>-1.32</c:v>
                </c:pt>
                <c:pt idx="2">
                  <c:v>-4.11</c:v>
                </c:pt>
                <c:pt idx="3">
                  <c:v>-7.46</c:v>
                </c:pt>
                <c:pt idx="4">
                  <c:v>-3.27</c:v>
                </c:pt>
                <c:pt idx="5">
                  <c:v>4.83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Sheet1!$L$41</c:f>
              <c:strCache>
                <c:ptCount val="1"/>
                <c:pt idx="0">
                  <c:v>BCPR</c:v>
                </c:pt>
              </c:strCache>
            </c:strRef>
          </c:tx>
          <c:xVal>
            <c:numRef>
              <c:f>Sheet1!$A$42:$A$47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Sheet1!$L$42:$L$47</c:f>
              <c:numCache>
                <c:formatCode>General</c:formatCode>
                <c:ptCount val="6"/>
                <c:pt idx="1">
                  <c:v>-5.16</c:v>
                </c:pt>
                <c:pt idx="2">
                  <c:v>-2.56</c:v>
                </c:pt>
                <c:pt idx="3">
                  <c:v>-5.74</c:v>
                </c:pt>
                <c:pt idx="4">
                  <c:v>0.8</c:v>
                </c:pt>
                <c:pt idx="5">
                  <c:v>2.11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090072"/>
        <c:axId val="2090292664"/>
      </c:scatterChart>
      <c:valAx>
        <c:axId val="2080090072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90292664"/>
        <c:crosses val="autoZero"/>
        <c:crossBetween val="midCat"/>
      </c:valAx>
      <c:valAx>
        <c:axId val="2090292664"/>
        <c:scaling>
          <c:orientation val="minMax"/>
          <c:max val="16.0"/>
          <c:min val="-2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00900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Total cleared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Sheet1!$B$49</c:f>
              <c:strCache>
                <c:ptCount val="1"/>
                <c:pt idx="0">
                  <c:v>YTC</c:v>
                </c:pt>
              </c:strCache>
            </c:strRef>
          </c:tx>
          <c:xVal>
            <c:numRef>
              <c:f>Sheet1!$A$50:$A$55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Sheet1!$B$50:$B$55</c:f>
              <c:numCache>
                <c:formatCode>General</c:formatCode>
                <c:ptCount val="6"/>
                <c:pt idx="1">
                  <c:v>5258.0</c:v>
                </c:pt>
                <c:pt idx="2">
                  <c:v>5039.0</c:v>
                </c:pt>
                <c:pt idx="3">
                  <c:v>6034.0</c:v>
                </c:pt>
                <c:pt idx="4">
                  <c:v>6048.0</c:v>
                </c:pt>
                <c:pt idx="5">
                  <c:v>6026.0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Sheet1!$C$49</c:f>
              <c:strCache>
                <c:ptCount val="1"/>
                <c:pt idx="0">
                  <c:v>NTTC</c:v>
                </c:pt>
              </c:strCache>
            </c:strRef>
          </c:tx>
          <c:xVal>
            <c:numRef>
              <c:f>Sheet1!$A$50:$A$55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Sheet1!$C$50:$C$55</c:f>
              <c:numCache>
                <c:formatCode>General</c:formatCode>
                <c:ptCount val="6"/>
                <c:pt idx="1">
                  <c:v>16710.0</c:v>
                </c:pt>
                <c:pt idx="2">
                  <c:v>15742.0</c:v>
                </c:pt>
                <c:pt idx="3">
                  <c:v>14964.0</c:v>
                </c:pt>
                <c:pt idx="4">
                  <c:v>14206.0</c:v>
                </c:pt>
                <c:pt idx="5">
                  <c:v>14052.0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Sheet1!$D$49</c:f>
              <c:strCache>
                <c:ptCount val="1"/>
                <c:pt idx="0">
                  <c:v>NUTC</c:v>
                </c:pt>
              </c:strCache>
            </c:strRef>
          </c:tx>
          <c:xVal>
            <c:numRef>
              <c:f>Sheet1!$A$50:$A$55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Sheet1!$D$50:$D$55</c:f>
              <c:numCache>
                <c:formatCode>General</c:formatCode>
                <c:ptCount val="6"/>
                <c:pt idx="1">
                  <c:v>11170.0</c:v>
                </c:pt>
                <c:pt idx="2">
                  <c:v>11220.0</c:v>
                </c:pt>
                <c:pt idx="3">
                  <c:v>9837.0</c:v>
                </c:pt>
                <c:pt idx="4">
                  <c:v>9290.0</c:v>
                </c:pt>
                <c:pt idx="5">
                  <c:v>9834.0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Sheet1!$E$49</c:f>
              <c:strCache>
                <c:ptCount val="1"/>
                <c:pt idx="0">
                  <c:v>NLTC</c:v>
                </c:pt>
              </c:strCache>
            </c:strRef>
          </c:tx>
          <c:xVal>
            <c:numRef>
              <c:f>Sheet1!$A$50:$A$55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Sheet1!$E$50:$E$55</c:f>
              <c:numCache>
                <c:formatCode>General</c:formatCode>
                <c:ptCount val="6"/>
                <c:pt idx="1">
                  <c:v>14634.0</c:v>
                </c:pt>
                <c:pt idx="2">
                  <c:v>14265.0</c:v>
                </c:pt>
                <c:pt idx="3">
                  <c:v>14062.0</c:v>
                </c:pt>
                <c:pt idx="4">
                  <c:v>13438.0</c:v>
                </c:pt>
                <c:pt idx="5">
                  <c:v>12383.0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Sheet1!$F$49</c:f>
              <c:strCache>
                <c:ptCount val="1"/>
                <c:pt idx="0">
                  <c:v>PITC</c:v>
                </c:pt>
              </c:strCache>
            </c:strRef>
          </c:tx>
          <c:xVal>
            <c:numRef>
              <c:f>Sheet1!$A$50:$A$55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Sheet1!$F$50:$F$55</c:f>
              <c:numCache>
                <c:formatCode>General</c:formatCode>
                <c:ptCount val="6"/>
                <c:pt idx="1">
                  <c:v>3516.0</c:v>
                </c:pt>
                <c:pt idx="2">
                  <c:v>3812.0</c:v>
                </c:pt>
                <c:pt idx="3">
                  <c:v>3197.0</c:v>
                </c:pt>
                <c:pt idx="4">
                  <c:v>2735.0</c:v>
                </c:pt>
                <c:pt idx="5">
                  <c:v>2365.0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Sheet1!$G$49</c:f>
              <c:strCache>
                <c:ptCount val="1"/>
                <c:pt idx="0">
                  <c:v>NOTC</c:v>
                </c:pt>
              </c:strCache>
            </c:strRef>
          </c:tx>
          <c:xVal>
            <c:numRef>
              <c:f>Sheet1!$A$50:$A$55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Sheet1!$G$50:$G$55</c:f>
              <c:numCache>
                <c:formatCode>General</c:formatCode>
                <c:ptCount val="6"/>
                <c:pt idx="1">
                  <c:v>32641.0</c:v>
                </c:pt>
                <c:pt idx="2">
                  <c:v>32082.0</c:v>
                </c:pt>
                <c:pt idx="3">
                  <c:v>28312.0</c:v>
                </c:pt>
                <c:pt idx="4">
                  <c:v>26721.0</c:v>
                </c:pt>
                <c:pt idx="5">
                  <c:v>24784.0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Sheet1!$H$49</c:f>
              <c:strCache>
                <c:ptCount val="1"/>
                <c:pt idx="0">
                  <c:v>BRTC</c:v>
                </c:pt>
              </c:strCache>
            </c:strRef>
          </c:tx>
          <c:xVal>
            <c:numRef>
              <c:f>Sheet1!$A$50:$A$55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Sheet1!$H$50:$H$55</c:f>
              <c:numCache>
                <c:formatCode>General</c:formatCode>
                <c:ptCount val="6"/>
                <c:pt idx="1">
                  <c:v>20842.0</c:v>
                </c:pt>
                <c:pt idx="2">
                  <c:v>20535.0</c:v>
                </c:pt>
                <c:pt idx="3">
                  <c:v>17575.0</c:v>
                </c:pt>
                <c:pt idx="4">
                  <c:v>16455.0</c:v>
                </c:pt>
                <c:pt idx="5">
                  <c:v>15845.0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Sheet1!$I$49</c:f>
              <c:strCache>
                <c:ptCount val="1"/>
                <c:pt idx="0">
                  <c:v>OTC</c:v>
                </c:pt>
              </c:strCache>
            </c:strRef>
          </c:tx>
          <c:xVal>
            <c:numRef>
              <c:f>Sheet1!$A$50:$A$55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Sheet1!$I$50:$I$55</c:f>
              <c:numCache>
                <c:formatCode>General</c:formatCode>
                <c:ptCount val="6"/>
                <c:pt idx="1">
                  <c:v>300694.0</c:v>
                </c:pt>
                <c:pt idx="2">
                  <c:v>294725.0</c:v>
                </c:pt>
                <c:pt idx="3">
                  <c:v>275834.0</c:v>
                </c:pt>
                <c:pt idx="4">
                  <c:v>264292.0</c:v>
                </c:pt>
                <c:pt idx="5">
                  <c:v>264707.0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Sheet1!$J$49</c:f>
              <c:strCache>
                <c:ptCount val="1"/>
                <c:pt idx="0">
                  <c:v>MTC</c:v>
                </c:pt>
              </c:strCache>
            </c:strRef>
          </c:tx>
          <c:xVal>
            <c:numRef>
              <c:f>Sheet1!$A$50:$A$55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Sheet1!$J$50:$J$55</c:f>
              <c:numCache>
                <c:formatCode>General</c:formatCode>
                <c:ptCount val="6"/>
                <c:pt idx="1">
                  <c:v>60557.0</c:v>
                </c:pt>
                <c:pt idx="2">
                  <c:v>61318.0</c:v>
                </c:pt>
                <c:pt idx="3">
                  <c:v>58454.0</c:v>
                </c:pt>
                <c:pt idx="4">
                  <c:v>56314.0</c:v>
                </c:pt>
                <c:pt idx="5">
                  <c:v>56670.0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Sheet1!$K$49</c:f>
              <c:strCache>
                <c:ptCount val="1"/>
                <c:pt idx="0">
                  <c:v>STC</c:v>
                </c:pt>
              </c:strCache>
            </c:strRef>
          </c:tx>
          <c:xVal>
            <c:numRef>
              <c:f>Sheet1!$A$50:$A$55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Sheet1!$K$50:$K$55</c:f>
              <c:numCache>
                <c:formatCode>General</c:formatCode>
                <c:ptCount val="6"/>
                <c:pt idx="1">
                  <c:v>89302.0</c:v>
                </c:pt>
                <c:pt idx="2">
                  <c:v>88662.0</c:v>
                </c:pt>
                <c:pt idx="3">
                  <c:v>80965.0</c:v>
                </c:pt>
                <c:pt idx="4">
                  <c:v>77453.0</c:v>
                </c:pt>
                <c:pt idx="5">
                  <c:v>77236.0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Sheet1!$L$49</c:f>
              <c:strCache>
                <c:ptCount val="1"/>
                <c:pt idx="0">
                  <c:v>BCTC</c:v>
                </c:pt>
              </c:strCache>
            </c:strRef>
          </c:tx>
          <c:xVal>
            <c:numRef>
              <c:f>Sheet1!$A$50:$A$55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Sheet1!$L$50:$L$55</c:f>
              <c:numCache>
                <c:formatCode>General</c:formatCode>
                <c:ptCount val="6"/>
                <c:pt idx="1">
                  <c:v>154026.0</c:v>
                </c:pt>
                <c:pt idx="2">
                  <c:v>146205.0</c:v>
                </c:pt>
                <c:pt idx="3">
                  <c:v>141955.0</c:v>
                </c:pt>
                <c:pt idx="4">
                  <c:v>132880.0</c:v>
                </c:pt>
                <c:pt idx="5">
                  <c:v>130226.0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436040"/>
        <c:axId val="2087648040"/>
      </c:scatterChart>
      <c:valAx>
        <c:axId val="2087436040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7648040"/>
        <c:crosses val="autoZero"/>
        <c:crossBetween val="midCat"/>
      </c:valAx>
      <c:valAx>
        <c:axId val="2087648040"/>
        <c:scaling>
          <c:orientation val="minMax"/>
          <c:max val="320000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74360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Cleared by charge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Sheet1!$B$57</c:f>
              <c:strCache>
                <c:ptCount val="1"/>
                <c:pt idx="0">
                  <c:v>YCC</c:v>
                </c:pt>
              </c:strCache>
            </c:strRef>
          </c:tx>
          <c:xVal>
            <c:numRef>
              <c:f>Sheet1!$A$58:$A$63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Sheet1!$B$58:$B$63</c:f>
              <c:numCache>
                <c:formatCode>General</c:formatCode>
                <c:ptCount val="6"/>
                <c:pt idx="1">
                  <c:v>1664.0</c:v>
                </c:pt>
                <c:pt idx="2">
                  <c:v>1615.0</c:v>
                </c:pt>
                <c:pt idx="3">
                  <c:v>1710.0</c:v>
                </c:pt>
                <c:pt idx="4">
                  <c:v>1582.0</c:v>
                </c:pt>
                <c:pt idx="5">
                  <c:v>1577.0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Sheet1!$C$57</c:f>
              <c:strCache>
                <c:ptCount val="1"/>
                <c:pt idx="0">
                  <c:v>NTCC</c:v>
                </c:pt>
              </c:strCache>
            </c:strRef>
          </c:tx>
          <c:xVal>
            <c:numRef>
              <c:f>Sheet1!$A$58:$A$63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Sheet1!$C$58:$C$63</c:f>
              <c:numCache>
                <c:formatCode>General</c:formatCode>
                <c:ptCount val="6"/>
                <c:pt idx="1">
                  <c:v>3571.0</c:v>
                </c:pt>
                <c:pt idx="2">
                  <c:v>2867.0</c:v>
                </c:pt>
                <c:pt idx="3">
                  <c:v>2735.0</c:v>
                </c:pt>
                <c:pt idx="4">
                  <c:v>2595.0</c:v>
                </c:pt>
                <c:pt idx="5">
                  <c:v>2717.0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Sheet1!$D$57</c:f>
              <c:strCache>
                <c:ptCount val="1"/>
                <c:pt idx="0">
                  <c:v>NUCC</c:v>
                </c:pt>
              </c:strCache>
            </c:strRef>
          </c:tx>
          <c:xVal>
            <c:numRef>
              <c:f>Sheet1!$A$58:$A$63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Sheet1!$D$58:$D$63</c:f>
              <c:numCache>
                <c:formatCode>General</c:formatCode>
                <c:ptCount val="6"/>
                <c:pt idx="1">
                  <c:v>2886.0</c:v>
                </c:pt>
                <c:pt idx="2">
                  <c:v>3059.0</c:v>
                </c:pt>
                <c:pt idx="3">
                  <c:v>2806.0</c:v>
                </c:pt>
                <c:pt idx="4">
                  <c:v>2384.0</c:v>
                </c:pt>
                <c:pt idx="5">
                  <c:v>2234.0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Sheet1!$E$57</c:f>
              <c:strCache>
                <c:ptCount val="1"/>
                <c:pt idx="0">
                  <c:v>NLCC</c:v>
                </c:pt>
              </c:strCache>
            </c:strRef>
          </c:tx>
          <c:xVal>
            <c:numRef>
              <c:f>Sheet1!$A$58:$A$63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Sheet1!$E$58:$E$63</c:f>
              <c:numCache>
                <c:formatCode>General</c:formatCode>
                <c:ptCount val="6"/>
                <c:pt idx="1">
                  <c:v>8546.0</c:v>
                </c:pt>
                <c:pt idx="2">
                  <c:v>8722.0</c:v>
                </c:pt>
                <c:pt idx="3">
                  <c:v>8771.0</c:v>
                </c:pt>
                <c:pt idx="4">
                  <c:v>8391.0</c:v>
                </c:pt>
                <c:pt idx="5">
                  <c:v>8051.0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Sheet1!$F$57</c:f>
              <c:strCache>
                <c:ptCount val="1"/>
                <c:pt idx="0">
                  <c:v>PICC</c:v>
                </c:pt>
              </c:strCache>
            </c:strRef>
          </c:tx>
          <c:xVal>
            <c:numRef>
              <c:f>Sheet1!$A$58:$A$63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Sheet1!$F$58:$F$63</c:f>
              <c:numCache>
                <c:formatCode>General</c:formatCode>
                <c:ptCount val="6"/>
                <c:pt idx="1">
                  <c:v>2077.0</c:v>
                </c:pt>
                <c:pt idx="2">
                  <c:v>2329.0</c:v>
                </c:pt>
                <c:pt idx="3">
                  <c:v>2187.0</c:v>
                </c:pt>
                <c:pt idx="4">
                  <c:v>1892.0</c:v>
                </c:pt>
                <c:pt idx="5">
                  <c:v>1682.0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Sheet1!$G$57</c:f>
              <c:strCache>
                <c:ptCount val="1"/>
                <c:pt idx="0">
                  <c:v>NOCC</c:v>
                </c:pt>
              </c:strCache>
            </c:strRef>
          </c:tx>
          <c:xVal>
            <c:numRef>
              <c:f>Sheet1!$A$58:$A$63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Sheet1!$G$58:$G$63</c:f>
              <c:numCache>
                <c:formatCode>General</c:formatCode>
                <c:ptCount val="6"/>
                <c:pt idx="1">
                  <c:v>19390.0</c:v>
                </c:pt>
                <c:pt idx="2">
                  <c:v>18342.0</c:v>
                </c:pt>
                <c:pt idx="3">
                  <c:v>16558.0</c:v>
                </c:pt>
                <c:pt idx="4">
                  <c:v>16380.0</c:v>
                </c:pt>
                <c:pt idx="5">
                  <c:v>15049.0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Sheet1!$H$57</c:f>
              <c:strCache>
                <c:ptCount val="1"/>
                <c:pt idx="0">
                  <c:v>BRCC</c:v>
                </c:pt>
              </c:strCache>
            </c:strRef>
          </c:tx>
          <c:xVal>
            <c:numRef>
              <c:f>Sheet1!$A$58:$A$63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Sheet1!$H$58:$H$63</c:f>
              <c:numCache>
                <c:formatCode>General</c:formatCode>
                <c:ptCount val="6"/>
                <c:pt idx="1">
                  <c:v>13356.0</c:v>
                </c:pt>
                <c:pt idx="2">
                  <c:v>13302.0</c:v>
                </c:pt>
                <c:pt idx="3">
                  <c:v>12205.0</c:v>
                </c:pt>
                <c:pt idx="4">
                  <c:v>11422.0</c:v>
                </c:pt>
                <c:pt idx="5">
                  <c:v>11384.0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Sheet1!$I$57</c:f>
              <c:strCache>
                <c:ptCount val="1"/>
                <c:pt idx="0">
                  <c:v>OCC</c:v>
                </c:pt>
              </c:strCache>
            </c:strRef>
          </c:tx>
          <c:xVal>
            <c:numRef>
              <c:f>Sheet1!$A$58:$A$63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Sheet1!$I$58:$I$63</c:f>
              <c:numCache>
                <c:formatCode>General</c:formatCode>
                <c:ptCount val="6"/>
                <c:pt idx="1">
                  <c:v>213152.0</c:v>
                </c:pt>
                <c:pt idx="2">
                  <c:v>208916.0</c:v>
                </c:pt>
                <c:pt idx="3">
                  <c:v>195657.0</c:v>
                </c:pt>
                <c:pt idx="4">
                  <c:v>189283.0</c:v>
                </c:pt>
                <c:pt idx="5">
                  <c:v>189947.0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Sheet1!$J$57</c:f>
              <c:strCache>
                <c:ptCount val="1"/>
                <c:pt idx="0">
                  <c:v>MCC</c:v>
                </c:pt>
              </c:strCache>
            </c:strRef>
          </c:tx>
          <c:xVal>
            <c:numRef>
              <c:f>Sheet1!$A$58:$A$63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Sheet1!$J$58:$J$63</c:f>
              <c:numCache>
                <c:formatCode>General</c:formatCode>
                <c:ptCount val="6"/>
                <c:pt idx="1">
                  <c:v>33745.0</c:v>
                </c:pt>
                <c:pt idx="2">
                  <c:v>35603.0</c:v>
                </c:pt>
                <c:pt idx="3">
                  <c:v>33474.0</c:v>
                </c:pt>
                <c:pt idx="4">
                  <c:v>32040.0</c:v>
                </c:pt>
                <c:pt idx="5">
                  <c:v>32708.0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Sheet1!$K$57</c:f>
              <c:strCache>
                <c:ptCount val="1"/>
                <c:pt idx="0">
                  <c:v>SCC</c:v>
                </c:pt>
              </c:strCache>
            </c:strRef>
          </c:tx>
          <c:xVal>
            <c:numRef>
              <c:f>Sheet1!$A$58:$A$63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Sheet1!$K$58:$K$63</c:f>
              <c:numCache>
                <c:formatCode>General</c:formatCode>
                <c:ptCount val="6"/>
                <c:pt idx="1">
                  <c:v>53546.0</c:v>
                </c:pt>
                <c:pt idx="2">
                  <c:v>54536.0</c:v>
                </c:pt>
                <c:pt idx="3">
                  <c:v>52952.0</c:v>
                </c:pt>
                <c:pt idx="4">
                  <c:v>52661.0</c:v>
                </c:pt>
                <c:pt idx="5">
                  <c:v>52743.0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Sheet1!$L$57</c:f>
              <c:strCache>
                <c:ptCount val="1"/>
                <c:pt idx="0">
                  <c:v>BCCC</c:v>
                </c:pt>
              </c:strCache>
            </c:strRef>
          </c:tx>
          <c:xVal>
            <c:numRef>
              <c:f>Sheet1!$A$58:$A$63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Sheet1!$L$58:$L$63</c:f>
              <c:numCache>
                <c:formatCode>General</c:formatCode>
                <c:ptCount val="6"/>
                <c:pt idx="1">
                  <c:v>74807.0</c:v>
                </c:pt>
                <c:pt idx="2">
                  <c:v>73240.0</c:v>
                </c:pt>
                <c:pt idx="3">
                  <c:v>69148.0</c:v>
                </c:pt>
                <c:pt idx="4">
                  <c:v>66038.0</c:v>
                </c:pt>
                <c:pt idx="5">
                  <c:v>68969.0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333416"/>
        <c:axId val="2087639992"/>
      </c:scatterChart>
      <c:valAx>
        <c:axId val="2087333416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7639992"/>
        <c:crosses val="autoZero"/>
        <c:crossBetween val="midCat"/>
      </c:valAx>
      <c:valAx>
        <c:axId val="2087639992"/>
        <c:scaling>
          <c:orientation val="minMax"/>
          <c:max val="220000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73334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Cleared Otherwise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Sheet1!$B$65</c:f>
              <c:strCache>
                <c:ptCount val="1"/>
                <c:pt idx="0">
                  <c:v>YCO</c:v>
                </c:pt>
              </c:strCache>
            </c:strRef>
          </c:tx>
          <c:xVal>
            <c:numRef>
              <c:f>Sheet1!$A$66:$A$71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Sheet1!$B$66:$B$71</c:f>
              <c:numCache>
                <c:formatCode>General</c:formatCode>
                <c:ptCount val="6"/>
                <c:pt idx="1">
                  <c:v>3594.0</c:v>
                </c:pt>
                <c:pt idx="2">
                  <c:v>3424.0</c:v>
                </c:pt>
                <c:pt idx="3">
                  <c:v>4324.0</c:v>
                </c:pt>
                <c:pt idx="4">
                  <c:v>4466.0</c:v>
                </c:pt>
                <c:pt idx="5">
                  <c:v>4449.0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Sheet1!$C$65</c:f>
              <c:strCache>
                <c:ptCount val="1"/>
                <c:pt idx="0">
                  <c:v>NTCO</c:v>
                </c:pt>
              </c:strCache>
            </c:strRef>
          </c:tx>
          <c:xVal>
            <c:numRef>
              <c:f>Sheet1!$A$66:$A$71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Sheet1!$C$66:$C$71</c:f>
              <c:numCache>
                <c:formatCode>General</c:formatCode>
                <c:ptCount val="6"/>
                <c:pt idx="1">
                  <c:v>13139.0</c:v>
                </c:pt>
                <c:pt idx="2">
                  <c:v>12875.0</c:v>
                </c:pt>
                <c:pt idx="3">
                  <c:v>12229.0</c:v>
                </c:pt>
                <c:pt idx="4">
                  <c:v>11611.0</c:v>
                </c:pt>
                <c:pt idx="5">
                  <c:v>11335.0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Sheet1!$D$65</c:f>
              <c:strCache>
                <c:ptCount val="1"/>
                <c:pt idx="0">
                  <c:v>NUCO</c:v>
                </c:pt>
              </c:strCache>
            </c:strRef>
          </c:tx>
          <c:xVal>
            <c:numRef>
              <c:f>Sheet1!$A$66:$A$71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Sheet1!$D$66:$D$71</c:f>
              <c:numCache>
                <c:formatCode>General</c:formatCode>
                <c:ptCount val="6"/>
                <c:pt idx="1">
                  <c:v>8284.0</c:v>
                </c:pt>
                <c:pt idx="2">
                  <c:v>8161.0</c:v>
                </c:pt>
                <c:pt idx="3">
                  <c:v>7031.0</c:v>
                </c:pt>
                <c:pt idx="4">
                  <c:v>6906.0</c:v>
                </c:pt>
                <c:pt idx="5">
                  <c:v>7600.0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Sheet1!$E$65</c:f>
              <c:strCache>
                <c:ptCount val="1"/>
                <c:pt idx="0">
                  <c:v>NLCO</c:v>
                </c:pt>
              </c:strCache>
            </c:strRef>
          </c:tx>
          <c:xVal>
            <c:numRef>
              <c:f>Sheet1!$A$66:$A$71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Sheet1!$E$66:$E$71</c:f>
              <c:numCache>
                <c:formatCode>General</c:formatCode>
                <c:ptCount val="6"/>
                <c:pt idx="1">
                  <c:v>6088.0</c:v>
                </c:pt>
                <c:pt idx="2">
                  <c:v>5543.0</c:v>
                </c:pt>
                <c:pt idx="3">
                  <c:v>5291.0</c:v>
                </c:pt>
                <c:pt idx="4">
                  <c:v>5047.0</c:v>
                </c:pt>
                <c:pt idx="5">
                  <c:v>4332.0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Sheet1!$F$65</c:f>
              <c:strCache>
                <c:ptCount val="1"/>
                <c:pt idx="0">
                  <c:v>PICO</c:v>
                </c:pt>
              </c:strCache>
            </c:strRef>
          </c:tx>
          <c:xVal>
            <c:numRef>
              <c:f>Sheet1!$A$66:$A$71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Sheet1!$F$66:$F$71</c:f>
              <c:numCache>
                <c:formatCode>General</c:formatCode>
                <c:ptCount val="6"/>
                <c:pt idx="1">
                  <c:v>1439.0</c:v>
                </c:pt>
                <c:pt idx="2">
                  <c:v>1483.0</c:v>
                </c:pt>
                <c:pt idx="3">
                  <c:v>1010.0</c:v>
                </c:pt>
                <c:pt idx="4">
                  <c:v>843.0</c:v>
                </c:pt>
                <c:pt idx="5">
                  <c:v>683.0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Sheet1!$G$65</c:f>
              <c:strCache>
                <c:ptCount val="1"/>
                <c:pt idx="0">
                  <c:v>NOCO</c:v>
                </c:pt>
              </c:strCache>
            </c:strRef>
          </c:tx>
          <c:xVal>
            <c:numRef>
              <c:f>Sheet1!$A$66:$A$71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Sheet1!$G$66:$G$71</c:f>
              <c:numCache>
                <c:formatCode>General</c:formatCode>
                <c:ptCount val="6"/>
                <c:pt idx="1">
                  <c:v>13251.0</c:v>
                </c:pt>
                <c:pt idx="2">
                  <c:v>13740.0</c:v>
                </c:pt>
                <c:pt idx="3">
                  <c:v>11754.0</c:v>
                </c:pt>
                <c:pt idx="4">
                  <c:v>10341.0</c:v>
                </c:pt>
                <c:pt idx="5">
                  <c:v>9735.0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Sheet1!$H$65</c:f>
              <c:strCache>
                <c:ptCount val="1"/>
                <c:pt idx="0">
                  <c:v>BRCO</c:v>
                </c:pt>
              </c:strCache>
            </c:strRef>
          </c:tx>
          <c:xVal>
            <c:numRef>
              <c:f>Sheet1!$A$66:$A$71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Sheet1!$H$66:$H$71</c:f>
              <c:numCache>
                <c:formatCode>General</c:formatCode>
                <c:ptCount val="6"/>
                <c:pt idx="1">
                  <c:v>7486.0</c:v>
                </c:pt>
                <c:pt idx="2">
                  <c:v>7233.0</c:v>
                </c:pt>
                <c:pt idx="3">
                  <c:v>5370.0</c:v>
                </c:pt>
                <c:pt idx="4">
                  <c:v>5033.0</c:v>
                </c:pt>
                <c:pt idx="5">
                  <c:v>4461.0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Sheet1!$I$65</c:f>
              <c:strCache>
                <c:ptCount val="1"/>
                <c:pt idx="0">
                  <c:v>OCO</c:v>
                </c:pt>
              </c:strCache>
            </c:strRef>
          </c:tx>
          <c:xVal>
            <c:numRef>
              <c:f>Sheet1!$A$66:$A$71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Sheet1!$I$66:$I$71</c:f>
              <c:numCache>
                <c:formatCode>General</c:formatCode>
                <c:ptCount val="6"/>
                <c:pt idx="1">
                  <c:v>87542.0</c:v>
                </c:pt>
                <c:pt idx="2">
                  <c:v>85809.0</c:v>
                </c:pt>
                <c:pt idx="3">
                  <c:v>80177.0</c:v>
                </c:pt>
                <c:pt idx="4">
                  <c:v>75009.0</c:v>
                </c:pt>
                <c:pt idx="5">
                  <c:v>74760.0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Sheet1!$J$65</c:f>
              <c:strCache>
                <c:ptCount val="1"/>
                <c:pt idx="0">
                  <c:v>MCO</c:v>
                </c:pt>
              </c:strCache>
            </c:strRef>
          </c:tx>
          <c:xVal>
            <c:numRef>
              <c:f>Sheet1!$A$66:$A$71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Sheet1!$J$66:$J$71</c:f>
              <c:numCache>
                <c:formatCode>General</c:formatCode>
                <c:ptCount val="6"/>
                <c:pt idx="1">
                  <c:v>26812.0</c:v>
                </c:pt>
                <c:pt idx="2">
                  <c:v>25715.0</c:v>
                </c:pt>
                <c:pt idx="3">
                  <c:v>24980.0</c:v>
                </c:pt>
                <c:pt idx="4">
                  <c:v>24274.0</c:v>
                </c:pt>
                <c:pt idx="5">
                  <c:v>23962.0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Sheet1!$K$65</c:f>
              <c:strCache>
                <c:ptCount val="1"/>
                <c:pt idx="0">
                  <c:v>SCO</c:v>
                </c:pt>
              </c:strCache>
            </c:strRef>
          </c:tx>
          <c:xVal>
            <c:numRef>
              <c:f>Sheet1!$A$66:$A$71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Sheet1!$K$66:$K$71</c:f>
              <c:numCache>
                <c:formatCode>General</c:formatCode>
                <c:ptCount val="6"/>
                <c:pt idx="1">
                  <c:v>35756.0</c:v>
                </c:pt>
                <c:pt idx="2">
                  <c:v>34126.0</c:v>
                </c:pt>
                <c:pt idx="3">
                  <c:v>28013.0</c:v>
                </c:pt>
                <c:pt idx="4">
                  <c:v>24792.0</c:v>
                </c:pt>
                <c:pt idx="5">
                  <c:v>24493.0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Sheet1!$L$65</c:f>
              <c:strCache>
                <c:ptCount val="1"/>
                <c:pt idx="0">
                  <c:v>BCCO</c:v>
                </c:pt>
              </c:strCache>
            </c:strRef>
          </c:tx>
          <c:xVal>
            <c:numRef>
              <c:f>Sheet1!$A$66:$A$71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Sheet1!$L$66:$L$71</c:f>
              <c:numCache>
                <c:formatCode>General</c:formatCode>
                <c:ptCount val="6"/>
                <c:pt idx="1">
                  <c:v>79219.0</c:v>
                </c:pt>
                <c:pt idx="2">
                  <c:v>72965.0</c:v>
                </c:pt>
                <c:pt idx="3">
                  <c:v>72807.0</c:v>
                </c:pt>
                <c:pt idx="4">
                  <c:v>66842.0</c:v>
                </c:pt>
                <c:pt idx="5">
                  <c:v>61257.0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008664"/>
        <c:axId val="2089936968"/>
      </c:scatterChart>
      <c:valAx>
        <c:axId val="2088008664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9936968"/>
        <c:crosses val="autoZero"/>
        <c:crossBetween val="midCat"/>
      </c:valAx>
      <c:valAx>
        <c:axId val="2089936968"/>
        <c:scaling>
          <c:orientation val="minMax"/>
          <c:max val="900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80086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>
                <a:effectLst/>
              </a:rPr>
              <a:t>Total, persons charged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Sheet1!$B$73</c:f>
              <c:strCache>
                <c:ptCount val="1"/>
                <c:pt idx="0">
                  <c:v>YC</c:v>
                </c:pt>
              </c:strCache>
            </c:strRef>
          </c:tx>
          <c:xVal>
            <c:numRef>
              <c:f>Sheet1!$A$74:$A$79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Sheet1!$B$74:$B$79</c:f>
              <c:numCache>
                <c:formatCode>General</c:formatCode>
                <c:ptCount val="6"/>
                <c:pt idx="1">
                  <c:v>1629.0</c:v>
                </c:pt>
                <c:pt idx="2">
                  <c:v>1600.0</c:v>
                </c:pt>
                <c:pt idx="3">
                  <c:v>1710.0</c:v>
                </c:pt>
                <c:pt idx="4">
                  <c:v>1525.0</c:v>
                </c:pt>
                <c:pt idx="5">
                  <c:v>1507.0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Sheet1!$C$73</c:f>
              <c:strCache>
                <c:ptCount val="1"/>
                <c:pt idx="0">
                  <c:v>NTC</c:v>
                </c:pt>
              </c:strCache>
            </c:strRef>
          </c:tx>
          <c:xVal>
            <c:numRef>
              <c:f>Sheet1!$A$74:$A$79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Sheet1!$C$74:$C$79</c:f>
              <c:numCache>
                <c:formatCode>General</c:formatCode>
                <c:ptCount val="6"/>
                <c:pt idx="1">
                  <c:v>3386.0</c:v>
                </c:pt>
                <c:pt idx="2">
                  <c:v>2800.0</c:v>
                </c:pt>
                <c:pt idx="3">
                  <c:v>2603.0</c:v>
                </c:pt>
                <c:pt idx="4">
                  <c:v>2462.0</c:v>
                </c:pt>
                <c:pt idx="5">
                  <c:v>2626.0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Sheet1!$D$73</c:f>
              <c:strCache>
                <c:ptCount val="1"/>
                <c:pt idx="0">
                  <c:v>NUC</c:v>
                </c:pt>
              </c:strCache>
            </c:strRef>
          </c:tx>
          <c:xVal>
            <c:numRef>
              <c:f>Sheet1!$A$74:$A$79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Sheet1!$D$74:$D$79</c:f>
              <c:numCache>
                <c:formatCode>General</c:formatCode>
                <c:ptCount val="6"/>
                <c:pt idx="1">
                  <c:v>2654.0</c:v>
                </c:pt>
                <c:pt idx="2">
                  <c:v>2750.0</c:v>
                </c:pt>
                <c:pt idx="3">
                  <c:v>2519.0</c:v>
                </c:pt>
                <c:pt idx="4">
                  <c:v>2166.0</c:v>
                </c:pt>
                <c:pt idx="5">
                  <c:v>2034.0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Sheet1!$E$73</c:f>
              <c:strCache>
                <c:ptCount val="1"/>
                <c:pt idx="0">
                  <c:v>NLC</c:v>
                </c:pt>
              </c:strCache>
            </c:strRef>
          </c:tx>
          <c:xVal>
            <c:numRef>
              <c:f>Sheet1!$A$74:$A$79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Sheet1!$E$74:$E$79</c:f>
              <c:numCache>
                <c:formatCode>General</c:formatCode>
                <c:ptCount val="6"/>
                <c:pt idx="1">
                  <c:v>8521.0</c:v>
                </c:pt>
                <c:pt idx="2">
                  <c:v>8678.0</c:v>
                </c:pt>
                <c:pt idx="3">
                  <c:v>8706.0</c:v>
                </c:pt>
                <c:pt idx="4">
                  <c:v>8310.0</c:v>
                </c:pt>
                <c:pt idx="5">
                  <c:v>8056.0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Sheet1!$F$73</c:f>
              <c:strCache>
                <c:ptCount val="1"/>
                <c:pt idx="0">
                  <c:v>PIC</c:v>
                </c:pt>
              </c:strCache>
            </c:strRef>
          </c:tx>
          <c:xVal>
            <c:numRef>
              <c:f>Sheet1!$A$74:$A$79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Sheet1!$F$74:$F$79</c:f>
              <c:numCache>
                <c:formatCode>General</c:formatCode>
                <c:ptCount val="6"/>
                <c:pt idx="1">
                  <c:v>2077.0</c:v>
                </c:pt>
                <c:pt idx="2">
                  <c:v>2247.0</c:v>
                </c:pt>
                <c:pt idx="3">
                  <c:v>2180.0</c:v>
                </c:pt>
                <c:pt idx="4">
                  <c:v>1861.0</c:v>
                </c:pt>
                <c:pt idx="5">
                  <c:v>1635.0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Sheet1!$G$73</c:f>
              <c:strCache>
                <c:ptCount val="1"/>
                <c:pt idx="0">
                  <c:v>NOC</c:v>
                </c:pt>
              </c:strCache>
            </c:strRef>
          </c:tx>
          <c:xVal>
            <c:numRef>
              <c:f>Sheet1!$A$74:$A$79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Sheet1!$G$74:$G$79</c:f>
              <c:numCache>
                <c:formatCode>General</c:formatCode>
                <c:ptCount val="6"/>
                <c:pt idx="1">
                  <c:v>19410.0</c:v>
                </c:pt>
                <c:pt idx="2">
                  <c:v>18160.0</c:v>
                </c:pt>
                <c:pt idx="3">
                  <c:v>16312.0</c:v>
                </c:pt>
                <c:pt idx="4">
                  <c:v>15878.0</c:v>
                </c:pt>
                <c:pt idx="5">
                  <c:v>14468.0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Sheet1!$H$73</c:f>
              <c:strCache>
                <c:ptCount val="1"/>
                <c:pt idx="0">
                  <c:v>BRC</c:v>
                </c:pt>
              </c:strCache>
            </c:strRef>
          </c:tx>
          <c:xVal>
            <c:numRef>
              <c:f>Sheet1!$A$74:$A$79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Sheet1!$H$74:$H$79</c:f>
              <c:numCache>
                <c:formatCode>General</c:formatCode>
                <c:ptCount val="6"/>
                <c:pt idx="1">
                  <c:v>13242.0</c:v>
                </c:pt>
                <c:pt idx="2">
                  <c:v>12858.0</c:v>
                </c:pt>
                <c:pt idx="3">
                  <c:v>11859.0</c:v>
                </c:pt>
                <c:pt idx="4">
                  <c:v>11127.0</c:v>
                </c:pt>
                <c:pt idx="5">
                  <c:v>11025.0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Sheet1!$I$73</c:f>
              <c:strCache>
                <c:ptCount val="1"/>
                <c:pt idx="0">
                  <c:v>OC</c:v>
                </c:pt>
              </c:strCache>
            </c:strRef>
          </c:tx>
          <c:xVal>
            <c:numRef>
              <c:f>Sheet1!$A$74:$A$79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Sheet1!$I$74:$I$79</c:f>
              <c:numCache>
                <c:formatCode>General</c:formatCode>
                <c:ptCount val="6"/>
                <c:pt idx="1">
                  <c:v>209852.0</c:v>
                </c:pt>
                <c:pt idx="2">
                  <c:v>205225.0</c:v>
                </c:pt>
                <c:pt idx="3">
                  <c:v>193206.0</c:v>
                </c:pt>
                <c:pt idx="4">
                  <c:v>185272.0</c:v>
                </c:pt>
                <c:pt idx="5">
                  <c:v>185175.0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Sheet1!$J$73</c:f>
              <c:strCache>
                <c:ptCount val="1"/>
                <c:pt idx="0">
                  <c:v>MC</c:v>
                </c:pt>
              </c:strCache>
            </c:strRef>
          </c:tx>
          <c:xVal>
            <c:numRef>
              <c:f>Sheet1!$A$74:$A$79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Sheet1!$J$74:$J$79</c:f>
              <c:numCache>
                <c:formatCode>General</c:formatCode>
                <c:ptCount val="6"/>
                <c:pt idx="1">
                  <c:v>33488.0</c:v>
                </c:pt>
                <c:pt idx="2">
                  <c:v>35324.0</c:v>
                </c:pt>
                <c:pt idx="3">
                  <c:v>32851.0</c:v>
                </c:pt>
                <c:pt idx="4">
                  <c:v>30798.0</c:v>
                </c:pt>
                <c:pt idx="5">
                  <c:v>31236.0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Sheet1!$K$73</c:f>
              <c:strCache>
                <c:ptCount val="1"/>
                <c:pt idx="0">
                  <c:v>SC</c:v>
                </c:pt>
              </c:strCache>
            </c:strRef>
          </c:tx>
          <c:xVal>
            <c:numRef>
              <c:f>Sheet1!$A$74:$A$79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Sheet1!$K$74:$K$79</c:f>
              <c:numCache>
                <c:formatCode>General</c:formatCode>
                <c:ptCount val="6"/>
                <c:pt idx="1">
                  <c:v>53494.0</c:v>
                </c:pt>
                <c:pt idx="2">
                  <c:v>54713.0</c:v>
                </c:pt>
                <c:pt idx="3">
                  <c:v>52989.0</c:v>
                </c:pt>
                <c:pt idx="4">
                  <c:v>52589.0</c:v>
                </c:pt>
                <c:pt idx="5">
                  <c:v>52654.0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Sheet1!$L$73</c:f>
              <c:strCache>
                <c:ptCount val="1"/>
                <c:pt idx="0">
                  <c:v>BCC</c:v>
                </c:pt>
              </c:strCache>
            </c:strRef>
          </c:tx>
          <c:xVal>
            <c:numRef>
              <c:f>Sheet1!$A$74:$A$79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Sheet1!$L$74:$L$79</c:f>
              <c:numCache>
                <c:formatCode>General</c:formatCode>
                <c:ptCount val="6"/>
                <c:pt idx="1">
                  <c:v>75983.0</c:v>
                </c:pt>
                <c:pt idx="2">
                  <c:v>73158.0</c:v>
                </c:pt>
                <c:pt idx="3">
                  <c:v>68850.0</c:v>
                </c:pt>
                <c:pt idx="4">
                  <c:v>65555.0</c:v>
                </c:pt>
                <c:pt idx="5">
                  <c:v>68131.0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7265496"/>
        <c:axId val="-2147418888"/>
      </c:scatterChart>
      <c:valAx>
        <c:axId val="-2147265496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7418888"/>
        <c:crosses val="autoZero"/>
        <c:crossBetween val="midCat"/>
      </c:valAx>
      <c:valAx>
        <c:axId val="-2147418888"/>
        <c:scaling>
          <c:orientation val="minMax"/>
          <c:max val="220000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72654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Rate, total persons charged per 100,000 population aged 12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Sheet1!$B$81</c:f>
              <c:strCache>
                <c:ptCount val="1"/>
                <c:pt idx="0">
                  <c:v>YR12</c:v>
                </c:pt>
              </c:strCache>
            </c:strRef>
          </c:tx>
          <c:xVal>
            <c:numRef>
              <c:f>Sheet1!$A$82:$A$87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Sheet1!$B$82:$B$87</c:f>
              <c:numCache>
                <c:formatCode>General</c:formatCode>
                <c:ptCount val="6"/>
                <c:pt idx="1">
                  <c:v>5310.34</c:v>
                </c:pt>
                <c:pt idx="2">
                  <c:v>5104.81</c:v>
                </c:pt>
                <c:pt idx="3">
                  <c:v>5421.86</c:v>
                </c:pt>
                <c:pt idx="4">
                  <c:v>4768.16</c:v>
                </c:pt>
                <c:pt idx="5">
                  <c:v>4670.7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Sheet1!$C$81</c:f>
              <c:strCache>
                <c:ptCount val="1"/>
                <c:pt idx="0">
                  <c:v>NTR12</c:v>
                </c:pt>
              </c:strCache>
            </c:strRef>
          </c:tx>
          <c:xVal>
            <c:numRef>
              <c:f>Sheet1!$A$82:$A$87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Sheet1!$C$82:$C$87</c:f>
              <c:numCache>
                <c:formatCode>General</c:formatCode>
                <c:ptCount val="6"/>
                <c:pt idx="1">
                  <c:v>9389.379999999999</c:v>
                </c:pt>
                <c:pt idx="2">
                  <c:v>7762.47</c:v>
                </c:pt>
                <c:pt idx="3">
                  <c:v>7189.81</c:v>
                </c:pt>
                <c:pt idx="4">
                  <c:v>6801.29</c:v>
                </c:pt>
                <c:pt idx="5">
                  <c:v>7255.95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Sheet1!$D$81</c:f>
              <c:strCache>
                <c:ptCount val="1"/>
                <c:pt idx="0">
                  <c:v>NUR12</c:v>
                </c:pt>
              </c:strCache>
            </c:strRef>
          </c:tx>
          <c:xVal>
            <c:numRef>
              <c:f>Sheet1!$A$82:$A$87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Sheet1!$D$82:$D$87</c:f>
              <c:numCache>
                <c:formatCode>General</c:formatCode>
                <c:ptCount val="6"/>
                <c:pt idx="1">
                  <c:v>10496.76</c:v>
                </c:pt>
                <c:pt idx="2">
                  <c:v>10692.07</c:v>
                </c:pt>
                <c:pt idx="3">
                  <c:v>9595.459999999999</c:v>
                </c:pt>
                <c:pt idx="4">
                  <c:v>8114.49</c:v>
                </c:pt>
                <c:pt idx="5">
                  <c:v>7429.59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Sheet1!$E$81</c:f>
              <c:strCache>
                <c:ptCount val="1"/>
                <c:pt idx="0">
                  <c:v>NLR12</c:v>
                </c:pt>
              </c:strCache>
            </c:strRef>
          </c:tx>
          <c:xVal>
            <c:numRef>
              <c:f>Sheet1!$A$82:$A$87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Sheet1!$E$82:$E$87</c:f>
              <c:numCache>
                <c:formatCode>General</c:formatCode>
                <c:ptCount val="6"/>
                <c:pt idx="1">
                  <c:v>1834.45</c:v>
                </c:pt>
                <c:pt idx="2">
                  <c:v>1860.26</c:v>
                </c:pt>
                <c:pt idx="3">
                  <c:v>1861.43</c:v>
                </c:pt>
                <c:pt idx="4">
                  <c:v>1772.53</c:v>
                </c:pt>
                <c:pt idx="5">
                  <c:v>1722.01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Sheet1!$F$81</c:f>
              <c:strCache>
                <c:ptCount val="1"/>
                <c:pt idx="0">
                  <c:v>PIR12</c:v>
                </c:pt>
              </c:strCache>
            </c:strRef>
          </c:tx>
          <c:xVal>
            <c:numRef>
              <c:f>Sheet1!$A$82:$A$87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Sheet1!$F$82:$F$87</c:f>
              <c:numCache>
                <c:formatCode>General</c:formatCode>
                <c:ptCount val="6"/>
                <c:pt idx="1">
                  <c:v>1647.69</c:v>
                </c:pt>
                <c:pt idx="2">
                  <c:v>1765.91</c:v>
                </c:pt>
                <c:pt idx="3">
                  <c:v>1712.54</c:v>
                </c:pt>
                <c:pt idx="4">
                  <c:v>1456.84</c:v>
                </c:pt>
                <c:pt idx="5">
                  <c:v>1278.81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Sheet1!$G$81</c:f>
              <c:strCache>
                <c:ptCount val="1"/>
                <c:pt idx="0">
                  <c:v>NOR12</c:v>
                </c:pt>
              </c:strCache>
            </c:strRef>
          </c:tx>
          <c:xVal>
            <c:numRef>
              <c:f>Sheet1!$A$82:$A$87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Sheet1!$G$82:$G$87</c:f>
              <c:numCache>
                <c:formatCode>General</c:formatCode>
                <c:ptCount val="6"/>
                <c:pt idx="1">
                  <c:v>2319.27</c:v>
                </c:pt>
                <c:pt idx="2">
                  <c:v>2165.52</c:v>
                </c:pt>
                <c:pt idx="3">
                  <c:v>1947.3</c:v>
                </c:pt>
                <c:pt idx="4">
                  <c:v>1895.94</c:v>
                </c:pt>
                <c:pt idx="5">
                  <c:v>1726.49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Sheet1!$H$81</c:f>
              <c:strCache>
                <c:ptCount val="1"/>
                <c:pt idx="0">
                  <c:v>BRR12</c:v>
                </c:pt>
              </c:strCache>
            </c:strRef>
          </c:tx>
          <c:xVal>
            <c:numRef>
              <c:f>Sheet1!$A$82:$A$87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Sheet1!$H$82:$H$87</c:f>
              <c:numCache>
                <c:formatCode>General</c:formatCode>
                <c:ptCount val="6"/>
                <c:pt idx="1">
                  <c:v>1984.15</c:v>
                </c:pt>
                <c:pt idx="2">
                  <c:v>1921.59</c:v>
                </c:pt>
                <c:pt idx="3">
                  <c:v>1774.02</c:v>
                </c:pt>
                <c:pt idx="4">
                  <c:v>1666.19</c:v>
                </c:pt>
                <c:pt idx="5">
                  <c:v>1651.55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Sheet1!$I$81</c:f>
              <c:strCache>
                <c:ptCount val="1"/>
                <c:pt idx="0">
                  <c:v>OR12</c:v>
                </c:pt>
              </c:strCache>
            </c:strRef>
          </c:tx>
          <c:xVal>
            <c:numRef>
              <c:f>Sheet1!$A$82:$A$87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Sheet1!$I$82:$I$87</c:f>
              <c:numCache>
                <c:formatCode>General</c:formatCode>
                <c:ptCount val="6"/>
                <c:pt idx="1">
                  <c:v>1820.06</c:v>
                </c:pt>
                <c:pt idx="2">
                  <c:v>1757.53</c:v>
                </c:pt>
                <c:pt idx="3">
                  <c:v>1635.44</c:v>
                </c:pt>
                <c:pt idx="4">
                  <c:v>1552.31</c:v>
                </c:pt>
                <c:pt idx="5">
                  <c:v>1537.73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Sheet1!$J$81</c:f>
              <c:strCache>
                <c:ptCount val="1"/>
                <c:pt idx="0">
                  <c:v>MR12</c:v>
                </c:pt>
              </c:strCache>
            </c:strRef>
          </c:tx>
          <c:xVal>
            <c:numRef>
              <c:f>Sheet1!$A$82:$A$87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Sheet1!$J$82:$J$87</c:f>
              <c:numCache>
                <c:formatCode>General</c:formatCode>
                <c:ptCount val="6"/>
                <c:pt idx="1">
                  <c:v>3192.22</c:v>
                </c:pt>
                <c:pt idx="2">
                  <c:v>3319.98</c:v>
                </c:pt>
                <c:pt idx="3">
                  <c:v>3049.6</c:v>
                </c:pt>
                <c:pt idx="4">
                  <c:v>2826.46</c:v>
                </c:pt>
                <c:pt idx="5">
                  <c:v>2839.24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Sheet1!$K$81</c:f>
              <c:strCache>
                <c:ptCount val="1"/>
                <c:pt idx="0">
                  <c:v>SR12</c:v>
                </c:pt>
              </c:strCache>
            </c:strRef>
          </c:tx>
          <c:xVal>
            <c:numRef>
              <c:f>Sheet1!$A$82:$A$87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Sheet1!$K$82:$K$87</c:f>
              <c:numCache>
                <c:formatCode>General</c:formatCode>
                <c:ptCount val="6"/>
                <c:pt idx="1">
                  <c:v>5902.7</c:v>
                </c:pt>
                <c:pt idx="2">
                  <c:v>5925.82</c:v>
                </c:pt>
                <c:pt idx="3">
                  <c:v>5647.43</c:v>
                </c:pt>
                <c:pt idx="4">
                  <c:v>5533.06</c:v>
                </c:pt>
                <c:pt idx="5">
                  <c:v>5496.84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Sheet1!$L$81</c:f>
              <c:strCache>
                <c:ptCount val="1"/>
                <c:pt idx="0">
                  <c:v>BCR12</c:v>
                </c:pt>
              </c:strCache>
            </c:strRef>
          </c:tx>
          <c:xVal>
            <c:numRef>
              <c:f>Sheet1!$A$82:$A$87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Sheet1!$L$82:$L$87</c:f>
              <c:numCache>
                <c:formatCode>General</c:formatCode>
                <c:ptCount val="6"/>
                <c:pt idx="1">
                  <c:v>1916.78</c:v>
                </c:pt>
                <c:pt idx="2">
                  <c:v>1825.56</c:v>
                </c:pt>
                <c:pt idx="3">
                  <c:v>1701.62</c:v>
                </c:pt>
                <c:pt idx="4">
                  <c:v>1599.51</c:v>
                </c:pt>
                <c:pt idx="5">
                  <c:v>1645.77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6573736"/>
        <c:axId val="2089546344"/>
      </c:scatterChart>
      <c:valAx>
        <c:axId val="-2146573736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9546344"/>
        <c:crosses val="autoZero"/>
        <c:crossBetween val="midCat"/>
        <c:majorUnit val="1.0"/>
      </c:valAx>
      <c:valAx>
        <c:axId val="20895463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u="none" strike="noStrike" baseline="0">
                    <a:effectLst/>
                  </a:rPr>
                  <a:t>Rate per 100,000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65737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Total, adult charged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Sheet1!$B$89</c:f>
              <c:strCache>
                <c:ptCount val="1"/>
                <c:pt idx="0">
                  <c:v>YAD</c:v>
                </c:pt>
              </c:strCache>
            </c:strRef>
          </c:tx>
          <c:xVal>
            <c:numRef>
              <c:f>Sheet1!$A$90:$A$95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Sheet1!$B$90:$B$95</c:f>
              <c:numCache>
                <c:formatCode>General</c:formatCode>
                <c:ptCount val="6"/>
                <c:pt idx="1">
                  <c:v>1507.0</c:v>
                </c:pt>
                <c:pt idx="2">
                  <c:v>1454.0</c:v>
                </c:pt>
                <c:pt idx="3">
                  <c:v>1563.0</c:v>
                </c:pt>
                <c:pt idx="4">
                  <c:v>1390.0</c:v>
                </c:pt>
                <c:pt idx="5">
                  <c:v>1358.0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Sheet1!$C$89</c:f>
              <c:strCache>
                <c:ptCount val="1"/>
                <c:pt idx="0">
                  <c:v>NTAD</c:v>
                </c:pt>
              </c:strCache>
            </c:strRef>
          </c:tx>
          <c:xVal>
            <c:numRef>
              <c:f>Sheet1!$A$90:$A$95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Sheet1!$C$90:$C$95</c:f>
              <c:numCache>
                <c:formatCode>General</c:formatCode>
                <c:ptCount val="6"/>
                <c:pt idx="1">
                  <c:v>3027.0</c:v>
                </c:pt>
                <c:pt idx="2">
                  <c:v>2539.0</c:v>
                </c:pt>
                <c:pt idx="3">
                  <c:v>2367.0</c:v>
                </c:pt>
                <c:pt idx="4">
                  <c:v>2273.0</c:v>
                </c:pt>
                <c:pt idx="5">
                  <c:v>2459.0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Sheet1!$D$89</c:f>
              <c:strCache>
                <c:ptCount val="1"/>
                <c:pt idx="0">
                  <c:v>NUAD</c:v>
                </c:pt>
              </c:strCache>
            </c:strRef>
          </c:tx>
          <c:xVal>
            <c:numRef>
              <c:f>Sheet1!$A$90:$A$95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Sheet1!$D$90:$D$95</c:f>
              <c:numCache>
                <c:formatCode>General</c:formatCode>
                <c:ptCount val="6"/>
                <c:pt idx="1">
                  <c:v>2396.0</c:v>
                </c:pt>
                <c:pt idx="2">
                  <c:v>2481.0</c:v>
                </c:pt>
                <c:pt idx="3">
                  <c:v>2268.0</c:v>
                </c:pt>
                <c:pt idx="4">
                  <c:v>1999.0</c:v>
                </c:pt>
                <c:pt idx="5">
                  <c:v>1877.0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Sheet1!$E$89</c:f>
              <c:strCache>
                <c:ptCount val="1"/>
                <c:pt idx="0">
                  <c:v>NLAD</c:v>
                </c:pt>
              </c:strCache>
            </c:strRef>
          </c:tx>
          <c:xVal>
            <c:numRef>
              <c:f>Sheet1!$A$90:$A$95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Sheet1!$E$90:$E$95</c:f>
              <c:numCache>
                <c:formatCode>General</c:formatCode>
                <c:ptCount val="6"/>
                <c:pt idx="1">
                  <c:v>7573.0</c:v>
                </c:pt>
                <c:pt idx="2">
                  <c:v>7777.0</c:v>
                </c:pt>
                <c:pt idx="3">
                  <c:v>7783.0</c:v>
                </c:pt>
                <c:pt idx="4">
                  <c:v>7611.0</c:v>
                </c:pt>
                <c:pt idx="5">
                  <c:v>7299.0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Sheet1!$F$89</c:f>
              <c:strCache>
                <c:ptCount val="1"/>
                <c:pt idx="0">
                  <c:v>PIAD</c:v>
                </c:pt>
              </c:strCache>
            </c:strRef>
          </c:tx>
          <c:xVal>
            <c:numRef>
              <c:f>Sheet1!$A$90:$A$95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Sheet1!$F$90:$F$95</c:f>
              <c:numCache>
                <c:formatCode>General</c:formatCode>
                <c:ptCount val="6"/>
                <c:pt idx="1">
                  <c:v>1828.0</c:v>
                </c:pt>
                <c:pt idx="2">
                  <c:v>1997.0</c:v>
                </c:pt>
                <c:pt idx="3">
                  <c:v>1937.0</c:v>
                </c:pt>
                <c:pt idx="4">
                  <c:v>1688.0</c:v>
                </c:pt>
                <c:pt idx="5">
                  <c:v>1491.0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Sheet1!$G$89</c:f>
              <c:strCache>
                <c:ptCount val="1"/>
                <c:pt idx="0">
                  <c:v>NOAD</c:v>
                </c:pt>
              </c:strCache>
            </c:strRef>
          </c:tx>
          <c:xVal>
            <c:numRef>
              <c:f>Sheet1!$A$90:$A$95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Sheet1!$G$90:$G$95</c:f>
              <c:numCache>
                <c:formatCode>General</c:formatCode>
                <c:ptCount val="6"/>
                <c:pt idx="1">
                  <c:v>16715.0</c:v>
                </c:pt>
                <c:pt idx="2">
                  <c:v>15665.0</c:v>
                </c:pt>
                <c:pt idx="3">
                  <c:v>14429.0</c:v>
                </c:pt>
                <c:pt idx="4">
                  <c:v>14320.0</c:v>
                </c:pt>
                <c:pt idx="5">
                  <c:v>13199.0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Sheet1!$H$89</c:f>
              <c:strCache>
                <c:ptCount val="1"/>
                <c:pt idx="0">
                  <c:v>BRAD</c:v>
                </c:pt>
              </c:strCache>
            </c:strRef>
          </c:tx>
          <c:xVal>
            <c:numRef>
              <c:f>Sheet1!$A$90:$A$95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Sheet1!$H$90:$H$95</c:f>
              <c:numCache>
                <c:formatCode>General</c:formatCode>
                <c:ptCount val="6"/>
                <c:pt idx="1">
                  <c:v>11487.0</c:v>
                </c:pt>
                <c:pt idx="2">
                  <c:v>11412.0</c:v>
                </c:pt>
                <c:pt idx="3">
                  <c:v>10588.0</c:v>
                </c:pt>
                <c:pt idx="4">
                  <c:v>9993.0</c:v>
                </c:pt>
                <c:pt idx="5">
                  <c:v>9954.0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Sheet1!$I$89</c:f>
              <c:strCache>
                <c:ptCount val="1"/>
                <c:pt idx="0">
                  <c:v>OAD</c:v>
                </c:pt>
              </c:strCache>
            </c:strRef>
          </c:tx>
          <c:xVal>
            <c:numRef>
              <c:f>Sheet1!$A$90:$A$95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Sheet1!$I$90:$I$95</c:f>
              <c:numCache>
                <c:formatCode>General</c:formatCode>
                <c:ptCount val="6"/>
                <c:pt idx="1">
                  <c:v>184060.0</c:v>
                </c:pt>
                <c:pt idx="2">
                  <c:v>182609.0</c:v>
                </c:pt>
                <c:pt idx="3">
                  <c:v>174943.0</c:v>
                </c:pt>
                <c:pt idx="4">
                  <c:v>169045.0</c:v>
                </c:pt>
                <c:pt idx="5">
                  <c:v>169732.0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Sheet1!$J$89</c:f>
              <c:strCache>
                <c:ptCount val="1"/>
                <c:pt idx="0">
                  <c:v>MAD</c:v>
                </c:pt>
              </c:strCache>
            </c:strRef>
          </c:tx>
          <c:xVal>
            <c:numRef>
              <c:f>Sheet1!$A$90:$A$95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Sheet1!$J$90:$J$95</c:f>
              <c:numCache>
                <c:formatCode>General</c:formatCode>
                <c:ptCount val="6"/>
                <c:pt idx="1">
                  <c:v>27949.0</c:v>
                </c:pt>
                <c:pt idx="2">
                  <c:v>29717.0</c:v>
                </c:pt>
                <c:pt idx="3">
                  <c:v>27847.0</c:v>
                </c:pt>
                <c:pt idx="4">
                  <c:v>26437.0</c:v>
                </c:pt>
                <c:pt idx="5">
                  <c:v>26797.0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Sheet1!$K$89</c:f>
              <c:strCache>
                <c:ptCount val="1"/>
                <c:pt idx="0">
                  <c:v>SAD</c:v>
                </c:pt>
              </c:strCache>
            </c:strRef>
          </c:tx>
          <c:xVal>
            <c:numRef>
              <c:f>Sheet1!$A$90:$A$95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Sheet1!$K$90:$K$95</c:f>
              <c:numCache>
                <c:formatCode>General</c:formatCode>
                <c:ptCount val="6"/>
                <c:pt idx="1">
                  <c:v>44058.0</c:v>
                </c:pt>
                <c:pt idx="2">
                  <c:v>45995.0</c:v>
                </c:pt>
                <c:pt idx="3">
                  <c:v>45061.0</c:v>
                </c:pt>
                <c:pt idx="4">
                  <c:v>44881.0</c:v>
                </c:pt>
                <c:pt idx="5">
                  <c:v>45417.0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Sheet1!$L$89</c:f>
              <c:strCache>
                <c:ptCount val="1"/>
                <c:pt idx="0">
                  <c:v>BCAD</c:v>
                </c:pt>
              </c:strCache>
            </c:strRef>
          </c:tx>
          <c:xVal>
            <c:numRef>
              <c:f>Sheet1!$A$90:$A$95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Sheet1!$L$90:$L$95</c:f>
              <c:numCache>
                <c:formatCode>General</c:formatCode>
                <c:ptCount val="6"/>
                <c:pt idx="1">
                  <c:v>70264.0</c:v>
                </c:pt>
                <c:pt idx="2">
                  <c:v>68034.0</c:v>
                </c:pt>
                <c:pt idx="3">
                  <c:v>64430.0</c:v>
                </c:pt>
                <c:pt idx="4">
                  <c:v>61988.0</c:v>
                </c:pt>
                <c:pt idx="5">
                  <c:v>64504.0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650440"/>
        <c:axId val="-2142575528"/>
      </c:scatterChart>
      <c:valAx>
        <c:axId val="2087650440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2575528"/>
        <c:crosses val="autoZero"/>
        <c:crossBetween val="midCat"/>
      </c:valAx>
      <c:valAx>
        <c:axId val="-21425755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76504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Rate, adult charged per 100,000 population aged 18 years and over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Sheet1!$B$97</c:f>
              <c:strCache>
                <c:ptCount val="1"/>
                <c:pt idx="0">
                  <c:v>YR18</c:v>
                </c:pt>
              </c:strCache>
            </c:strRef>
          </c:tx>
          <c:xVal>
            <c:numRef>
              <c:f>Sheet1!$A$98:$A$103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Sheet1!$B$98:$B$103</c:f>
              <c:numCache>
                <c:formatCode>General</c:formatCode>
                <c:ptCount val="6"/>
                <c:pt idx="1">
                  <c:v>5351.18</c:v>
                </c:pt>
                <c:pt idx="2">
                  <c:v>5045.63</c:v>
                </c:pt>
                <c:pt idx="3">
                  <c:v>5378.34</c:v>
                </c:pt>
                <c:pt idx="4">
                  <c:v>4712.34</c:v>
                </c:pt>
                <c:pt idx="5">
                  <c:v>4556.44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Sheet1!$C$97</c:f>
              <c:strCache>
                <c:ptCount val="1"/>
                <c:pt idx="0">
                  <c:v>NTR18</c:v>
                </c:pt>
              </c:strCache>
            </c:strRef>
          </c:tx>
          <c:xVal>
            <c:numRef>
              <c:f>Sheet1!$A$98:$A$103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Sheet1!$C$98:$C$103</c:f>
              <c:numCache>
                <c:formatCode>General</c:formatCode>
                <c:ptCount val="6"/>
                <c:pt idx="1">
                  <c:v>9397.12</c:v>
                </c:pt>
                <c:pt idx="2">
                  <c:v>7821.45</c:v>
                </c:pt>
                <c:pt idx="3">
                  <c:v>7223.07</c:v>
                </c:pt>
                <c:pt idx="4">
                  <c:v>6883.08</c:v>
                </c:pt>
                <c:pt idx="5">
                  <c:v>7411.76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Sheet1!$D$97</c:f>
              <c:strCache>
                <c:ptCount val="1"/>
                <c:pt idx="0">
                  <c:v>NUR18</c:v>
                </c:pt>
              </c:strCache>
            </c:strRef>
          </c:tx>
          <c:xVal>
            <c:numRef>
              <c:f>Sheet1!$A$98:$A$103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Sheet1!$D$98:$D$103</c:f>
              <c:numCache>
                <c:formatCode>General</c:formatCode>
                <c:ptCount val="6"/>
                <c:pt idx="1">
                  <c:v>11207.26</c:v>
                </c:pt>
                <c:pt idx="2">
                  <c:v>11339.64</c:v>
                </c:pt>
                <c:pt idx="3">
                  <c:v>10108.3</c:v>
                </c:pt>
                <c:pt idx="4">
                  <c:v>8707.959999999999</c:v>
                </c:pt>
                <c:pt idx="5">
                  <c:v>7960.81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Sheet1!$E$97</c:f>
              <c:strCache>
                <c:ptCount val="1"/>
                <c:pt idx="0">
                  <c:v>NLR18</c:v>
                </c:pt>
              </c:strCache>
            </c:strRef>
          </c:tx>
          <c:xVal>
            <c:numRef>
              <c:f>Sheet1!$A$98:$A$103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Sheet1!$E$98:$E$103</c:f>
              <c:numCache>
                <c:formatCode>General</c:formatCode>
                <c:ptCount val="6"/>
                <c:pt idx="1">
                  <c:v>1760.84</c:v>
                </c:pt>
                <c:pt idx="2">
                  <c:v>1797.39</c:v>
                </c:pt>
                <c:pt idx="3">
                  <c:v>1790.74</c:v>
                </c:pt>
                <c:pt idx="4">
                  <c:v>1744.07</c:v>
                </c:pt>
                <c:pt idx="5">
                  <c:v>1674.94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Sheet1!$F$97</c:f>
              <c:strCache>
                <c:ptCount val="1"/>
                <c:pt idx="0">
                  <c:v>PIR18</c:v>
                </c:pt>
              </c:strCache>
            </c:strRef>
          </c:tx>
          <c:xVal>
            <c:numRef>
              <c:f>Sheet1!$A$98:$A$103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Sheet1!$F$98:$F$103</c:f>
              <c:numCache>
                <c:formatCode>General</c:formatCode>
                <c:ptCount val="6"/>
                <c:pt idx="1">
                  <c:v>1588.54</c:v>
                </c:pt>
                <c:pt idx="2">
                  <c:v>1714.66</c:v>
                </c:pt>
                <c:pt idx="3">
                  <c:v>1656.53</c:v>
                </c:pt>
                <c:pt idx="4">
                  <c:v>1433.73</c:v>
                </c:pt>
                <c:pt idx="5">
                  <c:v>1262.9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Sheet1!$G$97</c:f>
              <c:strCache>
                <c:ptCount val="1"/>
                <c:pt idx="0">
                  <c:v>NOR18</c:v>
                </c:pt>
              </c:strCache>
            </c:strRef>
          </c:tx>
          <c:xVal>
            <c:numRef>
              <c:f>Sheet1!$A$98:$A$103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Sheet1!$G$98:$G$103</c:f>
              <c:numCache>
                <c:formatCode>General</c:formatCode>
                <c:ptCount val="6"/>
                <c:pt idx="1">
                  <c:v>2163.09</c:v>
                </c:pt>
                <c:pt idx="2">
                  <c:v>2019.18</c:v>
                </c:pt>
                <c:pt idx="3">
                  <c:v>1857.66</c:v>
                </c:pt>
                <c:pt idx="4">
                  <c:v>1840.13</c:v>
                </c:pt>
                <c:pt idx="5">
                  <c:v>1691.94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Sheet1!$H$97</c:f>
              <c:strCache>
                <c:ptCount val="1"/>
                <c:pt idx="0">
                  <c:v>BRR18</c:v>
                </c:pt>
              </c:strCache>
            </c:strRef>
          </c:tx>
          <c:xVal>
            <c:numRef>
              <c:f>Sheet1!$A$98:$A$103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Sheet1!$H$98:$H$103</c:f>
              <c:numCache>
                <c:formatCode>General</c:formatCode>
                <c:ptCount val="6"/>
                <c:pt idx="1">
                  <c:v>1865.2</c:v>
                </c:pt>
                <c:pt idx="2">
                  <c:v>1844.27</c:v>
                </c:pt>
                <c:pt idx="3">
                  <c:v>1709.11</c:v>
                </c:pt>
                <c:pt idx="4">
                  <c:v>1611.83</c:v>
                </c:pt>
                <c:pt idx="5">
                  <c:v>1604.72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Sheet1!$I$97</c:f>
              <c:strCache>
                <c:ptCount val="1"/>
                <c:pt idx="0">
                  <c:v>OR18</c:v>
                </c:pt>
              </c:strCache>
            </c:strRef>
          </c:tx>
          <c:xVal>
            <c:numRef>
              <c:f>Sheet1!$A$98:$A$103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Sheet1!$I$98:$I$103</c:f>
              <c:numCache>
                <c:formatCode>General</c:formatCode>
                <c:ptCount val="6"/>
                <c:pt idx="1">
                  <c:v>1747.99</c:v>
                </c:pt>
                <c:pt idx="2">
                  <c:v>1707.56</c:v>
                </c:pt>
                <c:pt idx="3">
                  <c:v>1611.67</c:v>
                </c:pt>
                <c:pt idx="4">
                  <c:v>1537.12</c:v>
                </c:pt>
                <c:pt idx="5">
                  <c:v>1526.68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Sheet1!$J$97</c:f>
              <c:strCache>
                <c:ptCount val="1"/>
                <c:pt idx="0">
                  <c:v>MR18</c:v>
                </c:pt>
              </c:strCache>
            </c:strRef>
          </c:tx>
          <c:xVal>
            <c:numRef>
              <c:f>Sheet1!$A$98:$A$103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Sheet1!$J$98:$J$103</c:f>
              <c:numCache>
                <c:formatCode>General</c:formatCode>
                <c:ptCount val="6"/>
                <c:pt idx="1">
                  <c:v>2948.4</c:v>
                </c:pt>
                <c:pt idx="2">
                  <c:v>3084.74</c:v>
                </c:pt>
                <c:pt idx="3">
                  <c:v>2847.5</c:v>
                </c:pt>
                <c:pt idx="4">
                  <c:v>2666.85</c:v>
                </c:pt>
                <c:pt idx="5">
                  <c:v>2673.34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Sheet1!$K$97</c:f>
              <c:strCache>
                <c:ptCount val="1"/>
                <c:pt idx="0">
                  <c:v>SR18</c:v>
                </c:pt>
              </c:strCache>
            </c:strRef>
          </c:tx>
          <c:xVal>
            <c:numRef>
              <c:f>Sheet1!$A$98:$A$103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Sheet1!$K$98:$K$103</c:f>
              <c:numCache>
                <c:formatCode>General</c:formatCode>
                <c:ptCount val="6"/>
                <c:pt idx="1">
                  <c:v>5357.5</c:v>
                </c:pt>
                <c:pt idx="2">
                  <c:v>5477.62</c:v>
                </c:pt>
                <c:pt idx="3">
                  <c:v>5266.55</c:v>
                </c:pt>
                <c:pt idx="4">
                  <c:v>5170.08</c:v>
                </c:pt>
                <c:pt idx="5">
                  <c:v>5185.26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Sheet1!$L$97</c:f>
              <c:strCache>
                <c:ptCount val="1"/>
                <c:pt idx="0">
                  <c:v>BCR18</c:v>
                </c:pt>
              </c:strCache>
            </c:strRef>
          </c:tx>
          <c:xVal>
            <c:numRef>
              <c:f>Sheet1!$A$98:$A$103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Sheet1!$L$98:$L$103</c:f>
              <c:numCache>
                <c:formatCode>General</c:formatCode>
                <c:ptCount val="6"/>
                <c:pt idx="1">
                  <c:v>1925.67</c:v>
                </c:pt>
                <c:pt idx="2">
                  <c:v>1840.06</c:v>
                </c:pt>
                <c:pt idx="3">
                  <c:v>1721.32</c:v>
                </c:pt>
                <c:pt idx="4">
                  <c:v>1630.81</c:v>
                </c:pt>
                <c:pt idx="5">
                  <c:v>1677.68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1785960"/>
        <c:axId val="-2141787576"/>
      </c:scatterChart>
      <c:valAx>
        <c:axId val="-2141785960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1787576"/>
        <c:crosses val="autoZero"/>
        <c:crossBetween val="midCat"/>
      </c:valAx>
      <c:valAx>
        <c:axId val="-2141787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Rate per 100,000 population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17859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>
                <a:effectLst/>
              </a:rPr>
              <a:t>Total, youth charged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Sheet1!$B$105</c:f>
              <c:strCache>
                <c:ptCount val="1"/>
                <c:pt idx="0">
                  <c:v>YYT</c:v>
                </c:pt>
              </c:strCache>
            </c:strRef>
          </c:tx>
          <c:xVal>
            <c:numRef>
              <c:f>Sheet1!$A$106:$A$111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Sheet1!$B$106:$B$111</c:f>
              <c:numCache>
                <c:formatCode>General</c:formatCode>
                <c:ptCount val="6"/>
                <c:pt idx="1">
                  <c:v>122.0</c:v>
                </c:pt>
                <c:pt idx="2">
                  <c:v>146.0</c:v>
                </c:pt>
                <c:pt idx="3">
                  <c:v>147.0</c:v>
                </c:pt>
                <c:pt idx="4">
                  <c:v>135.0</c:v>
                </c:pt>
                <c:pt idx="5">
                  <c:v>149.0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Sheet1!$C$105</c:f>
              <c:strCache>
                <c:ptCount val="1"/>
                <c:pt idx="0">
                  <c:v>NTYT</c:v>
                </c:pt>
              </c:strCache>
            </c:strRef>
          </c:tx>
          <c:xVal>
            <c:numRef>
              <c:f>Sheet1!$A$106:$A$111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Sheet1!$C$106:$C$111</c:f>
              <c:numCache>
                <c:formatCode>General</c:formatCode>
                <c:ptCount val="6"/>
                <c:pt idx="1">
                  <c:v>359.0</c:v>
                </c:pt>
                <c:pt idx="2">
                  <c:v>261.0</c:v>
                </c:pt>
                <c:pt idx="3">
                  <c:v>236.0</c:v>
                </c:pt>
                <c:pt idx="4">
                  <c:v>189.0</c:v>
                </c:pt>
                <c:pt idx="5">
                  <c:v>167.0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Sheet1!$D$105</c:f>
              <c:strCache>
                <c:ptCount val="1"/>
                <c:pt idx="0">
                  <c:v>NUYT</c:v>
                </c:pt>
              </c:strCache>
            </c:strRef>
          </c:tx>
          <c:xVal>
            <c:numRef>
              <c:f>Sheet1!$A$106:$A$111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Sheet1!$D$106:$D$111</c:f>
              <c:numCache>
                <c:formatCode>General</c:formatCode>
                <c:ptCount val="6"/>
                <c:pt idx="1">
                  <c:v>258.0</c:v>
                </c:pt>
                <c:pt idx="2">
                  <c:v>269.0</c:v>
                </c:pt>
                <c:pt idx="3">
                  <c:v>251.0</c:v>
                </c:pt>
                <c:pt idx="4">
                  <c:v>167.0</c:v>
                </c:pt>
                <c:pt idx="5">
                  <c:v>157.0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Sheet1!$E$105</c:f>
              <c:strCache>
                <c:ptCount val="1"/>
                <c:pt idx="0">
                  <c:v>NLYT</c:v>
                </c:pt>
              </c:strCache>
            </c:strRef>
          </c:tx>
          <c:xVal>
            <c:numRef>
              <c:f>Sheet1!$A$106:$A$111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Sheet1!$E$106:$E$111</c:f>
              <c:numCache>
                <c:formatCode>General</c:formatCode>
                <c:ptCount val="6"/>
                <c:pt idx="1">
                  <c:v>948.0</c:v>
                </c:pt>
                <c:pt idx="2">
                  <c:v>901.0</c:v>
                </c:pt>
                <c:pt idx="3">
                  <c:v>923.0</c:v>
                </c:pt>
                <c:pt idx="4">
                  <c:v>699.0</c:v>
                </c:pt>
                <c:pt idx="5">
                  <c:v>757.0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Sheet1!$F$105</c:f>
              <c:strCache>
                <c:ptCount val="1"/>
                <c:pt idx="0">
                  <c:v>PIYT</c:v>
                </c:pt>
              </c:strCache>
            </c:strRef>
          </c:tx>
          <c:xVal>
            <c:numRef>
              <c:f>Sheet1!$A$106:$A$111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Sheet1!$F$106:$F$111</c:f>
              <c:numCache>
                <c:formatCode>General</c:formatCode>
                <c:ptCount val="6"/>
                <c:pt idx="1">
                  <c:v>249.0</c:v>
                </c:pt>
                <c:pt idx="2">
                  <c:v>250.0</c:v>
                </c:pt>
                <c:pt idx="3">
                  <c:v>243.0</c:v>
                </c:pt>
                <c:pt idx="4">
                  <c:v>173.0</c:v>
                </c:pt>
                <c:pt idx="5">
                  <c:v>144.0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Sheet1!$G$105</c:f>
              <c:strCache>
                <c:ptCount val="1"/>
                <c:pt idx="0">
                  <c:v>NOYT</c:v>
                </c:pt>
              </c:strCache>
            </c:strRef>
          </c:tx>
          <c:xVal>
            <c:numRef>
              <c:f>Sheet1!$A$106:$A$111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Sheet1!$G$106:$G$111</c:f>
              <c:numCache>
                <c:formatCode>General</c:formatCode>
                <c:ptCount val="6"/>
                <c:pt idx="1">
                  <c:v>2695.0</c:v>
                </c:pt>
                <c:pt idx="2">
                  <c:v>2495.0</c:v>
                </c:pt>
                <c:pt idx="3">
                  <c:v>1883.0</c:v>
                </c:pt>
                <c:pt idx="4">
                  <c:v>1558.0</c:v>
                </c:pt>
                <c:pt idx="5">
                  <c:v>1269.0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Sheet1!$H$105</c:f>
              <c:strCache>
                <c:ptCount val="1"/>
                <c:pt idx="0">
                  <c:v>BRYT</c:v>
                </c:pt>
              </c:strCache>
            </c:strRef>
          </c:tx>
          <c:xVal>
            <c:numRef>
              <c:f>Sheet1!$A$106:$A$111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Sheet1!$H$106:$H$111</c:f>
              <c:numCache>
                <c:formatCode>General</c:formatCode>
                <c:ptCount val="6"/>
                <c:pt idx="1">
                  <c:v>1755.0</c:v>
                </c:pt>
                <c:pt idx="2">
                  <c:v>1446.0</c:v>
                </c:pt>
                <c:pt idx="3">
                  <c:v>1271.0</c:v>
                </c:pt>
                <c:pt idx="4">
                  <c:v>1134.0</c:v>
                </c:pt>
                <c:pt idx="5">
                  <c:v>1071.0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Sheet1!$I$105</c:f>
              <c:strCache>
                <c:ptCount val="1"/>
                <c:pt idx="0">
                  <c:v>OYT</c:v>
                </c:pt>
              </c:strCache>
            </c:strRef>
          </c:tx>
          <c:xVal>
            <c:numRef>
              <c:f>Sheet1!$A$106:$A$111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Sheet1!$I$106:$I$111</c:f>
              <c:numCache>
                <c:formatCode>General</c:formatCode>
                <c:ptCount val="6"/>
                <c:pt idx="1">
                  <c:v>25792.0</c:v>
                </c:pt>
                <c:pt idx="2">
                  <c:v>22616.0</c:v>
                </c:pt>
                <c:pt idx="3">
                  <c:v>18263.0</c:v>
                </c:pt>
                <c:pt idx="4">
                  <c:v>16227.0</c:v>
                </c:pt>
                <c:pt idx="5">
                  <c:v>15443.0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Sheet1!$J$105</c:f>
              <c:strCache>
                <c:ptCount val="1"/>
                <c:pt idx="0">
                  <c:v>MYT</c:v>
                </c:pt>
              </c:strCache>
            </c:strRef>
          </c:tx>
          <c:xVal>
            <c:numRef>
              <c:f>Sheet1!$A$106:$A$111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Sheet1!$J$106:$J$111</c:f>
              <c:numCache>
                <c:formatCode>General</c:formatCode>
                <c:ptCount val="6"/>
                <c:pt idx="1">
                  <c:v>5539.0</c:v>
                </c:pt>
                <c:pt idx="2">
                  <c:v>5607.0</c:v>
                </c:pt>
                <c:pt idx="3">
                  <c:v>5004.0</c:v>
                </c:pt>
                <c:pt idx="4">
                  <c:v>4361.0</c:v>
                </c:pt>
                <c:pt idx="5">
                  <c:v>4439.0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Sheet1!$K$105</c:f>
              <c:strCache>
                <c:ptCount val="1"/>
                <c:pt idx="0">
                  <c:v>SYT</c:v>
                </c:pt>
              </c:strCache>
            </c:strRef>
          </c:tx>
          <c:xVal>
            <c:numRef>
              <c:f>Sheet1!$A$106:$A$111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Sheet1!$K$106:$K$111</c:f>
              <c:numCache>
                <c:formatCode>General</c:formatCode>
                <c:ptCount val="6"/>
                <c:pt idx="1">
                  <c:v>9436.0</c:v>
                </c:pt>
                <c:pt idx="2">
                  <c:v>8718.0</c:v>
                </c:pt>
                <c:pt idx="3">
                  <c:v>7928.0</c:v>
                </c:pt>
                <c:pt idx="4">
                  <c:v>7708.0</c:v>
                </c:pt>
                <c:pt idx="5">
                  <c:v>7237.0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Sheet1!$L$105</c:f>
              <c:strCache>
                <c:ptCount val="1"/>
                <c:pt idx="0">
                  <c:v>BCYT</c:v>
                </c:pt>
              </c:strCache>
            </c:strRef>
          </c:tx>
          <c:xVal>
            <c:numRef>
              <c:f>Sheet1!$A$106:$A$111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Sheet1!$L$106:$L$111</c:f>
              <c:numCache>
                <c:formatCode>General</c:formatCode>
                <c:ptCount val="6"/>
                <c:pt idx="1">
                  <c:v>5719.0</c:v>
                </c:pt>
                <c:pt idx="2">
                  <c:v>5124.0</c:v>
                </c:pt>
                <c:pt idx="3">
                  <c:v>4420.0</c:v>
                </c:pt>
                <c:pt idx="4">
                  <c:v>3567.0</c:v>
                </c:pt>
                <c:pt idx="5">
                  <c:v>3627.0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505832"/>
        <c:axId val="-2144421720"/>
      </c:scatterChart>
      <c:valAx>
        <c:axId val="2085505832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4421720"/>
        <c:crosses val="autoZero"/>
        <c:crossBetween val="midCat"/>
        <c:majorUnit val="1.0"/>
      </c:valAx>
      <c:valAx>
        <c:axId val="-2144421720"/>
        <c:scaling>
          <c:orientation val="minMax"/>
          <c:max val="27000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55058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Rate, youth charged per 100,000 population aged 12 to 17 years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Sheet1!$B$113</c:f>
              <c:strCache>
                <c:ptCount val="1"/>
                <c:pt idx="0">
                  <c:v>YR27</c:v>
                </c:pt>
              </c:strCache>
            </c:strRef>
          </c:tx>
          <c:xVal>
            <c:numRef>
              <c:f>Sheet1!$A$114:$A$119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Sheet1!$B$114:$B$119</c:f>
              <c:numCache>
                <c:formatCode>General</c:formatCode>
                <c:ptCount val="6"/>
                <c:pt idx="1">
                  <c:v>4852.82</c:v>
                </c:pt>
                <c:pt idx="2">
                  <c:v>5779.89</c:v>
                </c:pt>
                <c:pt idx="3">
                  <c:v>5932.2</c:v>
                </c:pt>
                <c:pt idx="4">
                  <c:v>5430.41</c:v>
                </c:pt>
                <c:pt idx="5">
                  <c:v>6054.45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Sheet1!$C$113</c:f>
              <c:strCache>
                <c:ptCount val="1"/>
                <c:pt idx="0">
                  <c:v>NTR27</c:v>
                </c:pt>
              </c:strCache>
            </c:strRef>
          </c:tx>
          <c:xVal>
            <c:numRef>
              <c:f>Sheet1!$A$114:$A$119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Sheet1!$C$114:$C$119</c:f>
              <c:numCache>
                <c:formatCode>General</c:formatCode>
                <c:ptCount val="6"/>
                <c:pt idx="1">
                  <c:v>9324.68</c:v>
                </c:pt>
                <c:pt idx="2">
                  <c:v>7231.92</c:v>
                </c:pt>
                <c:pt idx="3">
                  <c:v>6872.45</c:v>
                </c:pt>
                <c:pt idx="4">
                  <c:v>5950.88</c:v>
                </c:pt>
                <c:pt idx="5">
                  <c:v>5540.81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Sheet1!$D$113</c:f>
              <c:strCache>
                <c:ptCount val="1"/>
                <c:pt idx="0">
                  <c:v>NUR27</c:v>
                </c:pt>
              </c:strCache>
            </c:strRef>
          </c:tx>
          <c:xVal>
            <c:numRef>
              <c:f>Sheet1!$A$114:$A$119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Sheet1!$D$114:$D$119</c:f>
              <c:numCache>
                <c:formatCode>General</c:formatCode>
                <c:ptCount val="6"/>
                <c:pt idx="1">
                  <c:v>6606.91</c:v>
                </c:pt>
                <c:pt idx="2">
                  <c:v>7003.38</c:v>
                </c:pt>
                <c:pt idx="3">
                  <c:v>6579.29</c:v>
                </c:pt>
                <c:pt idx="4">
                  <c:v>4468.83</c:v>
                </c:pt>
                <c:pt idx="5">
                  <c:v>4132.67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Sheet1!$E$113</c:f>
              <c:strCache>
                <c:ptCount val="1"/>
                <c:pt idx="0">
                  <c:v>NLR27</c:v>
                </c:pt>
              </c:strCache>
            </c:strRef>
          </c:tx>
          <c:xVal>
            <c:numRef>
              <c:f>Sheet1!$A$114:$A$119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Sheet1!$E$114:$E$119</c:f>
              <c:numCache>
                <c:formatCode>General</c:formatCode>
                <c:ptCount val="6"/>
                <c:pt idx="1">
                  <c:v>2754.05</c:v>
                </c:pt>
                <c:pt idx="2">
                  <c:v>2664.97</c:v>
                </c:pt>
                <c:pt idx="3">
                  <c:v>2790.37</c:v>
                </c:pt>
                <c:pt idx="4">
                  <c:v>2155.54</c:v>
                </c:pt>
                <c:pt idx="5">
                  <c:v>2362.08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Sheet1!$F$113</c:f>
              <c:strCache>
                <c:ptCount val="1"/>
                <c:pt idx="0">
                  <c:v>PIR27</c:v>
                </c:pt>
              </c:strCache>
            </c:strRef>
          </c:tx>
          <c:xVal>
            <c:numRef>
              <c:f>Sheet1!$A$114:$A$119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Sheet1!$F$114:$F$119</c:f>
              <c:numCache>
                <c:formatCode>General</c:formatCode>
                <c:ptCount val="6"/>
                <c:pt idx="1">
                  <c:v>2267.55</c:v>
                </c:pt>
                <c:pt idx="2">
                  <c:v>2319.76</c:v>
                </c:pt>
                <c:pt idx="3">
                  <c:v>2344.43</c:v>
                </c:pt>
                <c:pt idx="4">
                  <c:v>1728.79</c:v>
                </c:pt>
                <c:pt idx="5">
                  <c:v>1470.74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Sheet1!$G$113</c:f>
              <c:strCache>
                <c:ptCount val="1"/>
                <c:pt idx="0">
                  <c:v>NOR27</c:v>
                </c:pt>
              </c:strCache>
            </c:strRef>
          </c:tx>
          <c:xVal>
            <c:numRef>
              <c:f>Sheet1!$A$114:$A$119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Sheet1!$G$114:$G$119</c:f>
              <c:numCache>
                <c:formatCode>General</c:formatCode>
                <c:ptCount val="6"/>
                <c:pt idx="1">
                  <c:v>4200.17</c:v>
                </c:pt>
                <c:pt idx="2">
                  <c:v>3973.75</c:v>
                </c:pt>
                <c:pt idx="3">
                  <c:v>3089.77</c:v>
                </c:pt>
                <c:pt idx="4">
                  <c:v>2628.65</c:v>
                </c:pt>
                <c:pt idx="5">
                  <c:v>2192.05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Sheet1!$H$113</c:f>
              <c:strCache>
                <c:ptCount val="1"/>
                <c:pt idx="0">
                  <c:v>BRR27</c:v>
                </c:pt>
              </c:strCache>
            </c:strRef>
          </c:tx>
          <c:xVal>
            <c:numRef>
              <c:f>Sheet1!$A$114:$A$119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Sheet1!$H$114:$H$119</c:f>
              <c:numCache>
                <c:formatCode>General</c:formatCode>
                <c:ptCount val="6"/>
                <c:pt idx="1">
                  <c:v>3405.85</c:v>
                </c:pt>
                <c:pt idx="2">
                  <c:v>2871.78</c:v>
                </c:pt>
                <c:pt idx="3">
                  <c:v>2595.04</c:v>
                </c:pt>
                <c:pt idx="4">
                  <c:v>2370.9</c:v>
                </c:pt>
                <c:pt idx="5">
                  <c:v>2266.14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Sheet1!$I$113</c:f>
              <c:strCache>
                <c:ptCount val="1"/>
                <c:pt idx="0">
                  <c:v>OR27</c:v>
                </c:pt>
              </c:strCache>
            </c:strRef>
          </c:tx>
          <c:xVal>
            <c:numRef>
              <c:f>Sheet1!$A$114:$A$119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Sheet1!$I$114:$I$119</c:f>
              <c:numCache>
                <c:formatCode>General</c:formatCode>
                <c:ptCount val="6"/>
                <c:pt idx="1">
                  <c:v>2578.76</c:v>
                </c:pt>
                <c:pt idx="2">
                  <c:v>2301.41</c:v>
                </c:pt>
                <c:pt idx="3">
                  <c:v>1904.53</c:v>
                </c:pt>
                <c:pt idx="4">
                  <c:v>1730.46</c:v>
                </c:pt>
                <c:pt idx="5">
                  <c:v>1670.58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Sheet1!$J$113</c:f>
              <c:strCache>
                <c:ptCount val="1"/>
                <c:pt idx="0">
                  <c:v>MR27</c:v>
                </c:pt>
              </c:strCache>
            </c:strRef>
          </c:tx>
          <c:xVal>
            <c:numRef>
              <c:f>Sheet1!$A$114:$A$119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Sheet1!$J$114:$J$119</c:f>
              <c:numCache>
                <c:formatCode>General</c:formatCode>
                <c:ptCount val="6"/>
                <c:pt idx="1">
                  <c:v>5478.03</c:v>
                </c:pt>
                <c:pt idx="2">
                  <c:v>5572.06</c:v>
                </c:pt>
                <c:pt idx="3">
                  <c:v>5040.29</c:v>
                </c:pt>
                <c:pt idx="4">
                  <c:v>4435.79</c:v>
                </c:pt>
                <c:pt idx="5">
                  <c:v>4539.97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Sheet1!$K$113</c:f>
              <c:strCache>
                <c:ptCount val="1"/>
                <c:pt idx="0">
                  <c:v>SR27</c:v>
                </c:pt>
              </c:strCache>
            </c:strRef>
          </c:tx>
          <c:xVal>
            <c:numRef>
              <c:f>Sheet1!$A$114:$A$119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Sheet1!$K$114:$K$119</c:f>
              <c:numCache>
                <c:formatCode>General</c:formatCode>
                <c:ptCount val="6"/>
                <c:pt idx="1">
                  <c:v>11246.45</c:v>
                </c:pt>
                <c:pt idx="2">
                  <c:v>10427.11</c:v>
                </c:pt>
                <c:pt idx="3">
                  <c:v>9589.12</c:v>
                </c:pt>
                <c:pt idx="4">
                  <c:v>9358.91</c:v>
                </c:pt>
                <c:pt idx="5">
                  <c:v>8824.639999999999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Sheet1!$L$113</c:f>
              <c:strCache>
                <c:ptCount val="1"/>
                <c:pt idx="0">
                  <c:v>BCR27</c:v>
                </c:pt>
              </c:strCache>
            </c:strRef>
          </c:tx>
          <c:xVal>
            <c:numRef>
              <c:f>Sheet1!$A$114:$A$119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Sheet1!$L$114:$L$119</c:f>
              <c:numCache>
                <c:formatCode>General</c:formatCode>
                <c:ptCount val="6"/>
                <c:pt idx="1">
                  <c:v>1813.91</c:v>
                </c:pt>
                <c:pt idx="2">
                  <c:v>1652.63</c:v>
                </c:pt>
                <c:pt idx="3">
                  <c:v>1458.25</c:v>
                </c:pt>
                <c:pt idx="4">
                  <c:v>1199.53</c:v>
                </c:pt>
                <c:pt idx="5">
                  <c:v>1229.81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3104728"/>
        <c:axId val="-2139692152"/>
      </c:scatterChart>
      <c:valAx>
        <c:axId val="-2143104728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39692152"/>
        <c:crosses val="autoZero"/>
        <c:crossBetween val="midCat"/>
        <c:majorUnit val="1.0"/>
      </c:valAx>
      <c:valAx>
        <c:axId val="-21396921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Rate</a:t>
                </a:r>
                <a:r>
                  <a:rPr lang="en-US" baseline="0"/>
                  <a:t> per 100,000 population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31047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Total, youth not charged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Sheet1!$B$121</c:f>
              <c:strCache>
                <c:ptCount val="1"/>
                <c:pt idx="0">
                  <c:v>YYN</c:v>
                </c:pt>
              </c:strCache>
            </c:strRef>
          </c:tx>
          <c:xVal>
            <c:numRef>
              <c:f>Sheet1!$A$122:$A$127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Sheet1!$B$122:$B$127</c:f>
              <c:numCache>
                <c:formatCode>General</c:formatCode>
                <c:ptCount val="6"/>
                <c:pt idx="1">
                  <c:v>404.0</c:v>
                </c:pt>
                <c:pt idx="2">
                  <c:v>340.0</c:v>
                </c:pt>
                <c:pt idx="3">
                  <c:v>438.0</c:v>
                </c:pt>
                <c:pt idx="4">
                  <c:v>492.0</c:v>
                </c:pt>
                <c:pt idx="5">
                  <c:v>647.0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Sheet1!$C$121</c:f>
              <c:strCache>
                <c:ptCount val="1"/>
                <c:pt idx="0">
                  <c:v>NTYN</c:v>
                </c:pt>
              </c:strCache>
            </c:strRef>
          </c:tx>
          <c:xVal>
            <c:numRef>
              <c:f>Sheet1!$A$122:$A$127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Sheet1!$C$122:$C$127</c:f>
              <c:numCache>
                <c:formatCode>General</c:formatCode>
                <c:ptCount val="6"/>
                <c:pt idx="1">
                  <c:v>1164.0</c:v>
                </c:pt>
                <c:pt idx="2">
                  <c:v>1083.0</c:v>
                </c:pt>
                <c:pt idx="3">
                  <c:v>823.0</c:v>
                </c:pt>
                <c:pt idx="4">
                  <c:v>784.0</c:v>
                </c:pt>
                <c:pt idx="5">
                  <c:v>660.0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Sheet1!$D$121</c:f>
              <c:strCache>
                <c:ptCount val="1"/>
                <c:pt idx="0">
                  <c:v>NUYN</c:v>
                </c:pt>
              </c:strCache>
            </c:strRef>
          </c:tx>
          <c:xVal>
            <c:numRef>
              <c:f>Sheet1!$A$122:$A$127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Sheet1!$D$122:$D$127</c:f>
              <c:numCache>
                <c:formatCode>General</c:formatCode>
                <c:ptCount val="6"/>
                <c:pt idx="1">
                  <c:v>803.0</c:v>
                </c:pt>
                <c:pt idx="2">
                  <c:v>729.0</c:v>
                </c:pt>
                <c:pt idx="3">
                  <c:v>715.0</c:v>
                </c:pt>
                <c:pt idx="4">
                  <c:v>717.0</c:v>
                </c:pt>
                <c:pt idx="5">
                  <c:v>710.0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Sheet1!$E$121</c:f>
              <c:strCache>
                <c:ptCount val="1"/>
                <c:pt idx="0">
                  <c:v>NLYN</c:v>
                </c:pt>
              </c:strCache>
            </c:strRef>
          </c:tx>
          <c:xVal>
            <c:numRef>
              <c:f>Sheet1!$A$122:$A$127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Sheet1!$E$122:$E$127</c:f>
              <c:numCache>
                <c:formatCode>General</c:formatCode>
                <c:ptCount val="6"/>
                <c:pt idx="1">
                  <c:v>1431.0</c:v>
                </c:pt>
                <c:pt idx="2">
                  <c:v>1277.0</c:v>
                </c:pt>
                <c:pt idx="3">
                  <c:v>1101.0</c:v>
                </c:pt>
                <c:pt idx="4">
                  <c:v>978.0</c:v>
                </c:pt>
                <c:pt idx="5">
                  <c:v>881.0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Sheet1!$F$121</c:f>
              <c:strCache>
                <c:ptCount val="1"/>
                <c:pt idx="0">
                  <c:v>PIYN</c:v>
                </c:pt>
              </c:strCache>
            </c:strRef>
          </c:tx>
          <c:xVal>
            <c:numRef>
              <c:f>Sheet1!$A$122:$A$127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Sheet1!$F$122:$F$127</c:f>
              <c:numCache>
                <c:formatCode>General</c:formatCode>
                <c:ptCount val="6"/>
                <c:pt idx="1">
                  <c:v>415.0</c:v>
                </c:pt>
                <c:pt idx="2">
                  <c:v>448.0</c:v>
                </c:pt>
                <c:pt idx="3">
                  <c:v>270.0</c:v>
                </c:pt>
                <c:pt idx="4">
                  <c:v>216.0</c:v>
                </c:pt>
                <c:pt idx="5">
                  <c:v>158.0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Sheet1!$G$121</c:f>
              <c:strCache>
                <c:ptCount val="1"/>
                <c:pt idx="0">
                  <c:v>NOYN</c:v>
                </c:pt>
              </c:strCache>
            </c:strRef>
          </c:tx>
          <c:xVal>
            <c:numRef>
              <c:f>Sheet1!$A$122:$A$127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Sheet1!$G$122:$G$127</c:f>
              <c:numCache>
                <c:formatCode>General</c:formatCode>
                <c:ptCount val="6"/>
                <c:pt idx="1">
                  <c:v>3890.0</c:v>
                </c:pt>
                <c:pt idx="2">
                  <c:v>3921.0</c:v>
                </c:pt>
                <c:pt idx="3">
                  <c:v>2871.0</c:v>
                </c:pt>
                <c:pt idx="4">
                  <c:v>2360.0</c:v>
                </c:pt>
                <c:pt idx="5">
                  <c:v>2047.0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Sheet1!$H$121</c:f>
              <c:strCache>
                <c:ptCount val="1"/>
                <c:pt idx="0">
                  <c:v>BRYN</c:v>
                </c:pt>
              </c:strCache>
            </c:strRef>
          </c:tx>
          <c:xVal>
            <c:numRef>
              <c:f>Sheet1!$A$122:$A$127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Sheet1!$H$122:$H$127</c:f>
              <c:numCache>
                <c:formatCode>General</c:formatCode>
                <c:ptCount val="6"/>
                <c:pt idx="1">
                  <c:v>2216.0</c:v>
                </c:pt>
                <c:pt idx="2">
                  <c:v>2196.0</c:v>
                </c:pt>
                <c:pt idx="3">
                  <c:v>1511.0</c:v>
                </c:pt>
                <c:pt idx="4">
                  <c:v>1452.0</c:v>
                </c:pt>
                <c:pt idx="5">
                  <c:v>1198.0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Sheet1!$I$121</c:f>
              <c:strCache>
                <c:ptCount val="1"/>
                <c:pt idx="0">
                  <c:v>OYN</c:v>
                </c:pt>
              </c:strCache>
            </c:strRef>
          </c:tx>
          <c:xVal>
            <c:numRef>
              <c:f>Sheet1!$A$122:$A$127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Sheet1!$I$122:$I$127</c:f>
              <c:numCache>
                <c:formatCode>General</c:formatCode>
                <c:ptCount val="6"/>
                <c:pt idx="1">
                  <c:v>29736.0</c:v>
                </c:pt>
                <c:pt idx="2">
                  <c:v>27571.0</c:v>
                </c:pt>
                <c:pt idx="3">
                  <c:v>22184.0</c:v>
                </c:pt>
                <c:pt idx="4">
                  <c:v>20596.0</c:v>
                </c:pt>
                <c:pt idx="5">
                  <c:v>19863.0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Sheet1!$J$121</c:f>
              <c:strCache>
                <c:ptCount val="1"/>
                <c:pt idx="0">
                  <c:v>MYN</c:v>
                </c:pt>
              </c:strCache>
            </c:strRef>
          </c:tx>
          <c:xVal>
            <c:numRef>
              <c:f>Sheet1!$A$122:$A$127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Sheet1!$J$122:$J$127</c:f>
              <c:numCache>
                <c:formatCode>General</c:formatCode>
                <c:ptCount val="6"/>
                <c:pt idx="1">
                  <c:v>4913.0</c:v>
                </c:pt>
                <c:pt idx="2">
                  <c:v>4723.0</c:v>
                </c:pt>
                <c:pt idx="3">
                  <c:v>4326.0</c:v>
                </c:pt>
                <c:pt idx="4">
                  <c:v>4133.0</c:v>
                </c:pt>
                <c:pt idx="5">
                  <c:v>4175.0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Sheet1!$K$121</c:f>
              <c:strCache>
                <c:ptCount val="1"/>
                <c:pt idx="0">
                  <c:v>SYN</c:v>
                </c:pt>
              </c:strCache>
            </c:strRef>
          </c:tx>
          <c:xVal>
            <c:numRef>
              <c:f>Sheet1!$A$122:$A$127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Sheet1!$K$122:$K$127</c:f>
              <c:numCache>
                <c:formatCode>General</c:formatCode>
                <c:ptCount val="6"/>
                <c:pt idx="1">
                  <c:v>7370.0</c:v>
                </c:pt>
                <c:pt idx="2">
                  <c:v>6644.0</c:v>
                </c:pt>
                <c:pt idx="3">
                  <c:v>4994.0</c:v>
                </c:pt>
                <c:pt idx="4">
                  <c:v>4321.0</c:v>
                </c:pt>
                <c:pt idx="5">
                  <c:v>4330.0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Sheet1!$L$121</c:f>
              <c:strCache>
                <c:ptCount val="1"/>
                <c:pt idx="0">
                  <c:v>BCYN</c:v>
                </c:pt>
              </c:strCache>
            </c:strRef>
          </c:tx>
          <c:xVal>
            <c:numRef>
              <c:f>Sheet1!$A$122:$A$127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Sheet1!$L$122:$L$127</c:f>
              <c:numCache>
                <c:formatCode>General</c:formatCode>
                <c:ptCount val="6"/>
                <c:pt idx="1">
                  <c:v>12999.0</c:v>
                </c:pt>
                <c:pt idx="2">
                  <c:v>12116.0</c:v>
                </c:pt>
                <c:pt idx="3">
                  <c:v>10318.0</c:v>
                </c:pt>
                <c:pt idx="4">
                  <c:v>8632.0</c:v>
                </c:pt>
                <c:pt idx="5">
                  <c:v>7409.0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0352184"/>
        <c:axId val="-2141975896"/>
      </c:scatterChart>
      <c:valAx>
        <c:axId val="-2140352184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1975896"/>
        <c:crosses val="autoZero"/>
        <c:crossBetween val="midCat"/>
        <c:majorUnit val="1.0"/>
      </c:valAx>
      <c:valAx>
        <c:axId val="-2141975896"/>
        <c:scaling>
          <c:orientation val="minMax"/>
          <c:max val="300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03521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Rate, youth not charged per 100,000 population aged 12 to 17 years 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Sheet1!$B$129</c:f>
              <c:strCache>
                <c:ptCount val="1"/>
                <c:pt idx="0">
                  <c:v>YRYN</c:v>
                </c:pt>
              </c:strCache>
            </c:strRef>
          </c:tx>
          <c:xVal>
            <c:numRef>
              <c:f>Sheet1!$A$130:$A$135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Sheet1!$B$130:$B$135</c:f>
              <c:numCache>
                <c:formatCode>General</c:formatCode>
                <c:ptCount val="6"/>
                <c:pt idx="1">
                  <c:v>16070.01</c:v>
                </c:pt>
                <c:pt idx="2">
                  <c:v>13460.02</c:v>
                </c:pt>
                <c:pt idx="3">
                  <c:v>17675.54</c:v>
                </c:pt>
                <c:pt idx="4">
                  <c:v>19790.83</c:v>
                </c:pt>
                <c:pt idx="5">
                  <c:v>26290.13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Sheet1!$C$129</c:f>
              <c:strCache>
                <c:ptCount val="1"/>
                <c:pt idx="0">
                  <c:v>NTRYN</c:v>
                </c:pt>
              </c:strCache>
            </c:strRef>
          </c:tx>
          <c:xVal>
            <c:numRef>
              <c:f>Sheet1!$A$130:$A$135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Sheet1!$C$130:$C$135</c:f>
              <c:numCache>
                <c:formatCode>General</c:formatCode>
                <c:ptCount val="6"/>
                <c:pt idx="1">
                  <c:v>30233.77</c:v>
                </c:pt>
                <c:pt idx="2">
                  <c:v>30008.31</c:v>
                </c:pt>
                <c:pt idx="3">
                  <c:v>23966.22</c:v>
                </c:pt>
                <c:pt idx="4">
                  <c:v>24685.14</c:v>
                </c:pt>
                <c:pt idx="5">
                  <c:v>21897.81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Sheet1!$D$129</c:f>
              <c:strCache>
                <c:ptCount val="1"/>
                <c:pt idx="0">
                  <c:v>NURYN</c:v>
                </c:pt>
              </c:strCache>
            </c:strRef>
          </c:tx>
          <c:xVal>
            <c:numRef>
              <c:f>Sheet1!$A$130:$A$135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Sheet1!$D$130:$D$135</c:f>
              <c:numCache>
                <c:formatCode>General</c:formatCode>
                <c:ptCount val="6"/>
                <c:pt idx="1">
                  <c:v>20563.38</c:v>
                </c:pt>
                <c:pt idx="2">
                  <c:v>18979.43</c:v>
                </c:pt>
                <c:pt idx="3">
                  <c:v>18741.81</c:v>
                </c:pt>
                <c:pt idx="4">
                  <c:v>19186.51</c:v>
                </c:pt>
                <c:pt idx="5">
                  <c:v>18689.13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Sheet1!$E$129</c:f>
              <c:strCache>
                <c:ptCount val="1"/>
                <c:pt idx="0">
                  <c:v>NRYN</c:v>
                </c:pt>
              </c:strCache>
            </c:strRef>
          </c:tx>
          <c:xVal>
            <c:numRef>
              <c:f>Sheet1!$A$130:$A$135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Sheet1!$E$130:$E$135</c:f>
              <c:numCache>
                <c:formatCode>General</c:formatCode>
                <c:ptCount val="6"/>
                <c:pt idx="1">
                  <c:v>4157.23</c:v>
                </c:pt>
                <c:pt idx="2">
                  <c:v>3777.1</c:v>
                </c:pt>
                <c:pt idx="3">
                  <c:v>3328.5</c:v>
                </c:pt>
                <c:pt idx="4">
                  <c:v>3015.91</c:v>
                </c:pt>
                <c:pt idx="5">
                  <c:v>2749.0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Sheet1!$F$129</c:f>
              <c:strCache>
                <c:ptCount val="1"/>
                <c:pt idx="0">
                  <c:v>PIRYN</c:v>
                </c:pt>
              </c:strCache>
            </c:strRef>
          </c:tx>
          <c:xVal>
            <c:numRef>
              <c:f>Sheet1!$A$130:$A$135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Sheet1!$F$130:$F$135</c:f>
              <c:numCache>
                <c:formatCode>General</c:formatCode>
                <c:ptCount val="6"/>
                <c:pt idx="1">
                  <c:v>3779.26</c:v>
                </c:pt>
                <c:pt idx="2">
                  <c:v>4157.0</c:v>
                </c:pt>
                <c:pt idx="3">
                  <c:v>2604.92</c:v>
                </c:pt>
                <c:pt idx="4">
                  <c:v>2158.49</c:v>
                </c:pt>
                <c:pt idx="5">
                  <c:v>1613.73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Sheet1!$G$129</c:f>
              <c:strCache>
                <c:ptCount val="1"/>
                <c:pt idx="0">
                  <c:v>NORYN</c:v>
                </c:pt>
              </c:strCache>
            </c:strRef>
          </c:tx>
          <c:xVal>
            <c:numRef>
              <c:f>Sheet1!$A$130:$A$135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Sheet1!$G$130:$G$135</c:f>
              <c:numCache>
                <c:formatCode>General</c:formatCode>
                <c:ptCount val="6"/>
                <c:pt idx="1">
                  <c:v>6062.59</c:v>
                </c:pt>
                <c:pt idx="2">
                  <c:v>6244.92</c:v>
                </c:pt>
                <c:pt idx="3">
                  <c:v>4710.96</c:v>
                </c:pt>
                <c:pt idx="4">
                  <c:v>3981.78</c:v>
                </c:pt>
                <c:pt idx="5">
                  <c:v>3535.96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Sheet1!$H$129</c:f>
              <c:strCache>
                <c:ptCount val="1"/>
                <c:pt idx="0">
                  <c:v>BRRYN</c:v>
                </c:pt>
              </c:strCache>
            </c:strRef>
          </c:tx>
          <c:xVal>
            <c:numRef>
              <c:f>Sheet1!$A$130:$A$135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Sheet1!$H$130:$H$135</c:f>
              <c:numCache>
                <c:formatCode>General</c:formatCode>
                <c:ptCount val="6"/>
                <c:pt idx="1">
                  <c:v>4300.49</c:v>
                </c:pt>
                <c:pt idx="2">
                  <c:v>4361.3</c:v>
                </c:pt>
                <c:pt idx="3">
                  <c:v>3085.06</c:v>
                </c:pt>
                <c:pt idx="4">
                  <c:v>3035.75</c:v>
                </c:pt>
                <c:pt idx="5">
                  <c:v>2534.86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Sheet1!$I$129</c:f>
              <c:strCache>
                <c:ptCount val="1"/>
                <c:pt idx="0">
                  <c:v>ORYN</c:v>
                </c:pt>
              </c:strCache>
            </c:strRef>
          </c:tx>
          <c:xVal>
            <c:numRef>
              <c:f>Sheet1!$A$130:$A$135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Sheet1!$I$130:$I$135</c:f>
              <c:numCache>
                <c:formatCode>General</c:formatCode>
                <c:ptCount val="6"/>
                <c:pt idx="1">
                  <c:v>2973.09</c:v>
                </c:pt>
                <c:pt idx="2">
                  <c:v>2805.63</c:v>
                </c:pt>
                <c:pt idx="3">
                  <c:v>2313.43</c:v>
                </c:pt>
                <c:pt idx="4">
                  <c:v>2196.37</c:v>
                </c:pt>
                <c:pt idx="5">
                  <c:v>2148.72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Sheet1!$J$129</c:f>
              <c:strCache>
                <c:ptCount val="1"/>
                <c:pt idx="0">
                  <c:v>MRYN</c:v>
                </c:pt>
              </c:strCache>
            </c:strRef>
          </c:tx>
          <c:xVal>
            <c:numRef>
              <c:f>Sheet1!$A$130:$A$135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Sheet1!$J$130:$J$135</c:f>
              <c:numCache>
                <c:formatCode>General</c:formatCode>
                <c:ptCount val="6"/>
                <c:pt idx="1">
                  <c:v>4858.92</c:v>
                </c:pt>
                <c:pt idx="2">
                  <c:v>4693.57</c:v>
                </c:pt>
                <c:pt idx="3">
                  <c:v>4357.37</c:v>
                </c:pt>
                <c:pt idx="4">
                  <c:v>4203.88</c:v>
                </c:pt>
                <c:pt idx="5">
                  <c:v>4269.96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Sheet1!$K$129</c:f>
              <c:strCache>
                <c:ptCount val="1"/>
                <c:pt idx="0">
                  <c:v>SRYN</c:v>
                </c:pt>
              </c:strCache>
            </c:strRef>
          </c:tx>
          <c:xVal>
            <c:numRef>
              <c:f>Sheet1!$A$130:$A$135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Sheet1!$K$130:$K$135</c:f>
              <c:numCache>
                <c:formatCode>General</c:formatCode>
                <c:ptCount val="6"/>
                <c:pt idx="1">
                  <c:v>8784.059999999999</c:v>
                </c:pt>
                <c:pt idx="2">
                  <c:v>7946.51</c:v>
                </c:pt>
                <c:pt idx="3">
                  <c:v>6040.37</c:v>
                </c:pt>
                <c:pt idx="4">
                  <c:v>5246.48</c:v>
                </c:pt>
                <c:pt idx="5">
                  <c:v>5279.91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Sheet1!$L$129</c:f>
              <c:strCache>
                <c:ptCount val="1"/>
                <c:pt idx="0">
                  <c:v>BCRYN</c:v>
                </c:pt>
              </c:strCache>
            </c:strRef>
          </c:tx>
          <c:xVal>
            <c:numRef>
              <c:f>Sheet1!$A$130:$A$135</c:f>
              <c:numCache>
                <c:formatCode>General</c:formatCode>
                <c:ptCount val="6"/>
                <c:pt idx="0">
                  <c:v>2010.0</c:v>
                </c:pt>
                <c:pt idx="1">
                  <c:v>2011.0</c:v>
                </c:pt>
                <c:pt idx="2">
                  <c:v>2012.0</c:v>
                </c:pt>
                <c:pt idx="3">
                  <c:v>2013.0</c:v>
                </c:pt>
                <c:pt idx="4">
                  <c:v>2014.0</c:v>
                </c:pt>
                <c:pt idx="5">
                  <c:v>2015.0</c:v>
                </c:pt>
              </c:numCache>
            </c:numRef>
          </c:xVal>
          <c:yVal>
            <c:numRef>
              <c:f>Sheet1!$L$130:$L$135</c:f>
              <c:numCache>
                <c:formatCode>General</c:formatCode>
                <c:ptCount val="6"/>
                <c:pt idx="1">
                  <c:v>4122.94</c:v>
                </c:pt>
                <c:pt idx="2">
                  <c:v>3907.74</c:v>
                </c:pt>
                <c:pt idx="3">
                  <c:v>3404.13</c:v>
                </c:pt>
                <c:pt idx="4">
                  <c:v>2902.81</c:v>
                </c:pt>
                <c:pt idx="5">
                  <c:v>2512.17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0528648"/>
        <c:axId val="-2145214328"/>
      </c:scatterChart>
      <c:valAx>
        <c:axId val="-2140528648"/>
        <c:scaling>
          <c:orientation val="minMax"/>
          <c:max val="2015.0"/>
          <c:min val="201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5214328"/>
        <c:crosses val="autoZero"/>
        <c:crossBetween val="midCat"/>
        <c:majorUnit val="1.0"/>
      </c:valAx>
      <c:valAx>
        <c:axId val="-2145214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u="none" strike="noStrike" baseline="0">
                    <a:effectLst/>
                  </a:rPr>
                  <a:t>Rate per 100,000 population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05286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10160</xdr:colOff>
      <xdr:row>7</xdr:row>
      <xdr:rowOff>182880</xdr:rowOff>
    </xdr:from>
    <xdr:to>
      <xdr:col>18</xdr:col>
      <xdr:colOff>467360</xdr:colOff>
      <xdr:row>22</xdr:row>
      <xdr:rowOff>30480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8</xdr:row>
      <xdr:rowOff>0</xdr:rowOff>
    </xdr:from>
    <xdr:to>
      <xdr:col>24</xdr:col>
      <xdr:colOff>457200</xdr:colOff>
      <xdr:row>22</xdr:row>
      <xdr:rowOff>40640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24</xdr:row>
      <xdr:rowOff>10160</xdr:rowOff>
    </xdr:from>
    <xdr:to>
      <xdr:col>18</xdr:col>
      <xdr:colOff>457200</xdr:colOff>
      <xdr:row>38</xdr:row>
      <xdr:rowOff>50800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802640</xdr:colOff>
      <xdr:row>24</xdr:row>
      <xdr:rowOff>10160</xdr:rowOff>
    </xdr:from>
    <xdr:to>
      <xdr:col>24</xdr:col>
      <xdr:colOff>436880</xdr:colOff>
      <xdr:row>38</xdr:row>
      <xdr:rowOff>50800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40</xdr:row>
      <xdr:rowOff>10160</xdr:rowOff>
    </xdr:from>
    <xdr:to>
      <xdr:col>18</xdr:col>
      <xdr:colOff>457200</xdr:colOff>
      <xdr:row>54</xdr:row>
      <xdr:rowOff>50800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10160</xdr:colOff>
      <xdr:row>39</xdr:row>
      <xdr:rowOff>162560</xdr:rowOff>
    </xdr:from>
    <xdr:to>
      <xdr:col>24</xdr:col>
      <xdr:colOff>467360</xdr:colOff>
      <xdr:row>54</xdr:row>
      <xdr:rowOff>10160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56</xdr:row>
      <xdr:rowOff>0</xdr:rowOff>
    </xdr:from>
    <xdr:to>
      <xdr:col>18</xdr:col>
      <xdr:colOff>457200</xdr:colOff>
      <xdr:row>70</xdr:row>
      <xdr:rowOff>40640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802640</xdr:colOff>
      <xdr:row>56</xdr:row>
      <xdr:rowOff>10160</xdr:rowOff>
    </xdr:from>
    <xdr:to>
      <xdr:col>24</xdr:col>
      <xdr:colOff>436880</xdr:colOff>
      <xdr:row>70</xdr:row>
      <xdr:rowOff>50800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812800</xdr:colOff>
      <xdr:row>71</xdr:row>
      <xdr:rowOff>182880</xdr:rowOff>
    </xdr:from>
    <xdr:to>
      <xdr:col>18</xdr:col>
      <xdr:colOff>447040</xdr:colOff>
      <xdr:row>86</xdr:row>
      <xdr:rowOff>30480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0</xdr:colOff>
      <xdr:row>72</xdr:row>
      <xdr:rowOff>0</xdr:rowOff>
    </xdr:from>
    <xdr:to>
      <xdr:col>24</xdr:col>
      <xdr:colOff>457200</xdr:colOff>
      <xdr:row>86</xdr:row>
      <xdr:rowOff>40640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10160</xdr:colOff>
      <xdr:row>88</xdr:row>
      <xdr:rowOff>0</xdr:rowOff>
    </xdr:from>
    <xdr:to>
      <xdr:col>18</xdr:col>
      <xdr:colOff>467360</xdr:colOff>
      <xdr:row>102</xdr:row>
      <xdr:rowOff>40640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10160</xdr:colOff>
      <xdr:row>88</xdr:row>
      <xdr:rowOff>10160</xdr:rowOff>
    </xdr:from>
    <xdr:to>
      <xdr:col>24</xdr:col>
      <xdr:colOff>467360</xdr:colOff>
      <xdr:row>102</xdr:row>
      <xdr:rowOff>50800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802640</xdr:colOff>
      <xdr:row>103</xdr:row>
      <xdr:rowOff>182880</xdr:rowOff>
    </xdr:from>
    <xdr:to>
      <xdr:col>18</xdr:col>
      <xdr:colOff>436880</xdr:colOff>
      <xdr:row>118</xdr:row>
      <xdr:rowOff>30480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20320</xdr:colOff>
      <xdr:row>104</xdr:row>
      <xdr:rowOff>10160</xdr:rowOff>
    </xdr:from>
    <xdr:to>
      <xdr:col>24</xdr:col>
      <xdr:colOff>477520</xdr:colOff>
      <xdr:row>118</xdr:row>
      <xdr:rowOff>50800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812800</xdr:colOff>
      <xdr:row>120</xdr:row>
      <xdr:rowOff>0</xdr:rowOff>
    </xdr:from>
    <xdr:to>
      <xdr:col>18</xdr:col>
      <xdr:colOff>447040</xdr:colOff>
      <xdr:row>134</xdr:row>
      <xdr:rowOff>40640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0</xdr:colOff>
      <xdr:row>120</xdr:row>
      <xdr:rowOff>5080</xdr:rowOff>
    </xdr:from>
    <xdr:to>
      <xdr:col>24</xdr:col>
      <xdr:colOff>457200</xdr:colOff>
      <xdr:row>134</xdr:row>
      <xdr:rowOff>45720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36"/>
  <sheetViews>
    <sheetView tabSelected="1" zoomScale="125" zoomScaleNormal="125" zoomScalePageLayoutView="125" workbookViewId="0">
      <selection sqref="A1:XFD7"/>
    </sheetView>
  </sheetViews>
  <sheetFormatPr baseColWidth="10" defaultRowHeight="15" x14ac:dyDescent="0"/>
  <sheetData>
    <row r="1" spans="1:200" s="3" customFormat="1">
      <c r="A1" s="1" t="s">
        <v>0</v>
      </c>
      <c r="B1" s="1" t="s">
        <v>1</v>
      </c>
      <c r="C1" s="1" t="s">
        <v>2</v>
      </c>
      <c r="D1" s="1" t="s">
        <v>196</v>
      </c>
      <c r="E1" s="2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4" t="s">
        <v>26</v>
      </c>
      <c r="AC1" s="4" t="s">
        <v>27</v>
      </c>
      <c r="AD1" s="4" t="s">
        <v>166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177</v>
      </c>
      <c r="AQ1" s="4" t="s">
        <v>39</v>
      </c>
      <c r="AR1" s="4" t="s">
        <v>167</v>
      </c>
      <c r="AS1" s="4" t="s">
        <v>40</v>
      </c>
      <c r="AT1" s="4" t="s">
        <v>41</v>
      </c>
      <c r="AU1" s="4" t="s">
        <v>42</v>
      </c>
      <c r="AV1" s="4" t="s">
        <v>43</v>
      </c>
      <c r="AW1" s="4" t="s">
        <v>44</v>
      </c>
      <c r="AX1" s="4" t="s">
        <v>45</v>
      </c>
      <c r="AY1" s="4" t="s">
        <v>46</v>
      </c>
      <c r="AZ1" s="4" t="s">
        <v>47</v>
      </c>
      <c r="BA1" s="4" t="s">
        <v>48</v>
      </c>
      <c r="BB1" s="4" t="s">
        <v>49</v>
      </c>
      <c r="BC1" s="4" t="s">
        <v>50</v>
      </c>
      <c r="BD1" s="4" t="s">
        <v>51</v>
      </c>
      <c r="BE1" s="4" t="s">
        <v>52</v>
      </c>
      <c r="BF1" s="4" t="s">
        <v>168</v>
      </c>
      <c r="BG1" s="4" t="s">
        <v>53</v>
      </c>
      <c r="BH1" s="4" t="s">
        <v>54</v>
      </c>
      <c r="BI1" s="4" t="s">
        <v>55</v>
      </c>
      <c r="BJ1" s="4" t="s">
        <v>56</v>
      </c>
      <c r="BK1" s="4" t="s">
        <v>44</v>
      </c>
      <c r="BL1" s="4" t="s">
        <v>57</v>
      </c>
      <c r="BM1" s="4" t="s">
        <v>58</v>
      </c>
      <c r="BN1" s="4" t="s">
        <v>59</v>
      </c>
      <c r="BO1" s="4" t="s">
        <v>60</v>
      </c>
      <c r="BP1" s="4" t="s">
        <v>61</v>
      </c>
      <c r="BQ1" s="4" t="s">
        <v>178</v>
      </c>
      <c r="BR1" s="4" t="s">
        <v>63</v>
      </c>
      <c r="BS1" s="4" t="s">
        <v>64</v>
      </c>
      <c r="BT1" s="4" t="s">
        <v>169</v>
      </c>
      <c r="BU1" s="4" t="s">
        <v>65</v>
      </c>
      <c r="BV1" s="4" t="s">
        <v>66</v>
      </c>
      <c r="BW1" s="4" t="s">
        <v>67</v>
      </c>
      <c r="BX1" s="4" t="s">
        <v>68</v>
      </c>
      <c r="BY1" s="4" t="s">
        <v>69</v>
      </c>
      <c r="BZ1" s="4" t="s">
        <v>70</v>
      </c>
      <c r="CA1" s="4" t="s">
        <v>71</v>
      </c>
      <c r="CB1" s="4" t="s">
        <v>72</v>
      </c>
      <c r="CC1" s="4" t="s">
        <v>73</v>
      </c>
      <c r="CD1" s="4" t="s">
        <v>74</v>
      </c>
      <c r="CE1" s="4" t="s">
        <v>75</v>
      </c>
      <c r="CF1" s="4" t="s">
        <v>76</v>
      </c>
      <c r="CG1" s="4" t="s">
        <v>77</v>
      </c>
      <c r="CH1" s="4" t="s">
        <v>170</v>
      </c>
      <c r="CI1" s="4" t="s">
        <v>78</v>
      </c>
      <c r="CJ1" s="4" t="s">
        <v>79</v>
      </c>
      <c r="CK1" s="4" t="s">
        <v>80</v>
      </c>
      <c r="CL1" s="4" t="s">
        <v>81</v>
      </c>
      <c r="CM1" s="4" t="s">
        <v>82</v>
      </c>
      <c r="CN1" s="4" t="s">
        <v>83</v>
      </c>
      <c r="CO1" s="4" t="s">
        <v>84</v>
      </c>
      <c r="CP1" s="4" t="s">
        <v>85</v>
      </c>
      <c r="CQ1" s="4" t="s">
        <v>86</v>
      </c>
      <c r="CR1" s="4" t="s">
        <v>87</v>
      </c>
      <c r="CS1" s="4" t="s">
        <v>88</v>
      </c>
      <c r="CT1" s="4" t="s">
        <v>89</v>
      </c>
      <c r="CU1" s="4" t="s">
        <v>90</v>
      </c>
      <c r="CV1" s="4" t="s">
        <v>171</v>
      </c>
      <c r="CW1" s="4" t="s">
        <v>91</v>
      </c>
      <c r="CX1" s="4" t="s">
        <v>92</v>
      </c>
      <c r="CY1" s="4" t="s">
        <v>93</v>
      </c>
      <c r="CZ1" s="4" t="s">
        <v>94</v>
      </c>
      <c r="DA1" s="4" t="s">
        <v>95</v>
      </c>
      <c r="DB1" s="4" t="s">
        <v>96</v>
      </c>
      <c r="DC1" s="4" t="s">
        <v>97</v>
      </c>
      <c r="DD1" s="4" t="s">
        <v>98</v>
      </c>
      <c r="DE1" s="4" t="s">
        <v>99</v>
      </c>
      <c r="DF1" s="4" t="s">
        <v>100</v>
      </c>
      <c r="DG1" s="4" t="s">
        <v>101</v>
      </c>
      <c r="DH1" s="4" t="s">
        <v>102</v>
      </c>
      <c r="DI1" s="4" t="s">
        <v>103</v>
      </c>
      <c r="DJ1" s="4" t="s">
        <v>172</v>
      </c>
      <c r="DK1" s="4" t="s">
        <v>104</v>
      </c>
      <c r="DL1" s="4" t="s">
        <v>105</v>
      </c>
      <c r="DM1" s="4" t="s">
        <v>106</v>
      </c>
      <c r="DN1" s="4" t="s">
        <v>107</v>
      </c>
      <c r="DO1" s="4" t="s">
        <v>108</v>
      </c>
      <c r="DP1" s="4" t="s">
        <v>109</v>
      </c>
      <c r="DQ1" s="4" t="s">
        <v>110</v>
      </c>
      <c r="DR1" s="4" t="s">
        <v>111</v>
      </c>
      <c r="DS1" s="4" t="s">
        <v>112</v>
      </c>
      <c r="DT1" s="4" t="s">
        <v>113</v>
      </c>
      <c r="DU1" s="4" t="s">
        <v>114</v>
      </c>
      <c r="DV1" s="4" t="s">
        <v>115</v>
      </c>
      <c r="DW1" s="4" t="s">
        <v>116</v>
      </c>
      <c r="DX1" s="4" t="s">
        <v>173</v>
      </c>
      <c r="DY1" s="4" t="s">
        <v>117</v>
      </c>
      <c r="DZ1" s="4" t="s">
        <v>118</v>
      </c>
      <c r="EA1" s="4" t="s">
        <v>119</v>
      </c>
      <c r="EB1" s="4" t="s">
        <v>120</v>
      </c>
      <c r="EC1" s="4" t="s">
        <v>121</v>
      </c>
      <c r="ED1" s="4" t="s">
        <v>122</v>
      </c>
      <c r="EE1" s="4" t="s">
        <v>123</v>
      </c>
      <c r="EF1" s="4" t="s">
        <v>124</v>
      </c>
      <c r="EG1" s="4" t="s">
        <v>125</v>
      </c>
      <c r="EH1" s="4" t="s">
        <v>126</v>
      </c>
      <c r="EI1" s="4" t="s">
        <v>127</v>
      </c>
      <c r="EJ1" s="4" t="s">
        <v>128</v>
      </c>
      <c r="EK1" s="4" t="s">
        <v>129</v>
      </c>
      <c r="EL1" s="4" t="s">
        <v>174</v>
      </c>
      <c r="EM1" s="4" t="s">
        <v>130</v>
      </c>
      <c r="EN1" s="4" t="s">
        <v>131</v>
      </c>
      <c r="EO1" s="4" t="s">
        <v>132</v>
      </c>
      <c r="EP1" s="4" t="s">
        <v>133</v>
      </c>
      <c r="EQ1" s="4" t="s">
        <v>134</v>
      </c>
      <c r="ER1" s="4" t="s">
        <v>135</v>
      </c>
      <c r="ES1" s="4" t="s">
        <v>136</v>
      </c>
      <c r="ET1" s="4" t="s">
        <v>137</v>
      </c>
      <c r="EU1" s="4" t="s">
        <v>138</v>
      </c>
      <c r="EV1" s="4" t="s">
        <v>139</v>
      </c>
      <c r="EW1" s="4" t="s">
        <v>140</v>
      </c>
      <c r="EX1" s="4" t="s">
        <v>179</v>
      </c>
      <c r="EY1" s="4" t="s">
        <v>141</v>
      </c>
      <c r="EZ1" s="4" t="s">
        <v>175</v>
      </c>
      <c r="FA1" s="4" t="s">
        <v>142</v>
      </c>
      <c r="FB1" s="4" t="s">
        <v>143</v>
      </c>
      <c r="FC1" s="4" t="s">
        <v>144</v>
      </c>
      <c r="FD1" s="4" t="s">
        <v>145</v>
      </c>
      <c r="FE1" s="4" t="s">
        <v>146</v>
      </c>
      <c r="FF1" s="4" t="s">
        <v>147</v>
      </c>
      <c r="FG1" s="4" t="s">
        <v>148</v>
      </c>
      <c r="FH1" s="4" t="s">
        <v>149</v>
      </c>
      <c r="FI1" s="4" t="s">
        <v>150</v>
      </c>
      <c r="FJ1" s="4" t="s">
        <v>151</v>
      </c>
      <c r="FK1" s="4" t="s">
        <v>152</v>
      </c>
      <c r="FL1" s="4" t="s">
        <v>153</v>
      </c>
      <c r="FM1" s="4" t="s">
        <v>154</v>
      </c>
      <c r="FN1" s="4" t="s">
        <v>176</v>
      </c>
      <c r="FO1" s="4" t="s">
        <v>155</v>
      </c>
      <c r="FP1" s="4" t="s">
        <v>156</v>
      </c>
      <c r="FQ1" s="4" t="s">
        <v>157</v>
      </c>
      <c r="FR1" s="4" t="s">
        <v>158</v>
      </c>
      <c r="FS1" s="4" t="s">
        <v>159</v>
      </c>
      <c r="FT1" s="4" t="s">
        <v>160</v>
      </c>
      <c r="FU1" s="4" t="s">
        <v>161</v>
      </c>
      <c r="FV1" s="4" t="s">
        <v>162</v>
      </c>
      <c r="FW1" s="4" t="s">
        <v>163</v>
      </c>
      <c r="FX1" s="4" t="s">
        <v>164</v>
      </c>
      <c r="FY1" s="4" t="s">
        <v>165</v>
      </c>
    </row>
    <row r="2" spans="1:200" s="6" customFormat="1">
      <c r="A2" s="5">
        <v>2010</v>
      </c>
      <c r="B2" s="6">
        <v>55787</v>
      </c>
      <c r="C2" s="6">
        <v>13281</v>
      </c>
      <c r="D2">
        <f>B2-C2</f>
        <v>42506</v>
      </c>
      <c r="E2" s="7">
        <v>66</v>
      </c>
      <c r="F2" s="7">
        <v>7</v>
      </c>
      <c r="G2" s="7">
        <v>14</v>
      </c>
      <c r="H2" s="7">
        <v>22</v>
      </c>
      <c r="I2" s="7">
        <v>3</v>
      </c>
      <c r="J2" s="7">
        <v>1</v>
      </c>
      <c r="K2" s="7">
        <v>10</v>
      </c>
      <c r="L2" s="7">
        <v>8</v>
      </c>
      <c r="M2" s="7">
        <v>1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</row>
    <row r="3" spans="1:200" s="6" customFormat="1">
      <c r="A3" s="5">
        <v>2011</v>
      </c>
      <c r="B3" s="6">
        <v>55820</v>
      </c>
      <c r="C3" s="6">
        <v>13604</v>
      </c>
      <c r="D3">
        <f t="shared" ref="D3:D7" si="0">B3-C3</f>
        <v>42216</v>
      </c>
      <c r="E3" s="7">
        <v>68</v>
      </c>
      <c r="F3" s="7">
        <v>7</v>
      </c>
      <c r="G3" s="7">
        <v>11</v>
      </c>
      <c r="H3" s="7">
        <v>23</v>
      </c>
      <c r="I3" s="7">
        <v>1</v>
      </c>
      <c r="J3" s="7">
        <v>2</v>
      </c>
      <c r="K3" s="7">
        <v>12</v>
      </c>
      <c r="L3" s="7">
        <v>9</v>
      </c>
      <c r="M3" s="7">
        <v>3</v>
      </c>
      <c r="N3">
        <v>7981</v>
      </c>
      <c r="O3">
        <v>22543.919999999998</v>
      </c>
      <c r="P3">
        <v>-2.2799999999999998</v>
      </c>
      <c r="Q3">
        <v>5258</v>
      </c>
      <c r="R3">
        <v>1664</v>
      </c>
      <c r="S3">
        <v>3594</v>
      </c>
      <c r="T3">
        <v>1629</v>
      </c>
      <c r="U3">
        <v>5310.34</v>
      </c>
      <c r="V3">
        <v>1507</v>
      </c>
      <c r="W3">
        <v>5351.18</v>
      </c>
      <c r="X3">
        <v>122</v>
      </c>
      <c r="Y3">
        <v>4852.82</v>
      </c>
      <c r="Z3">
        <v>404</v>
      </c>
      <c r="AA3">
        <v>16070.01</v>
      </c>
      <c r="AB3">
        <v>22751</v>
      </c>
      <c r="AC3">
        <v>52299.95</v>
      </c>
      <c r="AD3">
        <v>1.39</v>
      </c>
      <c r="AE3">
        <v>16710</v>
      </c>
      <c r="AF3">
        <v>3571</v>
      </c>
      <c r="AG3">
        <v>13139</v>
      </c>
      <c r="AH3">
        <v>3386</v>
      </c>
      <c r="AI3">
        <v>9389.3799999999992</v>
      </c>
      <c r="AJ3">
        <v>3027</v>
      </c>
      <c r="AK3">
        <v>9397.1200000000008</v>
      </c>
      <c r="AL3">
        <v>359</v>
      </c>
      <c r="AM3">
        <v>9324.68</v>
      </c>
      <c r="AN3">
        <v>1164</v>
      </c>
      <c r="AO3">
        <v>30233.77</v>
      </c>
      <c r="AP3">
        <v>13488</v>
      </c>
      <c r="AQ3">
        <v>39443.21</v>
      </c>
      <c r="AR3">
        <v>-3.86</v>
      </c>
      <c r="AS3">
        <v>11170</v>
      </c>
      <c r="AT3">
        <v>2886</v>
      </c>
      <c r="AU3">
        <v>8284</v>
      </c>
      <c r="AV3">
        <v>2654</v>
      </c>
      <c r="AW3">
        <v>10496.76</v>
      </c>
      <c r="AX3">
        <v>2396</v>
      </c>
      <c r="AY3">
        <v>11207.26</v>
      </c>
      <c r="AZ3">
        <v>258</v>
      </c>
      <c r="BA3">
        <v>6606.91</v>
      </c>
      <c r="BB3">
        <v>803</v>
      </c>
      <c r="BC3">
        <v>20563.38</v>
      </c>
      <c r="BD3">
        <v>37465</v>
      </c>
      <c r="BE3">
        <v>7135.69</v>
      </c>
      <c r="BF3">
        <v>-5.3</v>
      </c>
      <c r="BG3">
        <v>14634</v>
      </c>
      <c r="BH3">
        <v>8546</v>
      </c>
      <c r="BI3">
        <v>6088</v>
      </c>
      <c r="BJ3">
        <v>8521</v>
      </c>
      <c r="BK3">
        <v>1834.45</v>
      </c>
      <c r="BL3">
        <v>7573</v>
      </c>
      <c r="BM3">
        <v>1760.84</v>
      </c>
      <c r="BN3">
        <v>948</v>
      </c>
      <c r="BO3">
        <v>2754.05</v>
      </c>
      <c r="BP3">
        <v>1431</v>
      </c>
      <c r="BQ3">
        <v>4157.2299999999996</v>
      </c>
      <c r="BR3">
        <v>10500</v>
      </c>
      <c r="BS3">
        <v>7289.74</v>
      </c>
      <c r="BT3">
        <v>2.09</v>
      </c>
      <c r="BU3">
        <v>3516</v>
      </c>
      <c r="BV3">
        <v>2077</v>
      </c>
      <c r="BW3">
        <v>1439</v>
      </c>
      <c r="BX3">
        <v>2077</v>
      </c>
      <c r="BY3">
        <v>1647.69</v>
      </c>
      <c r="BZ3">
        <v>1828</v>
      </c>
      <c r="CA3">
        <v>1588.54</v>
      </c>
      <c r="CB3">
        <v>249</v>
      </c>
      <c r="CC3">
        <v>2267.5500000000002</v>
      </c>
      <c r="CD3">
        <v>415</v>
      </c>
      <c r="CE3">
        <v>3779.26</v>
      </c>
      <c r="CF3">
        <v>69357</v>
      </c>
      <c r="CG3">
        <v>7343.49</v>
      </c>
      <c r="CH3">
        <v>-6.29</v>
      </c>
      <c r="CI3">
        <v>32641</v>
      </c>
      <c r="CJ3">
        <v>19390</v>
      </c>
      <c r="CK3">
        <v>13251</v>
      </c>
      <c r="CL3">
        <v>19410</v>
      </c>
      <c r="CM3">
        <v>2319.27</v>
      </c>
      <c r="CN3">
        <v>16715</v>
      </c>
      <c r="CO3">
        <v>2163.09</v>
      </c>
      <c r="CP3">
        <v>2695</v>
      </c>
      <c r="CQ3">
        <v>4200.17</v>
      </c>
      <c r="CR3">
        <v>3890</v>
      </c>
      <c r="CS3">
        <v>6062.59</v>
      </c>
      <c r="CT3">
        <v>45809</v>
      </c>
      <c r="CU3">
        <v>6063.16</v>
      </c>
      <c r="CV3">
        <v>-4.3499999999999996</v>
      </c>
      <c r="CW3">
        <v>20842</v>
      </c>
      <c r="CX3">
        <v>13356</v>
      </c>
      <c r="CY3">
        <v>7486</v>
      </c>
      <c r="CZ3">
        <v>13242</v>
      </c>
      <c r="DA3">
        <v>1984.15</v>
      </c>
      <c r="DB3">
        <v>11487</v>
      </c>
      <c r="DC3">
        <v>1865.2</v>
      </c>
      <c r="DD3">
        <v>1755</v>
      </c>
      <c r="DE3">
        <v>3405.85</v>
      </c>
      <c r="DF3">
        <v>2216</v>
      </c>
      <c r="DG3">
        <v>4300.49</v>
      </c>
      <c r="DH3">
        <v>2275917</v>
      </c>
      <c r="DI3">
        <v>6627.06</v>
      </c>
      <c r="DJ3">
        <v>-5.28</v>
      </c>
      <c r="DK3">
        <v>1066428</v>
      </c>
      <c r="DL3">
        <v>658522</v>
      </c>
      <c r="DM3">
        <v>407906</v>
      </c>
      <c r="DN3">
        <v>629943</v>
      </c>
      <c r="DO3">
        <v>2107.42</v>
      </c>
      <c r="DP3">
        <v>557349</v>
      </c>
      <c r="DQ3">
        <v>2034</v>
      </c>
      <c r="DR3">
        <v>72594</v>
      </c>
      <c r="DS3">
        <v>2915.45</v>
      </c>
      <c r="DT3">
        <v>94608</v>
      </c>
      <c r="DU3">
        <v>3799.55</v>
      </c>
      <c r="DV3">
        <v>636172</v>
      </c>
      <c r="DW3">
        <v>4796.3999999999996</v>
      </c>
      <c r="DX3">
        <v>-5.46</v>
      </c>
      <c r="DY3">
        <v>300694</v>
      </c>
      <c r="DZ3">
        <v>213152</v>
      </c>
      <c r="EA3">
        <v>87542</v>
      </c>
      <c r="EB3">
        <v>209852</v>
      </c>
      <c r="EC3">
        <v>1820.06</v>
      </c>
      <c r="ED3">
        <v>184060</v>
      </c>
      <c r="EE3">
        <v>1747.99</v>
      </c>
      <c r="EF3">
        <v>25792</v>
      </c>
      <c r="EG3">
        <v>2578.7600000000002</v>
      </c>
      <c r="EH3">
        <v>29736</v>
      </c>
      <c r="EI3">
        <v>2973.09</v>
      </c>
      <c r="EJ3">
        <v>121719</v>
      </c>
      <c r="EK3">
        <v>9865.9500000000007</v>
      </c>
      <c r="EL3">
        <v>-7.36</v>
      </c>
      <c r="EM3">
        <v>60557</v>
      </c>
      <c r="EN3">
        <v>33745</v>
      </c>
      <c r="EO3">
        <v>26812</v>
      </c>
      <c r="EP3">
        <v>33488</v>
      </c>
      <c r="EQ3">
        <v>3192.22</v>
      </c>
      <c r="ER3">
        <v>27949</v>
      </c>
      <c r="ES3">
        <v>2948.4</v>
      </c>
      <c r="ET3">
        <v>5539</v>
      </c>
      <c r="EU3">
        <v>5478.03</v>
      </c>
      <c r="EV3">
        <v>4913</v>
      </c>
      <c r="EW3">
        <v>4858.92</v>
      </c>
      <c r="EX3">
        <v>150574</v>
      </c>
      <c r="EY3">
        <v>14120.52</v>
      </c>
      <c r="EZ3">
        <v>-1.32</v>
      </c>
      <c r="FA3">
        <v>89302</v>
      </c>
      <c r="FB3">
        <v>53546</v>
      </c>
      <c r="FC3">
        <v>35756</v>
      </c>
      <c r="FD3">
        <v>53494</v>
      </c>
      <c r="FE3">
        <v>5902.7</v>
      </c>
      <c r="FF3">
        <v>44058</v>
      </c>
      <c r="FG3">
        <v>5357.5</v>
      </c>
      <c r="FH3">
        <v>9436</v>
      </c>
      <c r="FI3">
        <v>11246.45</v>
      </c>
      <c r="FJ3">
        <v>7370</v>
      </c>
      <c r="FK3">
        <v>8784.06</v>
      </c>
      <c r="FL3">
        <v>418763</v>
      </c>
      <c r="FM3">
        <v>9307.6299999999992</v>
      </c>
      <c r="FN3">
        <v>-5.16</v>
      </c>
      <c r="FO3">
        <v>154026</v>
      </c>
      <c r="FP3">
        <v>74807</v>
      </c>
      <c r="FQ3">
        <v>79219</v>
      </c>
      <c r="FR3">
        <v>75983</v>
      </c>
      <c r="FS3">
        <v>1916.78</v>
      </c>
      <c r="FT3">
        <v>70264</v>
      </c>
      <c r="FU3">
        <v>1925.67</v>
      </c>
      <c r="FV3">
        <v>5719</v>
      </c>
      <c r="FW3">
        <v>1813.91</v>
      </c>
      <c r="FX3">
        <v>12999</v>
      </c>
      <c r="FY3">
        <v>4122.9399999999996</v>
      </c>
    </row>
    <row r="4" spans="1:200" s="6" customFormat="1">
      <c r="A4" s="5">
        <v>2012</v>
      </c>
      <c r="B4" s="6">
        <v>55673</v>
      </c>
      <c r="C4" s="6">
        <v>13832</v>
      </c>
      <c r="D4">
        <f t="shared" si="0"/>
        <v>41841</v>
      </c>
      <c r="E4" s="7">
        <v>63</v>
      </c>
      <c r="F4" s="7">
        <v>4</v>
      </c>
      <c r="G4" s="7">
        <v>11</v>
      </c>
      <c r="H4" s="7">
        <v>19</v>
      </c>
      <c r="I4" s="7">
        <v>9</v>
      </c>
      <c r="J4" s="7">
        <v>3</v>
      </c>
      <c r="K4" s="7">
        <v>7</v>
      </c>
      <c r="L4" s="7">
        <v>8</v>
      </c>
      <c r="M4" s="7">
        <v>2</v>
      </c>
      <c r="N4">
        <v>8191</v>
      </c>
      <c r="O4">
        <v>22633.95</v>
      </c>
      <c r="P4">
        <v>0.4</v>
      </c>
      <c r="Q4">
        <v>5039</v>
      </c>
      <c r="R4">
        <v>1615</v>
      </c>
      <c r="S4">
        <v>3424</v>
      </c>
      <c r="T4">
        <v>1600</v>
      </c>
      <c r="U4">
        <v>5104.8100000000004</v>
      </c>
      <c r="V4">
        <v>1454</v>
      </c>
      <c r="W4">
        <v>5045.63</v>
      </c>
      <c r="X4">
        <v>146</v>
      </c>
      <c r="Y4">
        <v>5779.89</v>
      </c>
      <c r="Z4">
        <v>340</v>
      </c>
      <c r="AA4">
        <v>13460.02</v>
      </c>
      <c r="AB4">
        <v>22367</v>
      </c>
      <c r="AC4">
        <v>51244.04</v>
      </c>
      <c r="AD4">
        <v>-2.02</v>
      </c>
      <c r="AE4">
        <v>15742</v>
      </c>
      <c r="AF4">
        <v>2867</v>
      </c>
      <c r="AG4">
        <v>12875</v>
      </c>
      <c r="AH4">
        <v>2800</v>
      </c>
      <c r="AI4">
        <v>7762.47</v>
      </c>
      <c r="AJ4">
        <v>2539</v>
      </c>
      <c r="AK4">
        <v>7821.45</v>
      </c>
      <c r="AL4">
        <v>261</v>
      </c>
      <c r="AM4">
        <v>7231.92</v>
      </c>
      <c r="AN4">
        <v>1083</v>
      </c>
      <c r="AO4">
        <v>30008.31</v>
      </c>
      <c r="AP4">
        <v>14079</v>
      </c>
      <c r="AQ4">
        <v>40539.61</v>
      </c>
      <c r="AR4">
        <v>2.78</v>
      </c>
      <c r="AS4">
        <v>11220</v>
      </c>
      <c r="AT4">
        <v>3059</v>
      </c>
      <c r="AU4">
        <v>8161</v>
      </c>
      <c r="AV4">
        <v>2750</v>
      </c>
      <c r="AW4">
        <v>10692.07</v>
      </c>
      <c r="AX4">
        <v>2481</v>
      </c>
      <c r="AY4">
        <v>11339.64</v>
      </c>
      <c r="AZ4">
        <v>269</v>
      </c>
      <c r="BA4">
        <v>7003.38</v>
      </c>
      <c r="BB4">
        <v>729</v>
      </c>
      <c r="BC4">
        <v>18979.43</v>
      </c>
      <c r="BD4">
        <v>36024</v>
      </c>
      <c r="BE4">
        <v>6837.04</v>
      </c>
      <c r="BF4">
        <v>-4.1900000000000004</v>
      </c>
      <c r="BG4">
        <v>14265</v>
      </c>
      <c r="BH4">
        <v>8722</v>
      </c>
      <c r="BI4">
        <v>5543</v>
      </c>
      <c r="BJ4">
        <v>8678</v>
      </c>
      <c r="BK4">
        <v>1860.26</v>
      </c>
      <c r="BL4">
        <v>7777</v>
      </c>
      <c r="BM4">
        <v>1797.39</v>
      </c>
      <c r="BN4">
        <v>901</v>
      </c>
      <c r="BO4">
        <v>2664.97</v>
      </c>
      <c r="BP4">
        <v>1277</v>
      </c>
      <c r="BQ4">
        <v>3777.1</v>
      </c>
      <c r="BR4">
        <v>10678</v>
      </c>
      <c r="BS4">
        <v>7351.01</v>
      </c>
      <c r="BT4">
        <v>0.84</v>
      </c>
      <c r="BU4">
        <v>3812</v>
      </c>
      <c r="BV4">
        <v>2329</v>
      </c>
      <c r="BW4">
        <v>1483</v>
      </c>
      <c r="BX4">
        <v>2247</v>
      </c>
      <c r="BY4">
        <v>1765.91</v>
      </c>
      <c r="BZ4">
        <v>1997</v>
      </c>
      <c r="CA4">
        <v>1714.66</v>
      </c>
      <c r="CB4">
        <v>250</v>
      </c>
      <c r="CC4">
        <v>2319.7600000000002</v>
      </c>
      <c r="CD4">
        <v>448</v>
      </c>
      <c r="CE4">
        <v>4157</v>
      </c>
      <c r="CF4">
        <v>67485</v>
      </c>
      <c r="CG4">
        <v>7142.52</v>
      </c>
      <c r="CH4">
        <v>-2.74</v>
      </c>
      <c r="CI4">
        <v>32082</v>
      </c>
      <c r="CJ4">
        <v>18342</v>
      </c>
      <c r="CK4">
        <v>13740</v>
      </c>
      <c r="CL4">
        <v>18160</v>
      </c>
      <c r="CM4">
        <v>2165.52</v>
      </c>
      <c r="CN4">
        <v>15665</v>
      </c>
      <c r="CO4">
        <v>2019.18</v>
      </c>
      <c r="CP4">
        <v>2495</v>
      </c>
      <c r="CQ4">
        <v>3973.75</v>
      </c>
      <c r="CR4">
        <v>3921</v>
      </c>
      <c r="CS4">
        <v>6244.92</v>
      </c>
      <c r="CT4">
        <v>47498</v>
      </c>
      <c r="CU4">
        <v>6275.86</v>
      </c>
      <c r="CV4">
        <v>3.51</v>
      </c>
      <c r="CW4">
        <v>20535</v>
      </c>
      <c r="CX4">
        <v>13302</v>
      </c>
      <c r="CY4">
        <v>7233</v>
      </c>
      <c r="CZ4">
        <v>12858</v>
      </c>
      <c r="DA4">
        <v>1921.59</v>
      </c>
      <c r="DB4">
        <v>11412</v>
      </c>
      <c r="DC4">
        <v>1844.27</v>
      </c>
      <c r="DD4">
        <v>1446</v>
      </c>
      <c r="DE4">
        <v>2871.78</v>
      </c>
      <c r="DF4">
        <v>2196</v>
      </c>
      <c r="DG4">
        <v>4361.3</v>
      </c>
      <c r="DH4">
        <v>2244458</v>
      </c>
      <c r="DI4">
        <v>6458.6</v>
      </c>
      <c r="DJ4">
        <v>-2.54</v>
      </c>
      <c r="DK4">
        <v>1050701</v>
      </c>
      <c r="DL4">
        <v>660653</v>
      </c>
      <c r="DM4">
        <v>390048</v>
      </c>
      <c r="DN4">
        <v>628614</v>
      </c>
      <c r="DO4">
        <v>2077.02</v>
      </c>
      <c r="DP4">
        <v>560984</v>
      </c>
      <c r="DQ4">
        <v>2016.51</v>
      </c>
      <c r="DR4">
        <v>67630</v>
      </c>
      <c r="DS4">
        <v>2765.35</v>
      </c>
      <c r="DT4">
        <v>86893</v>
      </c>
      <c r="DU4">
        <v>3553</v>
      </c>
      <c r="DV4">
        <v>618486</v>
      </c>
      <c r="DW4">
        <v>4612.28</v>
      </c>
      <c r="DX4">
        <v>-3.84</v>
      </c>
      <c r="DY4">
        <v>294725</v>
      </c>
      <c r="DZ4">
        <v>208916</v>
      </c>
      <c r="EA4">
        <v>85809</v>
      </c>
      <c r="EB4">
        <v>205225</v>
      </c>
      <c r="EC4">
        <v>1757.53</v>
      </c>
      <c r="ED4">
        <v>182609</v>
      </c>
      <c r="EE4">
        <v>1707.56</v>
      </c>
      <c r="EF4">
        <v>22616</v>
      </c>
      <c r="EG4">
        <v>2301.41</v>
      </c>
      <c r="EH4">
        <v>27571</v>
      </c>
      <c r="EI4">
        <v>2805.63</v>
      </c>
      <c r="EJ4">
        <v>121815</v>
      </c>
      <c r="EK4">
        <v>9742.0400000000009</v>
      </c>
      <c r="EL4">
        <v>-1.26</v>
      </c>
      <c r="EM4">
        <v>61318</v>
      </c>
      <c r="EN4">
        <v>35603</v>
      </c>
      <c r="EO4">
        <v>25715</v>
      </c>
      <c r="EP4">
        <v>35324</v>
      </c>
      <c r="EQ4">
        <v>3319.98</v>
      </c>
      <c r="ER4">
        <v>29717</v>
      </c>
      <c r="ES4">
        <v>3084.74</v>
      </c>
      <c r="ET4">
        <v>5607</v>
      </c>
      <c r="EU4">
        <v>5572.06</v>
      </c>
      <c r="EV4">
        <v>4723</v>
      </c>
      <c r="EW4">
        <v>4693.57</v>
      </c>
      <c r="EX4">
        <v>147209</v>
      </c>
      <c r="EY4">
        <v>13539.91</v>
      </c>
      <c r="EZ4">
        <v>-4.1100000000000003</v>
      </c>
      <c r="FA4">
        <v>88662</v>
      </c>
      <c r="FB4">
        <v>54536</v>
      </c>
      <c r="FC4">
        <v>34126</v>
      </c>
      <c r="FD4">
        <v>54713</v>
      </c>
      <c r="FE4">
        <v>5925.82</v>
      </c>
      <c r="FF4">
        <v>45995</v>
      </c>
      <c r="FG4">
        <v>5477.62</v>
      </c>
      <c r="FH4">
        <v>8718</v>
      </c>
      <c r="FI4">
        <v>10427.11</v>
      </c>
      <c r="FJ4">
        <v>6644</v>
      </c>
      <c r="FK4">
        <v>7946.51</v>
      </c>
      <c r="FL4">
        <v>411975</v>
      </c>
      <c r="FM4">
        <v>9069.19</v>
      </c>
      <c r="FN4">
        <v>-2.56</v>
      </c>
      <c r="FO4">
        <v>146205</v>
      </c>
      <c r="FP4">
        <v>73240</v>
      </c>
      <c r="FQ4">
        <v>72965</v>
      </c>
      <c r="FR4">
        <v>73158</v>
      </c>
      <c r="FS4">
        <v>1825.56</v>
      </c>
      <c r="FT4">
        <v>68034</v>
      </c>
      <c r="FU4">
        <v>1840.06</v>
      </c>
      <c r="FV4">
        <v>5124</v>
      </c>
      <c r="FW4">
        <v>1652.63</v>
      </c>
      <c r="FX4">
        <v>12116</v>
      </c>
      <c r="FY4">
        <v>3907.74</v>
      </c>
    </row>
    <row r="5" spans="1:200" s="6" customFormat="1">
      <c r="A5" s="5">
        <v>2013</v>
      </c>
      <c r="B5" s="6">
        <v>55252</v>
      </c>
      <c r="C5" s="6">
        <v>13998</v>
      </c>
      <c r="D5">
        <f t="shared" si="0"/>
        <v>41254</v>
      </c>
      <c r="E5" s="7">
        <v>47</v>
      </c>
      <c r="F5" s="7">
        <v>5</v>
      </c>
      <c r="G5" s="7">
        <v>11</v>
      </c>
      <c r="H5" s="7">
        <v>13</v>
      </c>
      <c r="I5" s="7">
        <v>1</v>
      </c>
      <c r="J5" s="7">
        <v>2</v>
      </c>
      <c r="K5" s="7">
        <v>7</v>
      </c>
      <c r="L5" s="7">
        <v>5</v>
      </c>
      <c r="M5" s="7">
        <v>3</v>
      </c>
      <c r="N5">
        <v>9492</v>
      </c>
      <c r="O5">
        <v>26056.16</v>
      </c>
      <c r="P5">
        <v>15.12</v>
      </c>
      <c r="Q5">
        <v>6034</v>
      </c>
      <c r="R5">
        <v>1710</v>
      </c>
      <c r="S5">
        <v>4324</v>
      </c>
      <c r="T5">
        <v>1710</v>
      </c>
      <c r="U5">
        <v>5421.86</v>
      </c>
      <c r="V5">
        <v>1563</v>
      </c>
      <c r="W5">
        <v>5378.34</v>
      </c>
      <c r="X5">
        <v>147</v>
      </c>
      <c r="Y5">
        <v>5932.2</v>
      </c>
      <c r="Z5">
        <v>438</v>
      </c>
      <c r="AA5">
        <v>17675.54</v>
      </c>
      <c r="AB5">
        <v>21252</v>
      </c>
      <c r="AC5">
        <v>48427.67</v>
      </c>
      <c r="AD5">
        <v>-5.5</v>
      </c>
      <c r="AE5">
        <v>14964</v>
      </c>
      <c r="AF5">
        <v>2735</v>
      </c>
      <c r="AG5">
        <v>12229</v>
      </c>
      <c r="AH5">
        <v>2603</v>
      </c>
      <c r="AI5">
        <v>7189.81</v>
      </c>
      <c r="AJ5">
        <v>2367</v>
      </c>
      <c r="AK5">
        <v>7223.07</v>
      </c>
      <c r="AL5">
        <v>236</v>
      </c>
      <c r="AM5">
        <v>6872.45</v>
      </c>
      <c r="AN5">
        <v>823</v>
      </c>
      <c r="AO5">
        <v>23966.22</v>
      </c>
      <c r="AP5">
        <v>12271</v>
      </c>
      <c r="AQ5">
        <v>34629.599999999999</v>
      </c>
      <c r="AR5">
        <v>-14.58</v>
      </c>
      <c r="AS5">
        <v>9837</v>
      </c>
      <c r="AT5">
        <v>2806</v>
      </c>
      <c r="AU5">
        <v>7031</v>
      </c>
      <c r="AV5">
        <v>2519</v>
      </c>
      <c r="AW5">
        <v>9595.4599999999991</v>
      </c>
      <c r="AX5">
        <v>2268</v>
      </c>
      <c r="AY5">
        <v>10108.299999999999</v>
      </c>
      <c r="AZ5">
        <v>251</v>
      </c>
      <c r="BA5">
        <v>6579.29</v>
      </c>
      <c r="BB5">
        <v>715</v>
      </c>
      <c r="BC5">
        <v>18741.810000000001</v>
      </c>
      <c r="BD5">
        <v>35217</v>
      </c>
      <c r="BE5">
        <v>6669.67</v>
      </c>
      <c r="BF5">
        <v>-2.4500000000000002</v>
      </c>
      <c r="BG5">
        <v>14062</v>
      </c>
      <c r="BH5">
        <v>8771</v>
      </c>
      <c r="BI5">
        <v>5291</v>
      </c>
      <c r="BJ5">
        <v>8706</v>
      </c>
      <c r="BK5">
        <v>1861.43</v>
      </c>
      <c r="BL5">
        <v>7783</v>
      </c>
      <c r="BM5">
        <v>1790.74</v>
      </c>
      <c r="BN5">
        <v>923</v>
      </c>
      <c r="BO5">
        <v>2790.37</v>
      </c>
      <c r="BP5">
        <v>1101</v>
      </c>
      <c r="BQ5">
        <v>3328.5</v>
      </c>
      <c r="BR5">
        <v>9498</v>
      </c>
      <c r="BS5">
        <v>6530.48</v>
      </c>
      <c r="BT5">
        <v>-11.16</v>
      </c>
      <c r="BU5">
        <v>3197</v>
      </c>
      <c r="BV5">
        <v>2187</v>
      </c>
      <c r="BW5">
        <v>1010</v>
      </c>
      <c r="BX5">
        <v>2180</v>
      </c>
      <c r="BY5">
        <v>1712.54</v>
      </c>
      <c r="BZ5">
        <v>1937</v>
      </c>
      <c r="CA5">
        <v>1656.53</v>
      </c>
      <c r="CB5">
        <v>243</v>
      </c>
      <c r="CC5">
        <v>2344.4299999999998</v>
      </c>
      <c r="CD5">
        <v>270</v>
      </c>
      <c r="CE5">
        <v>2604.92</v>
      </c>
      <c r="CF5">
        <v>60490</v>
      </c>
      <c r="CG5">
        <v>6414.7</v>
      </c>
      <c r="CH5">
        <v>-10.19</v>
      </c>
      <c r="CI5">
        <v>28312</v>
      </c>
      <c r="CJ5">
        <v>16558</v>
      </c>
      <c r="CK5">
        <v>11754</v>
      </c>
      <c r="CL5">
        <v>16312</v>
      </c>
      <c r="CM5">
        <v>1947.3</v>
      </c>
      <c r="CN5">
        <v>14429</v>
      </c>
      <c r="CO5">
        <v>1857.66</v>
      </c>
      <c r="CP5">
        <v>1883</v>
      </c>
      <c r="CQ5">
        <v>3089.77</v>
      </c>
      <c r="CR5">
        <v>2871</v>
      </c>
      <c r="CS5">
        <v>4710.96</v>
      </c>
      <c r="CT5">
        <v>41384</v>
      </c>
      <c r="CU5">
        <v>5476.12</v>
      </c>
      <c r="CV5">
        <v>-12.74</v>
      </c>
      <c r="CW5">
        <v>17575</v>
      </c>
      <c r="CX5">
        <v>12205</v>
      </c>
      <c r="CY5">
        <v>5370</v>
      </c>
      <c r="CZ5">
        <v>11859</v>
      </c>
      <c r="DA5">
        <v>1774.02</v>
      </c>
      <c r="DB5">
        <v>10588</v>
      </c>
      <c r="DC5">
        <v>1709.11</v>
      </c>
      <c r="DD5">
        <v>1271</v>
      </c>
      <c r="DE5">
        <v>2595.04</v>
      </c>
      <c r="DF5">
        <v>1511</v>
      </c>
      <c r="DG5">
        <v>3085.06</v>
      </c>
      <c r="DH5">
        <v>2098776</v>
      </c>
      <c r="DI5">
        <v>5969.98</v>
      </c>
      <c r="DJ5">
        <v>-7.57</v>
      </c>
      <c r="DK5">
        <v>991939</v>
      </c>
      <c r="DL5">
        <v>626019</v>
      </c>
      <c r="DM5">
        <v>365920</v>
      </c>
      <c r="DN5">
        <v>595717</v>
      </c>
      <c r="DO5">
        <v>1945.37</v>
      </c>
      <c r="DP5">
        <v>537465</v>
      </c>
      <c r="DQ5">
        <v>1903.83</v>
      </c>
      <c r="DR5">
        <v>58252</v>
      </c>
      <c r="DS5">
        <v>2435.6799999999998</v>
      </c>
      <c r="DT5">
        <v>72146</v>
      </c>
      <c r="DU5">
        <v>3016.62</v>
      </c>
      <c r="DV5">
        <v>566931</v>
      </c>
      <c r="DW5">
        <v>4183.68</v>
      </c>
      <c r="DX5">
        <v>-9.2899999999999991</v>
      </c>
      <c r="DY5">
        <v>275834</v>
      </c>
      <c r="DZ5">
        <v>195657</v>
      </c>
      <c r="EA5">
        <v>80177</v>
      </c>
      <c r="EB5">
        <v>193206</v>
      </c>
      <c r="EC5">
        <v>1635.44</v>
      </c>
      <c r="ED5">
        <v>174943</v>
      </c>
      <c r="EE5">
        <v>1611.67</v>
      </c>
      <c r="EF5">
        <v>18263</v>
      </c>
      <c r="EG5">
        <v>1904.53</v>
      </c>
      <c r="EH5">
        <v>22184</v>
      </c>
      <c r="EI5">
        <v>2313.4299999999998</v>
      </c>
      <c r="EJ5">
        <v>110361</v>
      </c>
      <c r="EK5">
        <v>8721.83</v>
      </c>
      <c r="EL5">
        <v>-10.47</v>
      </c>
      <c r="EM5">
        <v>58454</v>
      </c>
      <c r="EN5">
        <v>33474</v>
      </c>
      <c r="EO5">
        <v>24980</v>
      </c>
      <c r="EP5">
        <v>32851</v>
      </c>
      <c r="EQ5">
        <v>3049.6</v>
      </c>
      <c r="ER5">
        <v>27847</v>
      </c>
      <c r="ES5">
        <v>2847.5</v>
      </c>
      <c r="ET5">
        <v>5004</v>
      </c>
      <c r="EU5">
        <v>5040.29</v>
      </c>
      <c r="EV5">
        <v>4326</v>
      </c>
      <c r="EW5">
        <v>4357.37</v>
      </c>
      <c r="EX5">
        <v>138600</v>
      </c>
      <c r="EY5">
        <v>12530.26</v>
      </c>
      <c r="EZ5">
        <v>-7.46</v>
      </c>
      <c r="FA5">
        <v>80965</v>
      </c>
      <c r="FB5">
        <v>52952</v>
      </c>
      <c r="FC5">
        <v>28013</v>
      </c>
      <c r="FD5">
        <v>52989</v>
      </c>
      <c r="FE5">
        <v>5647.43</v>
      </c>
      <c r="FF5">
        <v>45061</v>
      </c>
      <c r="FG5">
        <v>5266.55</v>
      </c>
      <c r="FH5">
        <v>7928</v>
      </c>
      <c r="FI5">
        <v>9589.1200000000008</v>
      </c>
      <c r="FJ5">
        <v>4994</v>
      </c>
      <c r="FK5">
        <v>6040.37</v>
      </c>
      <c r="FL5">
        <v>391767</v>
      </c>
      <c r="FM5">
        <v>8549</v>
      </c>
      <c r="FN5">
        <v>-5.74</v>
      </c>
      <c r="FO5">
        <v>141955</v>
      </c>
      <c r="FP5">
        <v>69148</v>
      </c>
      <c r="FQ5">
        <v>72807</v>
      </c>
      <c r="FR5">
        <v>68850</v>
      </c>
      <c r="FS5">
        <v>1701.62</v>
      </c>
      <c r="FT5">
        <v>64430</v>
      </c>
      <c r="FU5">
        <v>1721.32</v>
      </c>
      <c r="FV5">
        <v>4420</v>
      </c>
      <c r="FW5">
        <v>1458.25</v>
      </c>
      <c r="FX5">
        <v>10318</v>
      </c>
      <c r="FY5">
        <v>3404.13</v>
      </c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</row>
    <row r="6" spans="1:200" s="6" customFormat="1">
      <c r="A6" s="5">
        <v>2014</v>
      </c>
      <c r="B6" s="6">
        <v>54650</v>
      </c>
      <c r="C6" s="6">
        <v>14156</v>
      </c>
      <c r="D6">
        <f t="shared" si="0"/>
        <v>40494</v>
      </c>
      <c r="E6" s="7">
        <v>62</v>
      </c>
      <c r="F6" s="7">
        <v>2</v>
      </c>
      <c r="G6" s="7">
        <v>10</v>
      </c>
      <c r="H6" s="7">
        <v>12</v>
      </c>
      <c r="I6" s="7">
        <v>9</v>
      </c>
      <c r="J6" s="7">
        <v>3</v>
      </c>
      <c r="K6" s="7">
        <v>11</v>
      </c>
      <c r="L6" s="7">
        <v>14</v>
      </c>
      <c r="M6" s="7">
        <v>1</v>
      </c>
      <c r="N6">
        <v>9731</v>
      </c>
      <c r="O6">
        <v>26307.11</v>
      </c>
      <c r="P6">
        <v>0.96</v>
      </c>
      <c r="Q6">
        <v>6048</v>
      </c>
      <c r="R6">
        <v>1582</v>
      </c>
      <c r="S6">
        <v>4466</v>
      </c>
      <c r="T6">
        <v>1525</v>
      </c>
      <c r="U6">
        <v>4768.16</v>
      </c>
      <c r="V6">
        <v>1390</v>
      </c>
      <c r="W6">
        <v>4712.34</v>
      </c>
      <c r="X6">
        <v>135</v>
      </c>
      <c r="Y6">
        <v>5430.41</v>
      </c>
      <c r="Z6">
        <v>492</v>
      </c>
      <c r="AA6">
        <v>19790.830000000002</v>
      </c>
      <c r="AB6">
        <v>20476</v>
      </c>
      <c r="AC6">
        <v>46557.53</v>
      </c>
      <c r="AD6">
        <v>-3.86</v>
      </c>
      <c r="AE6">
        <v>14206</v>
      </c>
      <c r="AF6">
        <v>2595</v>
      </c>
      <c r="AG6">
        <v>11611</v>
      </c>
      <c r="AH6">
        <v>2462</v>
      </c>
      <c r="AI6">
        <v>6801.29</v>
      </c>
      <c r="AJ6">
        <v>2273</v>
      </c>
      <c r="AK6">
        <v>6883.08</v>
      </c>
      <c r="AL6">
        <v>189</v>
      </c>
      <c r="AM6">
        <v>5950.88</v>
      </c>
      <c r="AN6">
        <v>784</v>
      </c>
      <c r="AO6">
        <v>24685.14</v>
      </c>
      <c r="AP6">
        <v>11768</v>
      </c>
      <c r="AQ6">
        <v>32613.7</v>
      </c>
      <c r="AR6">
        <v>-5.82</v>
      </c>
      <c r="AS6">
        <v>9290</v>
      </c>
      <c r="AT6">
        <v>2384</v>
      </c>
      <c r="AU6">
        <v>6906</v>
      </c>
      <c r="AV6">
        <v>2166</v>
      </c>
      <c r="AW6">
        <v>8114.49</v>
      </c>
      <c r="AX6">
        <v>1999</v>
      </c>
      <c r="AY6">
        <v>8707.9599999999991</v>
      </c>
      <c r="AZ6">
        <v>167</v>
      </c>
      <c r="BA6">
        <v>4468.83</v>
      </c>
      <c r="BB6">
        <v>717</v>
      </c>
      <c r="BC6">
        <v>19186.509999999998</v>
      </c>
      <c r="BD6">
        <v>32842</v>
      </c>
      <c r="BE6">
        <v>6207.51</v>
      </c>
      <c r="BF6">
        <v>-6.93</v>
      </c>
      <c r="BG6">
        <v>13438</v>
      </c>
      <c r="BH6">
        <v>8391</v>
      </c>
      <c r="BI6">
        <v>5047</v>
      </c>
      <c r="BJ6">
        <v>8310</v>
      </c>
      <c r="BK6">
        <v>1772.53</v>
      </c>
      <c r="BL6">
        <v>7611</v>
      </c>
      <c r="BM6">
        <v>1744.07</v>
      </c>
      <c r="BN6">
        <v>699</v>
      </c>
      <c r="BO6">
        <v>2155.54</v>
      </c>
      <c r="BP6">
        <v>978</v>
      </c>
      <c r="BQ6">
        <v>3015.91</v>
      </c>
      <c r="BR6">
        <v>7739</v>
      </c>
      <c r="BS6">
        <v>5294.81</v>
      </c>
      <c r="BT6">
        <v>-18.920000000000002</v>
      </c>
      <c r="BU6">
        <v>2735</v>
      </c>
      <c r="BV6">
        <v>1892</v>
      </c>
      <c r="BW6">
        <v>843</v>
      </c>
      <c r="BX6">
        <v>1861</v>
      </c>
      <c r="BY6">
        <v>1456.84</v>
      </c>
      <c r="BZ6">
        <v>1688</v>
      </c>
      <c r="CA6">
        <v>1433.73</v>
      </c>
      <c r="CB6">
        <v>173</v>
      </c>
      <c r="CC6">
        <v>1728.79</v>
      </c>
      <c r="CD6">
        <v>216</v>
      </c>
      <c r="CE6">
        <v>2158.4899999999998</v>
      </c>
      <c r="CF6">
        <v>58688</v>
      </c>
      <c r="CG6">
        <v>6227.59</v>
      </c>
      <c r="CH6">
        <v>-2.92</v>
      </c>
      <c r="CI6">
        <v>26721</v>
      </c>
      <c r="CJ6">
        <v>16380</v>
      </c>
      <c r="CK6">
        <v>10341</v>
      </c>
      <c r="CL6">
        <v>15878</v>
      </c>
      <c r="CM6">
        <v>1895.94</v>
      </c>
      <c r="CN6">
        <v>14320</v>
      </c>
      <c r="CO6">
        <v>1840.13</v>
      </c>
      <c r="CP6">
        <v>1558</v>
      </c>
      <c r="CQ6">
        <v>2628.65</v>
      </c>
      <c r="CR6">
        <v>2360</v>
      </c>
      <c r="CS6">
        <v>3981.78</v>
      </c>
      <c r="CT6">
        <v>38280</v>
      </c>
      <c r="CU6">
        <v>5073.03</v>
      </c>
      <c r="CV6">
        <v>-7.36</v>
      </c>
      <c r="CW6">
        <v>16455</v>
      </c>
      <c r="CX6">
        <v>11422</v>
      </c>
      <c r="CY6">
        <v>5033</v>
      </c>
      <c r="CZ6">
        <v>11127</v>
      </c>
      <c r="DA6">
        <v>1666.19</v>
      </c>
      <c r="DB6">
        <v>9993</v>
      </c>
      <c r="DC6">
        <v>1611.83</v>
      </c>
      <c r="DD6">
        <v>1134</v>
      </c>
      <c r="DE6">
        <v>2370.9</v>
      </c>
      <c r="DF6">
        <v>1452</v>
      </c>
      <c r="DG6">
        <v>3035.75</v>
      </c>
      <c r="DH6">
        <v>2052925</v>
      </c>
      <c r="DI6">
        <v>5775.78</v>
      </c>
      <c r="DJ6">
        <v>-3.25</v>
      </c>
      <c r="DK6">
        <v>952516</v>
      </c>
      <c r="DL6">
        <v>607852</v>
      </c>
      <c r="DM6">
        <v>344664</v>
      </c>
      <c r="DN6">
        <v>578044</v>
      </c>
      <c r="DO6">
        <v>1867.02</v>
      </c>
      <c r="DP6">
        <v>526495</v>
      </c>
      <c r="DQ6">
        <v>1839.85</v>
      </c>
      <c r="DR6">
        <v>51549</v>
      </c>
      <c r="DS6">
        <v>2198.73</v>
      </c>
      <c r="DT6">
        <v>64978</v>
      </c>
      <c r="DU6">
        <v>2771.52</v>
      </c>
      <c r="DV6">
        <v>547570</v>
      </c>
      <c r="DW6">
        <v>4003.38</v>
      </c>
      <c r="DX6">
        <v>-4.3099999999999996</v>
      </c>
      <c r="DY6">
        <v>264292</v>
      </c>
      <c r="DZ6">
        <v>189283</v>
      </c>
      <c r="EA6">
        <v>75009</v>
      </c>
      <c r="EB6">
        <v>185272</v>
      </c>
      <c r="EC6">
        <v>1552.31</v>
      </c>
      <c r="ED6">
        <v>169045</v>
      </c>
      <c r="EE6">
        <v>1537.12</v>
      </c>
      <c r="EF6">
        <v>16227</v>
      </c>
      <c r="EG6">
        <v>1730.46</v>
      </c>
      <c r="EH6">
        <v>20596</v>
      </c>
      <c r="EI6">
        <v>2196.37</v>
      </c>
      <c r="EJ6">
        <v>107589</v>
      </c>
      <c r="EK6">
        <v>8403.7999999999993</v>
      </c>
      <c r="EL6">
        <v>-3.65</v>
      </c>
      <c r="EM6">
        <v>56314</v>
      </c>
      <c r="EN6">
        <v>32040</v>
      </c>
      <c r="EO6">
        <v>24274</v>
      </c>
      <c r="EP6">
        <v>30798</v>
      </c>
      <c r="EQ6">
        <v>2826.46</v>
      </c>
      <c r="ER6">
        <v>26437</v>
      </c>
      <c r="ES6">
        <v>2666.85</v>
      </c>
      <c r="ET6">
        <v>4361</v>
      </c>
      <c r="EU6">
        <v>4435.79</v>
      </c>
      <c r="EV6">
        <v>4133</v>
      </c>
      <c r="EW6">
        <v>4203.88</v>
      </c>
      <c r="EX6">
        <v>136028</v>
      </c>
      <c r="EY6">
        <v>12120.65</v>
      </c>
      <c r="EZ6">
        <v>-3.27</v>
      </c>
      <c r="FA6">
        <v>77453</v>
      </c>
      <c r="FB6">
        <v>52661</v>
      </c>
      <c r="FC6">
        <v>24792</v>
      </c>
      <c r="FD6">
        <v>52589</v>
      </c>
      <c r="FE6">
        <v>5533.06</v>
      </c>
      <c r="FF6">
        <v>44881</v>
      </c>
      <c r="FG6">
        <v>5170.08</v>
      </c>
      <c r="FH6">
        <v>7708</v>
      </c>
      <c r="FI6">
        <v>9358.91</v>
      </c>
      <c r="FJ6">
        <v>4321</v>
      </c>
      <c r="FK6">
        <v>5246.48</v>
      </c>
      <c r="FL6">
        <v>399707</v>
      </c>
      <c r="FM6">
        <v>8617.32</v>
      </c>
      <c r="FN6">
        <v>0.8</v>
      </c>
      <c r="FO6">
        <v>132880</v>
      </c>
      <c r="FP6">
        <v>66038</v>
      </c>
      <c r="FQ6">
        <v>66842</v>
      </c>
      <c r="FR6">
        <v>65555</v>
      </c>
      <c r="FS6">
        <v>1599.51</v>
      </c>
      <c r="FT6">
        <v>61988</v>
      </c>
      <c r="FU6">
        <v>1630.81</v>
      </c>
      <c r="FV6">
        <v>3567</v>
      </c>
      <c r="FW6">
        <v>1199.53</v>
      </c>
      <c r="FX6">
        <v>8632</v>
      </c>
      <c r="FY6">
        <v>2902.81</v>
      </c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</row>
    <row r="7" spans="1:200" s="6" customFormat="1">
      <c r="A7" s="5">
        <v>2015</v>
      </c>
      <c r="B7" s="6">
        <v>54445</v>
      </c>
      <c r="C7" s="6">
        <v>14332</v>
      </c>
      <c r="D7">
        <f t="shared" si="0"/>
        <v>40113</v>
      </c>
      <c r="N7">
        <v>9696</v>
      </c>
      <c r="O7">
        <v>25905.74</v>
      </c>
      <c r="P7">
        <v>-1.53</v>
      </c>
      <c r="Q7">
        <v>6026</v>
      </c>
      <c r="R7">
        <v>1577</v>
      </c>
      <c r="S7">
        <v>4449</v>
      </c>
      <c r="T7">
        <v>1507</v>
      </c>
      <c r="U7">
        <v>4670.7</v>
      </c>
      <c r="V7">
        <v>1358</v>
      </c>
      <c r="W7">
        <v>4556.4399999999996</v>
      </c>
      <c r="X7">
        <v>149</v>
      </c>
      <c r="Y7">
        <v>6054.45</v>
      </c>
      <c r="Z7">
        <v>647</v>
      </c>
      <c r="AA7">
        <v>26290.13</v>
      </c>
      <c r="AB7">
        <v>20784</v>
      </c>
      <c r="AC7">
        <v>47142.080000000002</v>
      </c>
      <c r="AD7">
        <v>1.26</v>
      </c>
      <c r="AE7">
        <v>14052</v>
      </c>
      <c r="AF7">
        <v>2717</v>
      </c>
      <c r="AG7">
        <v>11335</v>
      </c>
      <c r="AH7">
        <v>2626</v>
      </c>
      <c r="AI7">
        <v>7255.95</v>
      </c>
      <c r="AJ7">
        <v>2459</v>
      </c>
      <c r="AK7">
        <v>7411.76</v>
      </c>
      <c r="AL7">
        <v>167</v>
      </c>
      <c r="AM7">
        <v>5540.81</v>
      </c>
      <c r="AN7">
        <v>660</v>
      </c>
      <c r="AO7">
        <v>21897.81</v>
      </c>
      <c r="AP7">
        <v>12555</v>
      </c>
      <c r="AQ7">
        <v>34006.879999999997</v>
      </c>
      <c r="AR7">
        <v>4.2699999999999996</v>
      </c>
      <c r="AS7">
        <v>9834</v>
      </c>
      <c r="AT7">
        <v>2234</v>
      </c>
      <c r="AU7">
        <v>7600</v>
      </c>
      <c r="AV7">
        <v>2034</v>
      </c>
      <c r="AW7">
        <v>7429.59</v>
      </c>
      <c r="AX7">
        <v>1877</v>
      </c>
      <c r="AY7">
        <v>7960.81</v>
      </c>
      <c r="AZ7">
        <v>157</v>
      </c>
      <c r="BA7">
        <v>4132.67</v>
      </c>
      <c r="BB7">
        <v>710</v>
      </c>
      <c r="BC7">
        <v>18689.13</v>
      </c>
      <c r="BD7">
        <v>33545</v>
      </c>
      <c r="BE7">
        <v>6356.16</v>
      </c>
      <c r="BF7">
        <v>2.39</v>
      </c>
      <c r="BG7">
        <v>12383</v>
      </c>
      <c r="BH7">
        <v>8051</v>
      </c>
      <c r="BI7">
        <v>4332</v>
      </c>
      <c r="BJ7">
        <v>8056</v>
      </c>
      <c r="BK7">
        <v>1722.01</v>
      </c>
      <c r="BL7">
        <v>7299</v>
      </c>
      <c r="BM7">
        <v>1674.94</v>
      </c>
      <c r="BN7">
        <v>757</v>
      </c>
      <c r="BO7">
        <v>2362.08</v>
      </c>
      <c r="BP7">
        <v>881</v>
      </c>
      <c r="BQ7">
        <v>2749</v>
      </c>
      <c r="BR7">
        <v>6849</v>
      </c>
      <c r="BS7">
        <v>4676.78</v>
      </c>
      <c r="BT7">
        <v>-11.67</v>
      </c>
      <c r="BU7">
        <v>2365</v>
      </c>
      <c r="BV7">
        <v>1682</v>
      </c>
      <c r="BW7">
        <v>683</v>
      </c>
      <c r="BX7">
        <v>1635</v>
      </c>
      <c r="BY7">
        <v>1278.81</v>
      </c>
      <c r="BZ7">
        <v>1491</v>
      </c>
      <c r="CA7">
        <v>1262.9000000000001</v>
      </c>
      <c r="CB7">
        <v>144</v>
      </c>
      <c r="CC7">
        <v>1470.74</v>
      </c>
      <c r="CD7">
        <v>158</v>
      </c>
      <c r="CE7">
        <v>1613.73</v>
      </c>
      <c r="CF7">
        <v>53193</v>
      </c>
      <c r="CG7">
        <v>5640.82</v>
      </c>
      <c r="CH7">
        <v>-9.42</v>
      </c>
      <c r="CI7">
        <v>24784</v>
      </c>
      <c r="CJ7">
        <v>15049</v>
      </c>
      <c r="CK7">
        <v>9735</v>
      </c>
      <c r="CL7">
        <v>14468</v>
      </c>
      <c r="CM7">
        <v>1726.49</v>
      </c>
      <c r="CN7">
        <v>13199</v>
      </c>
      <c r="CO7">
        <v>1691.94</v>
      </c>
      <c r="CP7">
        <v>1269</v>
      </c>
      <c r="CQ7">
        <v>2192.0500000000002</v>
      </c>
      <c r="CR7">
        <v>2047</v>
      </c>
      <c r="CS7">
        <v>3535.96</v>
      </c>
      <c r="CT7">
        <v>41597</v>
      </c>
      <c r="CU7">
        <v>5517.79</v>
      </c>
      <c r="CV7">
        <v>8.77</v>
      </c>
      <c r="CW7">
        <v>15845</v>
      </c>
      <c r="CX7">
        <v>11384</v>
      </c>
      <c r="CY7">
        <v>4461</v>
      </c>
      <c r="CZ7">
        <v>11025</v>
      </c>
      <c r="DA7">
        <v>1651.55</v>
      </c>
      <c r="DB7">
        <v>9954</v>
      </c>
      <c r="DC7">
        <v>1604.72</v>
      </c>
      <c r="DD7">
        <v>1071</v>
      </c>
      <c r="DE7">
        <v>2266.14</v>
      </c>
      <c r="DF7">
        <v>1198</v>
      </c>
      <c r="DG7">
        <v>2534.86</v>
      </c>
      <c r="DH7">
        <v>2111021</v>
      </c>
      <c r="DI7">
        <v>5888.19</v>
      </c>
      <c r="DJ7">
        <v>1.95</v>
      </c>
      <c r="DK7">
        <v>945130</v>
      </c>
      <c r="DL7">
        <v>613102</v>
      </c>
      <c r="DM7">
        <v>332028</v>
      </c>
      <c r="DN7">
        <v>584092</v>
      </c>
      <c r="DO7">
        <v>1870.9</v>
      </c>
      <c r="DP7">
        <v>534583</v>
      </c>
      <c r="DQ7">
        <v>1849.59</v>
      </c>
      <c r="DR7">
        <v>49509</v>
      </c>
      <c r="DS7">
        <v>2136.7800000000002</v>
      </c>
      <c r="DT7">
        <v>61240</v>
      </c>
      <c r="DU7">
        <v>2643.08</v>
      </c>
      <c r="DV7">
        <v>550391</v>
      </c>
      <c r="DW7">
        <v>3990.64</v>
      </c>
      <c r="DX7">
        <v>-0.32</v>
      </c>
      <c r="DY7">
        <v>264707</v>
      </c>
      <c r="DZ7">
        <v>189947</v>
      </c>
      <c r="EA7">
        <v>74760</v>
      </c>
      <c r="EB7">
        <v>185175</v>
      </c>
      <c r="EC7">
        <v>1537.73</v>
      </c>
      <c r="ED7">
        <v>169732</v>
      </c>
      <c r="EE7">
        <v>1526.68</v>
      </c>
      <c r="EF7">
        <v>15443</v>
      </c>
      <c r="EG7">
        <v>1670.58</v>
      </c>
      <c r="EH7">
        <v>19863</v>
      </c>
      <c r="EI7">
        <v>2148.7199999999998</v>
      </c>
      <c r="EJ7">
        <v>113643</v>
      </c>
      <c r="EK7">
        <v>8786.5300000000007</v>
      </c>
      <c r="EL7">
        <v>4.55</v>
      </c>
      <c r="EM7">
        <v>56670</v>
      </c>
      <c r="EN7">
        <v>32708</v>
      </c>
      <c r="EO7">
        <v>23962</v>
      </c>
      <c r="EP7">
        <v>31236</v>
      </c>
      <c r="EQ7">
        <v>2839.24</v>
      </c>
      <c r="ER7">
        <v>26797</v>
      </c>
      <c r="ES7">
        <v>2673.34</v>
      </c>
      <c r="ET7">
        <v>4439</v>
      </c>
      <c r="EU7">
        <v>4539.97</v>
      </c>
      <c r="EV7">
        <v>4175</v>
      </c>
      <c r="EW7">
        <v>4269.96</v>
      </c>
      <c r="EX7">
        <v>144047</v>
      </c>
      <c r="EY7">
        <v>12706.62</v>
      </c>
      <c r="EZ7">
        <v>4.83</v>
      </c>
      <c r="FA7">
        <v>77236</v>
      </c>
      <c r="FB7">
        <v>52743</v>
      </c>
      <c r="FC7">
        <v>24493</v>
      </c>
      <c r="FD7">
        <v>52654</v>
      </c>
      <c r="FE7">
        <v>5496.84</v>
      </c>
      <c r="FF7">
        <v>45417</v>
      </c>
      <c r="FG7">
        <v>5185.26</v>
      </c>
      <c r="FH7">
        <v>7237</v>
      </c>
      <c r="FI7">
        <v>8824.64</v>
      </c>
      <c r="FJ7">
        <v>4330</v>
      </c>
      <c r="FK7">
        <v>5279.91</v>
      </c>
      <c r="FL7">
        <v>412078</v>
      </c>
      <c r="FM7">
        <v>8799.18</v>
      </c>
      <c r="FN7">
        <v>2.11</v>
      </c>
      <c r="FO7">
        <v>130226</v>
      </c>
      <c r="FP7">
        <v>68969</v>
      </c>
      <c r="FQ7">
        <v>61257</v>
      </c>
      <c r="FR7">
        <v>68131</v>
      </c>
      <c r="FS7">
        <v>1645.77</v>
      </c>
      <c r="FT7">
        <v>64504</v>
      </c>
      <c r="FU7">
        <v>1677.68</v>
      </c>
      <c r="FV7">
        <v>3627</v>
      </c>
      <c r="FW7">
        <v>1229.81</v>
      </c>
      <c r="FX7">
        <v>7409</v>
      </c>
      <c r="FY7">
        <v>2512.17</v>
      </c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</row>
    <row r="9" spans="1:200">
      <c r="A9" s="1" t="s">
        <v>0</v>
      </c>
      <c r="B9" s="1" t="s">
        <v>1</v>
      </c>
      <c r="C9" s="1" t="s">
        <v>2</v>
      </c>
      <c r="D9" s="1" t="s">
        <v>196</v>
      </c>
    </row>
    <row r="10" spans="1:200">
      <c r="A10" s="5">
        <v>2010</v>
      </c>
      <c r="B10" s="6">
        <v>55787</v>
      </c>
      <c r="C10" s="6">
        <v>13281</v>
      </c>
      <c r="D10">
        <f>B10-C10</f>
        <v>42506</v>
      </c>
    </row>
    <row r="11" spans="1:200">
      <c r="A11" s="5">
        <v>2011</v>
      </c>
      <c r="B11" s="6">
        <v>55820</v>
      </c>
      <c r="C11" s="6">
        <v>13604</v>
      </c>
      <c r="D11">
        <f t="shared" ref="D11:D15" si="1">B11-C11</f>
        <v>42216</v>
      </c>
    </row>
    <row r="12" spans="1:200">
      <c r="A12" s="5">
        <v>2012</v>
      </c>
      <c r="B12" s="6">
        <v>55673</v>
      </c>
      <c r="C12" s="6">
        <v>13832</v>
      </c>
      <c r="D12">
        <f t="shared" si="1"/>
        <v>41841</v>
      </c>
    </row>
    <row r="13" spans="1:200">
      <c r="A13" s="5">
        <v>2013</v>
      </c>
      <c r="B13" s="6">
        <v>55252</v>
      </c>
      <c r="C13" s="6">
        <v>13998</v>
      </c>
      <c r="D13">
        <f t="shared" si="1"/>
        <v>41254</v>
      </c>
    </row>
    <row r="14" spans="1:200">
      <c r="A14" s="5">
        <v>2014</v>
      </c>
      <c r="B14" s="6">
        <v>54650</v>
      </c>
      <c r="C14" s="6">
        <v>14156</v>
      </c>
      <c r="D14">
        <f t="shared" si="1"/>
        <v>40494</v>
      </c>
    </row>
    <row r="15" spans="1:200">
      <c r="A15" s="5">
        <v>2015</v>
      </c>
      <c r="B15" s="6">
        <v>54445</v>
      </c>
      <c r="C15" s="6">
        <v>14332</v>
      </c>
      <c r="D15">
        <f t="shared" si="1"/>
        <v>40113</v>
      </c>
    </row>
    <row r="17" spans="1:12">
      <c r="A17" s="1" t="s">
        <v>0</v>
      </c>
      <c r="B17" s="2" t="s">
        <v>3</v>
      </c>
      <c r="C17" s="1" t="s">
        <v>4</v>
      </c>
      <c r="D17" s="2" t="s">
        <v>5</v>
      </c>
      <c r="E17" s="2" t="s">
        <v>6</v>
      </c>
      <c r="F17" s="2" t="s">
        <v>7</v>
      </c>
      <c r="G17" s="2" t="s">
        <v>8</v>
      </c>
      <c r="H17" s="2" t="s">
        <v>9</v>
      </c>
      <c r="I17" s="2" t="s">
        <v>10</v>
      </c>
      <c r="J17" s="1" t="s">
        <v>11</v>
      </c>
    </row>
    <row r="18" spans="1:12">
      <c r="A18" s="5">
        <v>2010</v>
      </c>
      <c r="B18" s="7">
        <v>66</v>
      </c>
      <c r="C18" s="7">
        <v>7</v>
      </c>
      <c r="D18" s="7">
        <v>14</v>
      </c>
      <c r="E18" s="7">
        <v>22</v>
      </c>
      <c r="F18" s="7">
        <v>3</v>
      </c>
      <c r="G18" s="7">
        <v>1</v>
      </c>
      <c r="H18" s="7">
        <v>10</v>
      </c>
      <c r="I18" s="7">
        <v>8</v>
      </c>
      <c r="J18" s="7">
        <v>1</v>
      </c>
    </row>
    <row r="19" spans="1:12">
      <c r="A19" s="5">
        <v>2011</v>
      </c>
      <c r="B19" s="7">
        <v>68</v>
      </c>
      <c r="C19" s="7">
        <v>7</v>
      </c>
      <c r="D19" s="7">
        <v>11</v>
      </c>
      <c r="E19" s="7">
        <v>23</v>
      </c>
      <c r="F19" s="7">
        <v>1</v>
      </c>
      <c r="G19" s="7">
        <v>2</v>
      </c>
      <c r="H19" s="7">
        <v>12</v>
      </c>
      <c r="I19" s="7">
        <v>9</v>
      </c>
      <c r="J19" s="7">
        <v>3</v>
      </c>
    </row>
    <row r="20" spans="1:12">
      <c r="A20" s="5">
        <v>2012</v>
      </c>
      <c r="B20" s="7">
        <v>63</v>
      </c>
      <c r="C20" s="7">
        <v>4</v>
      </c>
      <c r="D20" s="7">
        <v>11</v>
      </c>
      <c r="E20" s="7">
        <v>19</v>
      </c>
      <c r="F20" s="7">
        <v>9</v>
      </c>
      <c r="G20" s="7">
        <v>3</v>
      </c>
      <c r="H20" s="7">
        <v>7</v>
      </c>
      <c r="I20" s="7">
        <v>8</v>
      </c>
      <c r="J20" s="7">
        <v>2</v>
      </c>
    </row>
    <row r="21" spans="1:12">
      <c r="A21" s="5">
        <v>2013</v>
      </c>
      <c r="B21" s="7">
        <v>47</v>
      </c>
      <c r="C21" s="7">
        <v>5</v>
      </c>
      <c r="D21" s="7">
        <v>11</v>
      </c>
      <c r="E21" s="7">
        <v>13</v>
      </c>
      <c r="F21" s="7">
        <v>1</v>
      </c>
      <c r="G21" s="7">
        <v>2</v>
      </c>
      <c r="H21" s="7">
        <v>7</v>
      </c>
      <c r="I21" s="7">
        <v>5</v>
      </c>
      <c r="J21" s="7">
        <v>3</v>
      </c>
    </row>
    <row r="22" spans="1:12">
      <c r="A22" s="5">
        <v>2014</v>
      </c>
      <c r="B22" s="7">
        <v>62</v>
      </c>
      <c r="C22" s="7">
        <v>2</v>
      </c>
      <c r="D22" s="7">
        <v>10</v>
      </c>
      <c r="E22" s="7">
        <v>12</v>
      </c>
      <c r="F22" s="7">
        <v>9</v>
      </c>
      <c r="G22" s="7">
        <v>3</v>
      </c>
      <c r="H22" s="7">
        <v>11</v>
      </c>
      <c r="I22" s="7">
        <v>14</v>
      </c>
      <c r="J22" s="7">
        <v>1</v>
      </c>
    </row>
    <row r="23" spans="1:12">
      <c r="A23" s="5">
        <v>2015</v>
      </c>
    </row>
    <row r="25" spans="1:12">
      <c r="A25" s="1" t="s">
        <v>0</v>
      </c>
      <c r="B25" s="3" t="s">
        <v>12</v>
      </c>
      <c r="C25" s="4" t="s">
        <v>26</v>
      </c>
      <c r="D25" s="9" t="s">
        <v>177</v>
      </c>
      <c r="E25" s="4" t="s">
        <v>51</v>
      </c>
      <c r="F25" s="4" t="s">
        <v>63</v>
      </c>
      <c r="G25" s="4" t="s">
        <v>76</v>
      </c>
      <c r="H25" s="4" t="s">
        <v>89</v>
      </c>
      <c r="I25" s="4" t="s">
        <v>115</v>
      </c>
      <c r="J25" s="4" t="s">
        <v>128</v>
      </c>
      <c r="K25" s="4" t="s">
        <v>179</v>
      </c>
      <c r="L25" s="4" t="s">
        <v>153</v>
      </c>
    </row>
    <row r="26" spans="1:12">
      <c r="A26" s="5">
        <v>2010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>
      <c r="A27" s="5">
        <v>2011</v>
      </c>
      <c r="B27">
        <v>7981</v>
      </c>
      <c r="C27">
        <v>22751</v>
      </c>
      <c r="D27">
        <v>13488</v>
      </c>
      <c r="E27">
        <v>37465</v>
      </c>
      <c r="F27">
        <v>10500</v>
      </c>
      <c r="G27">
        <v>69357</v>
      </c>
      <c r="H27">
        <v>45809</v>
      </c>
      <c r="I27">
        <v>636172</v>
      </c>
      <c r="J27">
        <v>121719</v>
      </c>
      <c r="K27">
        <v>150574</v>
      </c>
      <c r="L27">
        <v>418763</v>
      </c>
    </row>
    <row r="28" spans="1:12">
      <c r="A28" s="5">
        <v>2012</v>
      </c>
      <c r="B28">
        <v>8191</v>
      </c>
      <c r="C28">
        <v>22367</v>
      </c>
      <c r="D28">
        <v>14079</v>
      </c>
      <c r="E28">
        <v>36024</v>
      </c>
      <c r="F28">
        <v>10678</v>
      </c>
      <c r="G28">
        <v>67485</v>
      </c>
      <c r="H28">
        <v>47498</v>
      </c>
      <c r="I28">
        <v>618486</v>
      </c>
      <c r="J28">
        <v>121815</v>
      </c>
      <c r="K28">
        <v>147209</v>
      </c>
      <c r="L28">
        <v>411975</v>
      </c>
    </row>
    <row r="29" spans="1:12">
      <c r="A29" s="5">
        <v>2013</v>
      </c>
      <c r="B29">
        <v>9492</v>
      </c>
      <c r="C29">
        <v>21252</v>
      </c>
      <c r="D29">
        <v>12271</v>
      </c>
      <c r="E29">
        <v>35217</v>
      </c>
      <c r="F29">
        <v>9498</v>
      </c>
      <c r="G29">
        <v>60490</v>
      </c>
      <c r="H29">
        <v>41384</v>
      </c>
      <c r="I29">
        <v>566931</v>
      </c>
      <c r="J29">
        <v>110361</v>
      </c>
      <c r="K29">
        <v>138600</v>
      </c>
      <c r="L29">
        <v>391767</v>
      </c>
    </row>
    <row r="30" spans="1:12">
      <c r="A30" s="5">
        <v>2014</v>
      </c>
      <c r="B30">
        <v>9731</v>
      </c>
      <c r="C30">
        <v>20476</v>
      </c>
      <c r="D30">
        <v>11768</v>
      </c>
      <c r="E30">
        <v>32842</v>
      </c>
      <c r="F30">
        <v>7739</v>
      </c>
      <c r="G30">
        <v>58688</v>
      </c>
      <c r="H30">
        <v>38280</v>
      </c>
      <c r="I30">
        <v>547570</v>
      </c>
      <c r="J30">
        <v>107589</v>
      </c>
      <c r="K30">
        <v>136028</v>
      </c>
      <c r="L30">
        <v>399707</v>
      </c>
    </row>
    <row r="31" spans="1:12">
      <c r="A31" s="5">
        <v>2015</v>
      </c>
      <c r="B31">
        <v>9696</v>
      </c>
      <c r="C31">
        <v>20784</v>
      </c>
      <c r="D31">
        <v>12555</v>
      </c>
      <c r="E31">
        <v>33545</v>
      </c>
      <c r="F31">
        <v>6849</v>
      </c>
      <c r="G31">
        <v>53193</v>
      </c>
      <c r="H31">
        <v>41597</v>
      </c>
      <c r="I31">
        <v>550391</v>
      </c>
      <c r="J31">
        <v>113643</v>
      </c>
      <c r="K31">
        <v>144047</v>
      </c>
      <c r="L31">
        <v>412078</v>
      </c>
    </row>
    <row r="32" spans="1:12">
      <c r="A32" s="5"/>
    </row>
    <row r="33" spans="1:12">
      <c r="A33" s="1" t="s">
        <v>0</v>
      </c>
      <c r="B33" s="3" t="s">
        <v>13</v>
      </c>
      <c r="C33" s="9" t="s">
        <v>27</v>
      </c>
      <c r="D33" s="9" t="s">
        <v>39</v>
      </c>
      <c r="E33" s="4" t="s">
        <v>52</v>
      </c>
      <c r="F33" s="4" t="s">
        <v>64</v>
      </c>
      <c r="G33" s="4" t="s">
        <v>77</v>
      </c>
      <c r="H33" s="4" t="s">
        <v>90</v>
      </c>
      <c r="I33" s="4" t="s">
        <v>116</v>
      </c>
      <c r="J33" s="4" t="s">
        <v>129</v>
      </c>
      <c r="K33" s="4" t="s">
        <v>141</v>
      </c>
      <c r="L33" s="4" t="s">
        <v>154</v>
      </c>
    </row>
    <row r="34" spans="1:12">
      <c r="A34" s="5">
        <v>2010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>
      <c r="A35" s="5">
        <v>2011</v>
      </c>
      <c r="B35">
        <v>22543.919999999998</v>
      </c>
      <c r="C35">
        <v>52299.95</v>
      </c>
      <c r="D35">
        <v>39443.21</v>
      </c>
      <c r="E35">
        <v>7135.69</v>
      </c>
      <c r="F35">
        <v>7289.74</v>
      </c>
      <c r="G35">
        <v>7343.49</v>
      </c>
      <c r="H35">
        <v>6063.16</v>
      </c>
      <c r="I35">
        <v>4796.3999999999996</v>
      </c>
      <c r="J35">
        <v>9865.9500000000007</v>
      </c>
      <c r="K35">
        <v>14120.52</v>
      </c>
      <c r="L35">
        <v>9307.6299999999992</v>
      </c>
    </row>
    <row r="36" spans="1:12">
      <c r="A36" s="5">
        <v>2012</v>
      </c>
      <c r="B36">
        <v>22633.95</v>
      </c>
      <c r="C36">
        <v>51244.04</v>
      </c>
      <c r="D36">
        <v>40539.61</v>
      </c>
      <c r="E36">
        <v>6837.04</v>
      </c>
      <c r="F36">
        <v>7351.01</v>
      </c>
      <c r="G36">
        <v>7142.52</v>
      </c>
      <c r="H36">
        <v>6275.86</v>
      </c>
      <c r="I36">
        <v>4612.28</v>
      </c>
      <c r="J36">
        <v>9742.0400000000009</v>
      </c>
      <c r="K36">
        <v>13539.91</v>
      </c>
      <c r="L36">
        <v>9069.19</v>
      </c>
    </row>
    <row r="37" spans="1:12">
      <c r="A37" s="5">
        <v>2013</v>
      </c>
      <c r="B37">
        <v>26056.16</v>
      </c>
      <c r="C37">
        <v>48427.67</v>
      </c>
      <c r="D37">
        <v>34629.599999999999</v>
      </c>
      <c r="E37">
        <v>6669.67</v>
      </c>
      <c r="F37">
        <v>6530.48</v>
      </c>
      <c r="G37">
        <v>6414.7</v>
      </c>
      <c r="H37">
        <v>5476.12</v>
      </c>
      <c r="I37">
        <v>4183.68</v>
      </c>
      <c r="J37">
        <v>8721.83</v>
      </c>
      <c r="K37">
        <v>12530.26</v>
      </c>
      <c r="L37">
        <v>8549</v>
      </c>
    </row>
    <row r="38" spans="1:12">
      <c r="A38" s="5">
        <v>2014</v>
      </c>
      <c r="B38">
        <v>26307.11</v>
      </c>
      <c r="C38">
        <v>46557.53</v>
      </c>
      <c r="D38">
        <v>32613.7</v>
      </c>
      <c r="E38">
        <v>6207.51</v>
      </c>
      <c r="F38">
        <v>5294.81</v>
      </c>
      <c r="G38">
        <v>6227.59</v>
      </c>
      <c r="H38">
        <v>5073.03</v>
      </c>
      <c r="I38">
        <v>4003.38</v>
      </c>
      <c r="J38">
        <v>8403.7999999999993</v>
      </c>
      <c r="K38">
        <v>12120.65</v>
      </c>
      <c r="L38">
        <v>8617.32</v>
      </c>
    </row>
    <row r="39" spans="1:12">
      <c r="A39" s="5">
        <v>2015</v>
      </c>
      <c r="B39">
        <v>25905.74</v>
      </c>
      <c r="C39">
        <v>47142.080000000002</v>
      </c>
      <c r="D39">
        <v>34006.879999999997</v>
      </c>
      <c r="E39">
        <v>6356.16</v>
      </c>
      <c r="F39">
        <v>4676.78</v>
      </c>
      <c r="G39">
        <v>5640.82</v>
      </c>
      <c r="H39">
        <v>5517.79</v>
      </c>
      <c r="I39">
        <v>3990.64</v>
      </c>
      <c r="J39">
        <v>8786.5300000000007</v>
      </c>
      <c r="K39">
        <v>12706.62</v>
      </c>
      <c r="L39">
        <v>8799.18</v>
      </c>
    </row>
    <row r="40" spans="1:12">
      <c r="A40" s="5"/>
    </row>
    <row r="41" spans="1:12">
      <c r="A41" s="1" t="s">
        <v>0</v>
      </c>
      <c r="B41" s="3" t="s">
        <v>14</v>
      </c>
      <c r="C41" s="9" t="s">
        <v>191</v>
      </c>
      <c r="D41" s="9" t="s">
        <v>167</v>
      </c>
      <c r="E41" s="4" t="s">
        <v>168</v>
      </c>
      <c r="F41" s="4" t="s">
        <v>169</v>
      </c>
      <c r="G41" s="4" t="s">
        <v>170</v>
      </c>
      <c r="H41" s="4" t="s">
        <v>171</v>
      </c>
      <c r="I41" s="4" t="s">
        <v>173</v>
      </c>
      <c r="J41" s="4" t="s">
        <v>174</v>
      </c>
      <c r="K41" s="4" t="s">
        <v>175</v>
      </c>
      <c r="L41" s="4" t="s">
        <v>176</v>
      </c>
    </row>
    <row r="42" spans="1:12">
      <c r="A42" s="5">
        <v>2010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>
      <c r="A43" s="5">
        <v>2011</v>
      </c>
      <c r="B43">
        <v>-2.2799999999999998</v>
      </c>
      <c r="C43">
        <v>1.39</v>
      </c>
      <c r="D43">
        <v>-3.86</v>
      </c>
      <c r="E43">
        <v>-5.3</v>
      </c>
      <c r="F43">
        <v>2.09</v>
      </c>
      <c r="G43">
        <v>-6.29</v>
      </c>
      <c r="H43">
        <v>-4.3499999999999996</v>
      </c>
      <c r="I43">
        <v>-5.46</v>
      </c>
      <c r="J43">
        <v>-7.36</v>
      </c>
      <c r="K43">
        <v>-1.32</v>
      </c>
      <c r="L43">
        <v>-5.16</v>
      </c>
    </row>
    <row r="44" spans="1:12">
      <c r="A44" s="5">
        <v>2012</v>
      </c>
      <c r="B44">
        <v>0.4</v>
      </c>
      <c r="C44">
        <v>-2.02</v>
      </c>
      <c r="D44">
        <v>2.78</v>
      </c>
      <c r="E44">
        <v>-4.1900000000000004</v>
      </c>
      <c r="F44">
        <v>0.84</v>
      </c>
      <c r="G44">
        <v>-2.74</v>
      </c>
      <c r="H44">
        <v>3.51</v>
      </c>
      <c r="I44">
        <v>-3.84</v>
      </c>
      <c r="J44">
        <v>-1.26</v>
      </c>
      <c r="K44">
        <v>-4.1100000000000003</v>
      </c>
      <c r="L44">
        <v>-2.56</v>
      </c>
    </row>
    <row r="45" spans="1:12">
      <c r="A45" s="5">
        <v>2013</v>
      </c>
      <c r="B45">
        <v>15.12</v>
      </c>
      <c r="C45">
        <v>-5.5</v>
      </c>
      <c r="D45">
        <v>-14.58</v>
      </c>
      <c r="E45">
        <v>-2.4500000000000002</v>
      </c>
      <c r="F45">
        <v>-11.16</v>
      </c>
      <c r="G45">
        <v>-10.19</v>
      </c>
      <c r="H45">
        <v>-12.74</v>
      </c>
      <c r="I45">
        <v>-9.2899999999999991</v>
      </c>
      <c r="J45">
        <v>-10.47</v>
      </c>
      <c r="K45">
        <v>-7.46</v>
      </c>
      <c r="L45">
        <v>-5.74</v>
      </c>
    </row>
    <row r="46" spans="1:12">
      <c r="A46" s="5">
        <v>2014</v>
      </c>
      <c r="B46">
        <v>0.96</v>
      </c>
      <c r="C46">
        <v>-3.86</v>
      </c>
      <c r="D46">
        <v>-5.82</v>
      </c>
      <c r="E46">
        <v>-6.93</v>
      </c>
      <c r="F46">
        <v>-18.920000000000002</v>
      </c>
      <c r="G46">
        <v>-2.92</v>
      </c>
      <c r="H46">
        <v>-7.36</v>
      </c>
      <c r="I46">
        <v>-4.3099999999999996</v>
      </c>
      <c r="J46">
        <v>-3.65</v>
      </c>
      <c r="K46">
        <v>-3.27</v>
      </c>
      <c r="L46">
        <v>0.8</v>
      </c>
    </row>
    <row r="47" spans="1:12">
      <c r="A47" s="5">
        <v>2015</v>
      </c>
      <c r="B47">
        <v>-1.53</v>
      </c>
      <c r="C47">
        <v>1.26</v>
      </c>
      <c r="D47">
        <v>4.2699999999999996</v>
      </c>
      <c r="E47">
        <v>2.39</v>
      </c>
      <c r="F47">
        <v>-11.67</v>
      </c>
      <c r="G47">
        <v>-9.42</v>
      </c>
      <c r="H47">
        <v>8.77</v>
      </c>
      <c r="I47">
        <v>-0.32</v>
      </c>
      <c r="J47">
        <v>4.55</v>
      </c>
      <c r="K47">
        <v>4.83</v>
      </c>
      <c r="L47">
        <v>2.11</v>
      </c>
    </row>
    <row r="48" spans="1:12">
      <c r="A48" s="5"/>
    </row>
    <row r="49" spans="1:12">
      <c r="A49" s="1" t="s">
        <v>0</v>
      </c>
      <c r="B49" s="3" t="s">
        <v>15</v>
      </c>
      <c r="C49" s="9" t="s">
        <v>28</v>
      </c>
      <c r="D49" s="9" t="s">
        <v>40</v>
      </c>
      <c r="E49" s="4" t="s">
        <v>53</v>
      </c>
      <c r="F49" s="4" t="s">
        <v>65</v>
      </c>
      <c r="G49" s="4" t="s">
        <v>78</v>
      </c>
      <c r="H49" s="4" t="s">
        <v>91</v>
      </c>
      <c r="I49" s="4" t="s">
        <v>117</v>
      </c>
      <c r="J49" s="4" t="s">
        <v>130</v>
      </c>
      <c r="K49" s="4" t="s">
        <v>142</v>
      </c>
      <c r="L49" s="4" t="s">
        <v>155</v>
      </c>
    </row>
    <row r="50" spans="1:12">
      <c r="A50" s="5">
        <v>2010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>
      <c r="A51" s="5">
        <v>2011</v>
      </c>
      <c r="B51">
        <v>5258</v>
      </c>
      <c r="C51">
        <v>16710</v>
      </c>
      <c r="D51">
        <v>11170</v>
      </c>
      <c r="E51">
        <v>14634</v>
      </c>
      <c r="F51">
        <v>3516</v>
      </c>
      <c r="G51">
        <v>32641</v>
      </c>
      <c r="H51">
        <v>20842</v>
      </c>
      <c r="I51">
        <v>300694</v>
      </c>
      <c r="J51">
        <v>60557</v>
      </c>
      <c r="K51">
        <v>89302</v>
      </c>
      <c r="L51">
        <v>154026</v>
      </c>
    </row>
    <row r="52" spans="1:12">
      <c r="A52" s="5">
        <v>2012</v>
      </c>
      <c r="B52">
        <v>5039</v>
      </c>
      <c r="C52">
        <v>15742</v>
      </c>
      <c r="D52">
        <v>11220</v>
      </c>
      <c r="E52">
        <v>14265</v>
      </c>
      <c r="F52">
        <v>3812</v>
      </c>
      <c r="G52">
        <v>32082</v>
      </c>
      <c r="H52">
        <v>20535</v>
      </c>
      <c r="I52">
        <v>294725</v>
      </c>
      <c r="J52">
        <v>61318</v>
      </c>
      <c r="K52">
        <v>88662</v>
      </c>
      <c r="L52">
        <v>146205</v>
      </c>
    </row>
    <row r="53" spans="1:12">
      <c r="A53" s="5">
        <v>2013</v>
      </c>
      <c r="B53">
        <v>6034</v>
      </c>
      <c r="C53">
        <v>14964</v>
      </c>
      <c r="D53">
        <v>9837</v>
      </c>
      <c r="E53">
        <v>14062</v>
      </c>
      <c r="F53">
        <v>3197</v>
      </c>
      <c r="G53">
        <v>28312</v>
      </c>
      <c r="H53">
        <v>17575</v>
      </c>
      <c r="I53">
        <v>275834</v>
      </c>
      <c r="J53">
        <v>58454</v>
      </c>
      <c r="K53">
        <v>80965</v>
      </c>
      <c r="L53">
        <v>141955</v>
      </c>
    </row>
    <row r="54" spans="1:12">
      <c r="A54" s="5">
        <v>2014</v>
      </c>
      <c r="B54">
        <v>6048</v>
      </c>
      <c r="C54">
        <v>14206</v>
      </c>
      <c r="D54">
        <v>9290</v>
      </c>
      <c r="E54">
        <v>13438</v>
      </c>
      <c r="F54">
        <v>2735</v>
      </c>
      <c r="G54">
        <v>26721</v>
      </c>
      <c r="H54">
        <v>16455</v>
      </c>
      <c r="I54">
        <v>264292</v>
      </c>
      <c r="J54">
        <v>56314</v>
      </c>
      <c r="K54">
        <v>77453</v>
      </c>
      <c r="L54">
        <v>132880</v>
      </c>
    </row>
    <row r="55" spans="1:12">
      <c r="A55" s="5">
        <v>2015</v>
      </c>
      <c r="B55">
        <v>6026</v>
      </c>
      <c r="C55">
        <v>14052</v>
      </c>
      <c r="D55">
        <v>9834</v>
      </c>
      <c r="E55">
        <v>12383</v>
      </c>
      <c r="F55">
        <v>2365</v>
      </c>
      <c r="G55">
        <v>24784</v>
      </c>
      <c r="H55">
        <v>15845</v>
      </c>
      <c r="I55">
        <v>264707</v>
      </c>
      <c r="J55">
        <v>56670</v>
      </c>
      <c r="K55">
        <v>77236</v>
      </c>
      <c r="L55">
        <v>130226</v>
      </c>
    </row>
    <row r="56" spans="1:12">
      <c r="A56" s="5"/>
    </row>
    <row r="57" spans="1:12">
      <c r="A57" s="1" t="s">
        <v>0</v>
      </c>
      <c r="B57" s="3" t="s">
        <v>16</v>
      </c>
      <c r="C57" s="9" t="s">
        <v>29</v>
      </c>
      <c r="D57" s="9" t="s">
        <v>41</v>
      </c>
      <c r="E57" s="4" t="s">
        <v>54</v>
      </c>
      <c r="F57" s="4" t="s">
        <v>66</v>
      </c>
      <c r="G57" s="4" t="s">
        <v>79</v>
      </c>
      <c r="H57" s="4" t="s">
        <v>92</v>
      </c>
      <c r="I57" s="4" t="s">
        <v>118</v>
      </c>
      <c r="J57" s="4" t="s">
        <v>131</v>
      </c>
      <c r="K57" s="4" t="s">
        <v>143</v>
      </c>
      <c r="L57" s="4" t="s">
        <v>156</v>
      </c>
    </row>
    <row r="58" spans="1:12">
      <c r="A58" s="5">
        <v>2010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>
      <c r="A59" s="5">
        <v>2011</v>
      </c>
      <c r="B59">
        <v>1664</v>
      </c>
      <c r="C59">
        <v>3571</v>
      </c>
      <c r="D59">
        <v>2886</v>
      </c>
      <c r="E59">
        <v>8546</v>
      </c>
      <c r="F59">
        <v>2077</v>
      </c>
      <c r="G59">
        <v>19390</v>
      </c>
      <c r="H59">
        <v>13356</v>
      </c>
      <c r="I59">
        <v>213152</v>
      </c>
      <c r="J59">
        <v>33745</v>
      </c>
      <c r="K59">
        <v>53546</v>
      </c>
      <c r="L59">
        <v>74807</v>
      </c>
    </row>
    <row r="60" spans="1:12">
      <c r="A60" s="5">
        <v>2012</v>
      </c>
      <c r="B60">
        <v>1615</v>
      </c>
      <c r="C60">
        <v>2867</v>
      </c>
      <c r="D60">
        <v>3059</v>
      </c>
      <c r="E60">
        <v>8722</v>
      </c>
      <c r="F60">
        <v>2329</v>
      </c>
      <c r="G60">
        <v>18342</v>
      </c>
      <c r="H60">
        <v>13302</v>
      </c>
      <c r="I60">
        <v>208916</v>
      </c>
      <c r="J60">
        <v>35603</v>
      </c>
      <c r="K60">
        <v>54536</v>
      </c>
      <c r="L60">
        <v>73240</v>
      </c>
    </row>
    <row r="61" spans="1:12">
      <c r="A61" s="5">
        <v>2013</v>
      </c>
      <c r="B61">
        <v>1710</v>
      </c>
      <c r="C61">
        <v>2735</v>
      </c>
      <c r="D61">
        <v>2806</v>
      </c>
      <c r="E61">
        <v>8771</v>
      </c>
      <c r="F61">
        <v>2187</v>
      </c>
      <c r="G61">
        <v>16558</v>
      </c>
      <c r="H61">
        <v>12205</v>
      </c>
      <c r="I61">
        <v>195657</v>
      </c>
      <c r="J61">
        <v>33474</v>
      </c>
      <c r="K61">
        <v>52952</v>
      </c>
      <c r="L61">
        <v>69148</v>
      </c>
    </row>
    <row r="62" spans="1:12">
      <c r="A62" s="5">
        <v>2014</v>
      </c>
      <c r="B62">
        <v>1582</v>
      </c>
      <c r="C62">
        <v>2595</v>
      </c>
      <c r="D62">
        <v>2384</v>
      </c>
      <c r="E62">
        <v>8391</v>
      </c>
      <c r="F62">
        <v>1892</v>
      </c>
      <c r="G62">
        <v>16380</v>
      </c>
      <c r="H62">
        <v>11422</v>
      </c>
      <c r="I62">
        <v>189283</v>
      </c>
      <c r="J62">
        <v>32040</v>
      </c>
      <c r="K62">
        <v>52661</v>
      </c>
      <c r="L62">
        <v>66038</v>
      </c>
    </row>
    <row r="63" spans="1:12">
      <c r="A63" s="5">
        <v>2015</v>
      </c>
      <c r="B63">
        <v>1577</v>
      </c>
      <c r="C63">
        <v>2717</v>
      </c>
      <c r="D63">
        <v>2234</v>
      </c>
      <c r="E63">
        <v>8051</v>
      </c>
      <c r="F63">
        <v>1682</v>
      </c>
      <c r="G63">
        <v>15049</v>
      </c>
      <c r="H63">
        <v>11384</v>
      </c>
      <c r="I63">
        <v>189947</v>
      </c>
      <c r="J63">
        <v>32708</v>
      </c>
      <c r="K63">
        <v>52743</v>
      </c>
      <c r="L63">
        <v>68969</v>
      </c>
    </row>
    <row r="64" spans="1:12">
      <c r="A64" s="5"/>
    </row>
    <row r="65" spans="1:12">
      <c r="A65" s="1" t="s">
        <v>0</v>
      </c>
      <c r="B65" s="3" t="s">
        <v>17</v>
      </c>
      <c r="C65" s="9" t="s">
        <v>30</v>
      </c>
      <c r="D65" s="9" t="s">
        <v>42</v>
      </c>
      <c r="E65" s="4" t="s">
        <v>55</v>
      </c>
      <c r="F65" s="4" t="s">
        <v>67</v>
      </c>
      <c r="G65" s="4" t="s">
        <v>80</v>
      </c>
      <c r="H65" s="4" t="s">
        <v>93</v>
      </c>
      <c r="I65" s="4" t="s">
        <v>119</v>
      </c>
      <c r="J65" s="4" t="s">
        <v>132</v>
      </c>
      <c r="K65" s="4" t="s">
        <v>144</v>
      </c>
      <c r="L65" s="4" t="s">
        <v>157</v>
      </c>
    </row>
    <row r="66" spans="1:12">
      <c r="A66" s="5">
        <v>2010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>
      <c r="A67" s="5">
        <v>2011</v>
      </c>
      <c r="B67">
        <v>3594</v>
      </c>
      <c r="C67">
        <v>13139</v>
      </c>
      <c r="D67">
        <v>8284</v>
      </c>
      <c r="E67">
        <v>6088</v>
      </c>
      <c r="F67">
        <v>1439</v>
      </c>
      <c r="G67">
        <v>13251</v>
      </c>
      <c r="H67">
        <v>7486</v>
      </c>
      <c r="I67">
        <v>87542</v>
      </c>
      <c r="J67">
        <v>26812</v>
      </c>
      <c r="K67">
        <v>35756</v>
      </c>
      <c r="L67">
        <v>79219</v>
      </c>
    </row>
    <row r="68" spans="1:12">
      <c r="A68" s="5">
        <v>2012</v>
      </c>
      <c r="B68">
        <v>3424</v>
      </c>
      <c r="C68">
        <v>12875</v>
      </c>
      <c r="D68">
        <v>8161</v>
      </c>
      <c r="E68">
        <v>5543</v>
      </c>
      <c r="F68">
        <v>1483</v>
      </c>
      <c r="G68">
        <v>13740</v>
      </c>
      <c r="H68">
        <v>7233</v>
      </c>
      <c r="I68">
        <v>85809</v>
      </c>
      <c r="J68">
        <v>25715</v>
      </c>
      <c r="K68">
        <v>34126</v>
      </c>
      <c r="L68">
        <v>72965</v>
      </c>
    </row>
    <row r="69" spans="1:12">
      <c r="A69" s="5">
        <v>2013</v>
      </c>
      <c r="B69">
        <v>4324</v>
      </c>
      <c r="C69">
        <v>12229</v>
      </c>
      <c r="D69">
        <v>7031</v>
      </c>
      <c r="E69">
        <v>5291</v>
      </c>
      <c r="F69">
        <v>1010</v>
      </c>
      <c r="G69">
        <v>11754</v>
      </c>
      <c r="H69">
        <v>5370</v>
      </c>
      <c r="I69">
        <v>80177</v>
      </c>
      <c r="J69">
        <v>24980</v>
      </c>
      <c r="K69">
        <v>28013</v>
      </c>
      <c r="L69">
        <v>72807</v>
      </c>
    </row>
    <row r="70" spans="1:12">
      <c r="A70" s="5">
        <v>2014</v>
      </c>
      <c r="B70">
        <v>4466</v>
      </c>
      <c r="C70">
        <v>11611</v>
      </c>
      <c r="D70">
        <v>6906</v>
      </c>
      <c r="E70">
        <v>5047</v>
      </c>
      <c r="F70">
        <v>843</v>
      </c>
      <c r="G70">
        <v>10341</v>
      </c>
      <c r="H70">
        <v>5033</v>
      </c>
      <c r="I70">
        <v>75009</v>
      </c>
      <c r="J70">
        <v>24274</v>
      </c>
      <c r="K70">
        <v>24792</v>
      </c>
      <c r="L70">
        <v>66842</v>
      </c>
    </row>
    <row r="71" spans="1:12">
      <c r="A71" s="5">
        <v>2015</v>
      </c>
      <c r="B71">
        <v>4449</v>
      </c>
      <c r="C71">
        <v>11335</v>
      </c>
      <c r="D71">
        <v>7600</v>
      </c>
      <c r="E71">
        <v>4332</v>
      </c>
      <c r="F71">
        <v>683</v>
      </c>
      <c r="G71">
        <v>9735</v>
      </c>
      <c r="H71">
        <v>4461</v>
      </c>
      <c r="I71">
        <v>74760</v>
      </c>
      <c r="J71">
        <v>23962</v>
      </c>
      <c r="K71">
        <v>24493</v>
      </c>
      <c r="L71">
        <v>61257</v>
      </c>
    </row>
    <row r="72" spans="1:12">
      <c r="A72" s="5"/>
    </row>
    <row r="73" spans="1:12">
      <c r="A73" s="1" t="s">
        <v>0</v>
      </c>
      <c r="B73" s="3" t="s">
        <v>18</v>
      </c>
      <c r="C73" s="9" t="s">
        <v>31</v>
      </c>
      <c r="D73" s="9" t="s">
        <v>43</v>
      </c>
      <c r="E73" s="4" t="s">
        <v>194</v>
      </c>
      <c r="F73" s="4" t="s">
        <v>68</v>
      </c>
      <c r="G73" s="4" t="s">
        <v>81</v>
      </c>
      <c r="H73" s="4" t="s">
        <v>94</v>
      </c>
      <c r="I73" s="4" t="s">
        <v>120</v>
      </c>
      <c r="J73" s="4" t="s">
        <v>133</v>
      </c>
      <c r="K73" s="4" t="s">
        <v>145</v>
      </c>
      <c r="L73" s="4" t="s">
        <v>158</v>
      </c>
    </row>
    <row r="74" spans="1:12">
      <c r="A74" s="5">
        <v>2010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>
      <c r="A75" s="5">
        <v>2011</v>
      </c>
      <c r="B75">
        <v>1629</v>
      </c>
      <c r="C75">
        <v>3386</v>
      </c>
      <c r="D75">
        <v>2654</v>
      </c>
      <c r="E75">
        <v>8521</v>
      </c>
      <c r="F75">
        <v>2077</v>
      </c>
      <c r="G75">
        <v>19410</v>
      </c>
      <c r="H75">
        <v>13242</v>
      </c>
      <c r="I75">
        <v>209852</v>
      </c>
      <c r="J75">
        <v>33488</v>
      </c>
      <c r="K75">
        <v>53494</v>
      </c>
      <c r="L75">
        <v>75983</v>
      </c>
    </row>
    <row r="76" spans="1:12">
      <c r="A76" s="5">
        <v>2012</v>
      </c>
      <c r="B76">
        <v>1600</v>
      </c>
      <c r="C76">
        <v>2800</v>
      </c>
      <c r="D76">
        <v>2750</v>
      </c>
      <c r="E76">
        <v>8678</v>
      </c>
      <c r="F76">
        <v>2247</v>
      </c>
      <c r="G76">
        <v>18160</v>
      </c>
      <c r="H76">
        <v>12858</v>
      </c>
      <c r="I76">
        <v>205225</v>
      </c>
      <c r="J76">
        <v>35324</v>
      </c>
      <c r="K76">
        <v>54713</v>
      </c>
      <c r="L76">
        <v>73158</v>
      </c>
    </row>
    <row r="77" spans="1:12">
      <c r="A77" s="5">
        <v>2013</v>
      </c>
      <c r="B77">
        <v>1710</v>
      </c>
      <c r="C77">
        <v>2603</v>
      </c>
      <c r="D77">
        <v>2519</v>
      </c>
      <c r="E77">
        <v>8706</v>
      </c>
      <c r="F77">
        <v>2180</v>
      </c>
      <c r="G77">
        <v>16312</v>
      </c>
      <c r="H77">
        <v>11859</v>
      </c>
      <c r="I77">
        <v>193206</v>
      </c>
      <c r="J77">
        <v>32851</v>
      </c>
      <c r="K77">
        <v>52989</v>
      </c>
      <c r="L77">
        <v>68850</v>
      </c>
    </row>
    <row r="78" spans="1:12">
      <c r="A78" s="5">
        <v>2014</v>
      </c>
      <c r="B78">
        <v>1525</v>
      </c>
      <c r="C78">
        <v>2462</v>
      </c>
      <c r="D78">
        <v>2166</v>
      </c>
      <c r="E78">
        <v>8310</v>
      </c>
      <c r="F78">
        <v>1861</v>
      </c>
      <c r="G78">
        <v>15878</v>
      </c>
      <c r="H78">
        <v>11127</v>
      </c>
      <c r="I78">
        <v>185272</v>
      </c>
      <c r="J78">
        <v>30798</v>
      </c>
      <c r="K78">
        <v>52589</v>
      </c>
      <c r="L78">
        <v>65555</v>
      </c>
    </row>
    <row r="79" spans="1:12">
      <c r="A79" s="5">
        <v>2015</v>
      </c>
      <c r="B79">
        <v>1507</v>
      </c>
      <c r="C79">
        <v>2626</v>
      </c>
      <c r="D79">
        <v>2034</v>
      </c>
      <c r="E79">
        <v>8056</v>
      </c>
      <c r="F79">
        <v>1635</v>
      </c>
      <c r="G79">
        <v>14468</v>
      </c>
      <c r="H79">
        <v>11025</v>
      </c>
      <c r="I79">
        <v>185175</v>
      </c>
      <c r="J79">
        <v>31236</v>
      </c>
      <c r="K79">
        <v>52654</v>
      </c>
      <c r="L79">
        <v>68131</v>
      </c>
    </row>
    <row r="80" spans="1:12">
      <c r="A80" s="5"/>
    </row>
    <row r="81" spans="1:12">
      <c r="A81" s="1" t="s">
        <v>0</v>
      </c>
      <c r="B81" s="3" t="s">
        <v>19</v>
      </c>
      <c r="C81" s="9" t="s">
        <v>32</v>
      </c>
      <c r="D81" s="9" t="s">
        <v>193</v>
      </c>
      <c r="E81" s="4" t="s">
        <v>195</v>
      </c>
      <c r="F81" s="4" t="s">
        <v>69</v>
      </c>
      <c r="G81" s="4" t="s">
        <v>82</v>
      </c>
      <c r="H81" s="4" t="s">
        <v>95</v>
      </c>
      <c r="I81" s="4" t="s">
        <v>121</v>
      </c>
      <c r="J81" s="4" t="s">
        <v>134</v>
      </c>
      <c r="K81" s="4" t="s">
        <v>146</v>
      </c>
      <c r="L81" s="4" t="s">
        <v>159</v>
      </c>
    </row>
    <row r="82" spans="1:12">
      <c r="A82" s="5">
        <v>2010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>
      <c r="A83" s="5">
        <v>2011</v>
      </c>
      <c r="B83">
        <v>5310.34</v>
      </c>
      <c r="C83">
        <v>9389.3799999999992</v>
      </c>
      <c r="D83">
        <v>10496.76</v>
      </c>
      <c r="E83">
        <v>1834.45</v>
      </c>
      <c r="F83">
        <v>1647.69</v>
      </c>
      <c r="G83">
        <v>2319.27</v>
      </c>
      <c r="H83">
        <v>1984.15</v>
      </c>
      <c r="I83">
        <v>1820.06</v>
      </c>
      <c r="J83">
        <v>3192.22</v>
      </c>
      <c r="K83">
        <v>5902.7</v>
      </c>
      <c r="L83">
        <v>1916.78</v>
      </c>
    </row>
    <row r="84" spans="1:12">
      <c r="A84" s="5">
        <v>2012</v>
      </c>
      <c r="B84">
        <v>5104.8100000000004</v>
      </c>
      <c r="C84">
        <v>7762.47</v>
      </c>
      <c r="D84">
        <v>10692.07</v>
      </c>
      <c r="E84">
        <v>1860.26</v>
      </c>
      <c r="F84">
        <v>1765.91</v>
      </c>
      <c r="G84">
        <v>2165.52</v>
      </c>
      <c r="H84">
        <v>1921.59</v>
      </c>
      <c r="I84">
        <v>1757.53</v>
      </c>
      <c r="J84">
        <v>3319.98</v>
      </c>
      <c r="K84">
        <v>5925.82</v>
      </c>
      <c r="L84">
        <v>1825.56</v>
      </c>
    </row>
    <row r="85" spans="1:12">
      <c r="A85" s="5">
        <v>2013</v>
      </c>
      <c r="B85">
        <v>5421.86</v>
      </c>
      <c r="C85">
        <v>7189.81</v>
      </c>
      <c r="D85">
        <v>9595.4599999999991</v>
      </c>
      <c r="E85">
        <v>1861.43</v>
      </c>
      <c r="F85">
        <v>1712.54</v>
      </c>
      <c r="G85">
        <v>1947.3</v>
      </c>
      <c r="H85">
        <v>1774.02</v>
      </c>
      <c r="I85">
        <v>1635.44</v>
      </c>
      <c r="J85">
        <v>3049.6</v>
      </c>
      <c r="K85">
        <v>5647.43</v>
      </c>
      <c r="L85">
        <v>1701.62</v>
      </c>
    </row>
    <row r="86" spans="1:12">
      <c r="A86" s="5">
        <v>2014</v>
      </c>
      <c r="B86">
        <v>4768.16</v>
      </c>
      <c r="C86">
        <v>6801.29</v>
      </c>
      <c r="D86">
        <v>8114.49</v>
      </c>
      <c r="E86">
        <v>1772.53</v>
      </c>
      <c r="F86">
        <v>1456.84</v>
      </c>
      <c r="G86">
        <v>1895.94</v>
      </c>
      <c r="H86">
        <v>1666.19</v>
      </c>
      <c r="I86">
        <v>1552.31</v>
      </c>
      <c r="J86">
        <v>2826.46</v>
      </c>
      <c r="K86">
        <v>5533.06</v>
      </c>
      <c r="L86">
        <v>1599.51</v>
      </c>
    </row>
    <row r="87" spans="1:12">
      <c r="A87" s="5">
        <v>2015</v>
      </c>
      <c r="B87">
        <v>4670.7</v>
      </c>
      <c r="C87">
        <v>7255.95</v>
      </c>
      <c r="D87">
        <v>7429.59</v>
      </c>
      <c r="E87">
        <v>1722.01</v>
      </c>
      <c r="F87">
        <v>1278.81</v>
      </c>
      <c r="G87">
        <v>1726.49</v>
      </c>
      <c r="H87">
        <v>1651.55</v>
      </c>
      <c r="I87">
        <v>1537.73</v>
      </c>
      <c r="J87">
        <v>2839.24</v>
      </c>
      <c r="K87">
        <v>5496.84</v>
      </c>
      <c r="L87">
        <v>1645.77</v>
      </c>
    </row>
    <row r="88" spans="1:12">
      <c r="A88" s="5"/>
    </row>
    <row r="89" spans="1:12">
      <c r="A89" s="1" t="s">
        <v>0</v>
      </c>
      <c r="B89" s="3" t="s">
        <v>180</v>
      </c>
      <c r="C89" s="9" t="s">
        <v>181</v>
      </c>
      <c r="D89" s="9" t="s">
        <v>182</v>
      </c>
      <c r="E89" s="4" t="s">
        <v>183</v>
      </c>
      <c r="F89" s="4" t="s">
        <v>184</v>
      </c>
      <c r="G89" s="4" t="s">
        <v>185</v>
      </c>
      <c r="H89" s="4" t="s">
        <v>186</v>
      </c>
      <c r="I89" s="4" t="s">
        <v>187</v>
      </c>
      <c r="J89" s="4" t="s">
        <v>188</v>
      </c>
      <c r="K89" s="4" t="s">
        <v>189</v>
      </c>
      <c r="L89" s="4" t="s">
        <v>190</v>
      </c>
    </row>
    <row r="90" spans="1:12">
      <c r="A90" s="5">
        <v>2010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>
      <c r="A91" s="5">
        <v>2011</v>
      </c>
      <c r="B91">
        <v>1507</v>
      </c>
      <c r="C91">
        <v>3027</v>
      </c>
      <c r="D91">
        <v>2396</v>
      </c>
      <c r="E91">
        <v>7573</v>
      </c>
      <c r="F91">
        <v>1828</v>
      </c>
      <c r="G91">
        <v>16715</v>
      </c>
      <c r="H91">
        <v>11487</v>
      </c>
      <c r="I91">
        <v>184060</v>
      </c>
      <c r="J91">
        <v>27949</v>
      </c>
      <c r="K91">
        <v>44058</v>
      </c>
      <c r="L91">
        <v>70264</v>
      </c>
    </row>
    <row r="92" spans="1:12">
      <c r="A92" s="5">
        <v>2012</v>
      </c>
      <c r="B92">
        <v>1454</v>
      </c>
      <c r="C92">
        <v>2539</v>
      </c>
      <c r="D92">
        <v>2481</v>
      </c>
      <c r="E92">
        <v>7777</v>
      </c>
      <c r="F92">
        <v>1997</v>
      </c>
      <c r="G92">
        <v>15665</v>
      </c>
      <c r="H92">
        <v>11412</v>
      </c>
      <c r="I92">
        <v>182609</v>
      </c>
      <c r="J92">
        <v>29717</v>
      </c>
      <c r="K92">
        <v>45995</v>
      </c>
      <c r="L92">
        <v>68034</v>
      </c>
    </row>
    <row r="93" spans="1:12">
      <c r="A93" s="5">
        <v>2013</v>
      </c>
      <c r="B93">
        <v>1563</v>
      </c>
      <c r="C93">
        <v>2367</v>
      </c>
      <c r="D93">
        <v>2268</v>
      </c>
      <c r="E93">
        <v>7783</v>
      </c>
      <c r="F93">
        <v>1937</v>
      </c>
      <c r="G93">
        <v>14429</v>
      </c>
      <c r="H93">
        <v>10588</v>
      </c>
      <c r="I93">
        <v>174943</v>
      </c>
      <c r="J93">
        <v>27847</v>
      </c>
      <c r="K93">
        <v>45061</v>
      </c>
      <c r="L93">
        <v>64430</v>
      </c>
    </row>
    <row r="94" spans="1:12">
      <c r="A94" s="5">
        <v>2014</v>
      </c>
      <c r="B94">
        <v>1390</v>
      </c>
      <c r="C94">
        <v>2273</v>
      </c>
      <c r="D94">
        <v>1999</v>
      </c>
      <c r="E94">
        <v>7611</v>
      </c>
      <c r="F94">
        <v>1688</v>
      </c>
      <c r="G94">
        <v>14320</v>
      </c>
      <c r="H94">
        <v>9993</v>
      </c>
      <c r="I94">
        <v>169045</v>
      </c>
      <c r="J94">
        <v>26437</v>
      </c>
      <c r="K94">
        <v>44881</v>
      </c>
      <c r="L94">
        <v>61988</v>
      </c>
    </row>
    <row r="95" spans="1:12">
      <c r="A95" s="5">
        <v>2015</v>
      </c>
      <c r="B95">
        <v>1358</v>
      </c>
      <c r="C95">
        <v>2459</v>
      </c>
      <c r="D95">
        <v>1877</v>
      </c>
      <c r="E95">
        <v>7299</v>
      </c>
      <c r="F95">
        <v>1491</v>
      </c>
      <c r="G95">
        <v>13199</v>
      </c>
      <c r="H95">
        <v>9954</v>
      </c>
      <c r="I95">
        <v>169732</v>
      </c>
      <c r="J95">
        <v>26797</v>
      </c>
      <c r="K95">
        <v>45417</v>
      </c>
      <c r="L95">
        <v>64504</v>
      </c>
    </row>
    <row r="96" spans="1:12">
      <c r="A96" s="5"/>
    </row>
    <row r="97" spans="1:12">
      <c r="A97" s="1" t="s">
        <v>0</v>
      </c>
      <c r="B97" s="3" t="s">
        <v>21</v>
      </c>
      <c r="C97" s="9" t="s">
        <v>34</v>
      </c>
      <c r="D97" s="9" t="s">
        <v>46</v>
      </c>
      <c r="E97" s="4" t="s">
        <v>58</v>
      </c>
      <c r="F97" s="4" t="s">
        <v>71</v>
      </c>
      <c r="G97" s="4" t="s">
        <v>84</v>
      </c>
      <c r="H97" s="4" t="s">
        <v>97</v>
      </c>
      <c r="I97" s="4" t="s">
        <v>123</v>
      </c>
      <c r="J97" s="4" t="s">
        <v>136</v>
      </c>
      <c r="K97" s="4" t="s">
        <v>148</v>
      </c>
      <c r="L97" s="4" t="s">
        <v>161</v>
      </c>
    </row>
    <row r="98" spans="1:12">
      <c r="A98" s="5">
        <v>2010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>
      <c r="A99" s="5">
        <v>2011</v>
      </c>
      <c r="B99">
        <v>5351.18</v>
      </c>
      <c r="C99">
        <v>9397.1200000000008</v>
      </c>
      <c r="D99">
        <v>11207.26</v>
      </c>
      <c r="E99">
        <v>1760.84</v>
      </c>
      <c r="F99">
        <v>1588.54</v>
      </c>
      <c r="G99">
        <v>2163.09</v>
      </c>
      <c r="H99">
        <v>1865.2</v>
      </c>
      <c r="I99">
        <v>1747.99</v>
      </c>
      <c r="J99">
        <v>2948.4</v>
      </c>
      <c r="K99">
        <v>5357.5</v>
      </c>
      <c r="L99">
        <v>1925.67</v>
      </c>
    </row>
    <row r="100" spans="1:12">
      <c r="A100" s="5">
        <v>2012</v>
      </c>
      <c r="B100">
        <v>5045.63</v>
      </c>
      <c r="C100">
        <v>7821.45</v>
      </c>
      <c r="D100">
        <v>11339.64</v>
      </c>
      <c r="E100">
        <v>1797.39</v>
      </c>
      <c r="F100">
        <v>1714.66</v>
      </c>
      <c r="G100">
        <v>2019.18</v>
      </c>
      <c r="H100">
        <v>1844.27</v>
      </c>
      <c r="I100">
        <v>1707.56</v>
      </c>
      <c r="J100">
        <v>3084.74</v>
      </c>
      <c r="K100">
        <v>5477.62</v>
      </c>
      <c r="L100">
        <v>1840.06</v>
      </c>
    </row>
    <row r="101" spans="1:12">
      <c r="A101" s="5">
        <v>2013</v>
      </c>
      <c r="B101">
        <v>5378.34</v>
      </c>
      <c r="C101">
        <v>7223.07</v>
      </c>
      <c r="D101">
        <v>10108.299999999999</v>
      </c>
      <c r="E101">
        <v>1790.74</v>
      </c>
      <c r="F101">
        <v>1656.53</v>
      </c>
      <c r="G101">
        <v>1857.66</v>
      </c>
      <c r="H101">
        <v>1709.11</v>
      </c>
      <c r="I101">
        <v>1611.67</v>
      </c>
      <c r="J101">
        <v>2847.5</v>
      </c>
      <c r="K101">
        <v>5266.55</v>
      </c>
      <c r="L101">
        <v>1721.32</v>
      </c>
    </row>
    <row r="102" spans="1:12">
      <c r="A102" s="5">
        <v>2014</v>
      </c>
      <c r="B102">
        <v>4712.34</v>
      </c>
      <c r="C102">
        <v>6883.08</v>
      </c>
      <c r="D102">
        <v>8707.9599999999991</v>
      </c>
      <c r="E102">
        <v>1744.07</v>
      </c>
      <c r="F102">
        <v>1433.73</v>
      </c>
      <c r="G102">
        <v>1840.13</v>
      </c>
      <c r="H102">
        <v>1611.83</v>
      </c>
      <c r="I102">
        <v>1537.12</v>
      </c>
      <c r="J102">
        <v>2666.85</v>
      </c>
      <c r="K102">
        <v>5170.08</v>
      </c>
      <c r="L102">
        <v>1630.81</v>
      </c>
    </row>
    <row r="103" spans="1:12">
      <c r="A103" s="5">
        <v>2015</v>
      </c>
      <c r="B103">
        <v>4556.4399999999996</v>
      </c>
      <c r="C103">
        <v>7411.76</v>
      </c>
      <c r="D103">
        <v>7960.81</v>
      </c>
      <c r="E103">
        <v>1674.94</v>
      </c>
      <c r="F103">
        <v>1262.9000000000001</v>
      </c>
      <c r="G103">
        <v>1691.94</v>
      </c>
      <c r="H103">
        <v>1604.72</v>
      </c>
      <c r="I103">
        <v>1526.68</v>
      </c>
      <c r="J103">
        <v>2673.34</v>
      </c>
      <c r="K103">
        <v>5185.26</v>
      </c>
      <c r="L103">
        <v>1677.68</v>
      </c>
    </row>
    <row r="104" spans="1:12">
      <c r="A104" s="5"/>
    </row>
    <row r="105" spans="1:12">
      <c r="A105" s="1" t="s">
        <v>0</v>
      </c>
      <c r="B105" s="3" t="s">
        <v>22</v>
      </c>
      <c r="C105" s="9" t="s">
        <v>192</v>
      </c>
      <c r="D105" s="9" t="s">
        <v>197</v>
      </c>
      <c r="E105" s="4" t="s">
        <v>198</v>
      </c>
      <c r="F105" s="4" t="s">
        <v>199</v>
      </c>
      <c r="G105" s="4" t="s">
        <v>200</v>
      </c>
      <c r="H105" s="4" t="s">
        <v>201</v>
      </c>
      <c r="I105" s="4" t="s">
        <v>202</v>
      </c>
      <c r="J105" s="4" t="s">
        <v>203</v>
      </c>
      <c r="K105" s="4" t="s">
        <v>204</v>
      </c>
      <c r="L105" s="4" t="s">
        <v>205</v>
      </c>
    </row>
    <row r="106" spans="1:12">
      <c r="A106" s="5">
        <v>2010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1:12">
      <c r="A107" s="5">
        <v>2011</v>
      </c>
      <c r="B107">
        <v>122</v>
      </c>
      <c r="C107">
        <v>359</v>
      </c>
      <c r="D107">
        <v>258</v>
      </c>
      <c r="E107">
        <v>948</v>
      </c>
      <c r="F107">
        <v>249</v>
      </c>
      <c r="G107">
        <v>2695</v>
      </c>
      <c r="H107">
        <v>1755</v>
      </c>
      <c r="I107">
        <v>25792</v>
      </c>
      <c r="J107">
        <v>5539</v>
      </c>
      <c r="K107">
        <v>9436</v>
      </c>
      <c r="L107">
        <v>5719</v>
      </c>
    </row>
    <row r="108" spans="1:12">
      <c r="A108" s="5">
        <v>2012</v>
      </c>
      <c r="B108">
        <v>146</v>
      </c>
      <c r="C108">
        <v>261</v>
      </c>
      <c r="D108">
        <v>269</v>
      </c>
      <c r="E108">
        <v>901</v>
      </c>
      <c r="F108">
        <v>250</v>
      </c>
      <c r="G108">
        <v>2495</v>
      </c>
      <c r="H108">
        <v>1446</v>
      </c>
      <c r="I108">
        <v>22616</v>
      </c>
      <c r="J108">
        <v>5607</v>
      </c>
      <c r="K108">
        <v>8718</v>
      </c>
      <c r="L108">
        <v>5124</v>
      </c>
    </row>
    <row r="109" spans="1:12">
      <c r="A109" s="5">
        <v>2013</v>
      </c>
      <c r="B109">
        <v>147</v>
      </c>
      <c r="C109">
        <v>236</v>
      </c>
      <c r="D109">
        <v>251</v>
      </c>
      <c r="E109">
        <v>923</v>
      </c>
      <c r="F109">
        <v>243</v>
      </c>
      <c r="G109">
        <v>1883</v>
      </c>
      <c r="H109">
        <v>1271</v>
      </c>
      <c r="I109">
        <v>18263</v>
      </c>
      <c r="J109">
        <v>5004</v>
      </c>
      <c r="K109">
        <v>7928</v>
      </c>
      <c r="L109">
        <v>4420</v>
      </c>
    </row>
    <row r="110" spans="1:12">
      <c r="A110" s="5">
        <v>2014</v>
      </c>
      <c r="B110">
        <v>135</v>
      </c>
      <c r="C110">
        <v>189</v>
      </c>
      <c r="D110">
        <v>167</v>
      </c>
      <c r="E110">
        <v>699</v>
      </c>
      <c r="F110">
        <v>173</v>
      </c>
      <c r="G110">
        <v>1558</v>
      </c>
      <c r="H110">
        <v>1134</v>
      </c>
      <c r="I110">
        <v>16227</v>
      </c>
      <c r="J110">
        <v>4361</v>
      </c>
      <c r="K110">
        <v>7708</v>
      </c>
      <c r="L110">
        <v>3567</v>
      </c>
    </row>
    <row r="111" spans="1:12">
      <c r="A111" s="5">
        <v>2015</v>
      </c>
      <c r="B111">
        <v>149</v>
      </c>
      <c r="C111">
        <v>167</v>
      </c>
      <c r="D111">
        <v>157</v>
      </c>
      <c r="E111">
        <v>757</v>
      </c>
      <c r="F111">
        <v>144</v>
      </c>
      <c r="G111">
        <v>1269</v>
      </c>
      <c r="H111">
        <v>1071</v>
      </c>
      <c r="I111">
        <v>15443</v>
      </c>
      <c r="J111">
        <v>4439</v>
      </c>
      <c r="K111">
        <v>7237</v>
      </c>
      <c r="L111">
        <v>3627</v>
      </c>
    </row>
    <row r="112" spans="1:12">
      <c r="A112" s="5"/>
    </row>
    <row r="113" spans="1:12">
      <c r="A113" s="1" t="s">
        <v>0</v>
      </c>
      <c r="B113" s="3" t="s">
        <v>23</v>
      </c>
      <c r="C113" s="9" t="s">
        <v>36</v>
      </c>
      <c r="D113" s="9" t="s">
        <v>48</v>
      </c>
      <c r="E113" s="4" t="s">
        <v>60</v>
      </c>
      <c r="F113" s="4" t="s">
        <v>73</v>
      </c>
      <c r="G113" s="4" t="s">
        <v>86</v>
      </c>
      <c r="H113" s="4" t="s">
        <v>99</v>
      </c>
      <c r="I113" s="4" t="s">
        <v>125</v>
      </c>
      <c r="J113" s="4" t="s">
        <v>138</v>
      </c>
      <c r="K113" s="4" t="s">
        <v>150</v>
      </c>
      <c r="L113" s="4" t="s">
        <v>163</v>
      </c>
    </row>
    <row r="114" spans="1:12">
      <c r="A114" s="5">
        <v>2010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>
      <c r="A115" s="5">
        <v>2011</v>
      </c>
      <c r="B115">
        <v>4852.82</v>
      </c>
      <c r="C115">
        <v>9324.68</v>
      </c>
      <c r="D115">
        <v>6606.91</v>
      </c>
      <c r="E115">
        <v>2754.05</v>
      </c>
      <c r="F115">
        <v>2267.5500000000002</v>
      </c>
      <c r="G115">
        <v>4200.17</v>
      </c>
      <c r="H115">
        <v>3405.85</v>
      </c>
      <c r="I115">
        <v>2578.7600000000002</v>
      </c>
      <c r="J115">
        <v>5478.03</v>
      </c>
      <c r="K115">
        <v>11246.45</v>
      </c>
      <c r="L115">
        <v>1813.91</v>
      </c>
    </row>
    <row r="116" spans="1:12">
      <c r="A116" s="5">
        <v>2012</v>
      </c>
      <c r="B116">
        <v>5779.89</v>
      </c>
      <c r="C116">
        <v>7231.92</v>
      </c>
      <c r="D116">
        <v>7003.38</v>
      </c>
      <c r="E116">
        <v>2664.97</v>
      </c>
      <c r="F116">
        <v>2319.7600000000002</v>
      </c>
      <c r="G116">
        <v>3973.75</v>
      </c>
      <c r="H116">
        <v>2871.78</v>
      </c>
      <c r="I116">
        <v>2301.41</v>
      </c>
      <c r="J116">
        <v>5572.06</v>
      </c>
      <c r="K116">
        <v>10427.11</v>
      </c>
      <c r="L116">
        <v>1652.63</v>
      </c>
    </row>
    <row r="117" spans="1:12">
      <c r="A117" s="5">
        <v>2013</v>
      </c>
      <c r="B117">
        <v>5932.2</v>
      </c>
      <c r="C117">
        <v>6872.45</v>
      </c>
      <c r="D117">
        <v>6579.29</v>
      </c>
      <c r="E117">
        <v>2790.37</v>
      </c>
      <c r="F117">
        <v>2344.4299999999998</v>
      </c>
      <c r="G117">
        <v>3089.77</v>
      </c>
      <c r="H117">
        <v>2595.04</v>
      </c>
      <c r="I117">
        <v>1904.53</v>
      </c>
      <c r="J117">
        <v>5040.29</v>
      </c>
      <c r="K117">
        <v>9589.1200000000008</v>
      </c>
      <c r="L117">
        <v>1458.25</v>
      </c>
    </row>
    <row r="118" spans="1:12">
      <c r="A118" s="5">
        <v>2014</v>
      </c>
      <c r="B118">
        <v>5430.41</v>
      </c>
      <c r="C118">
        <v>5950.88</v>
      </c>
      <c r="D118">
        <v>4468.83</v>
      </c>
      <c r="E118">
        <v>2155.54</v>
      </c>
      <c r="F118">
        <v>1728.79</v>
      </c>
      <c r="G118">
        <v>2628.65</v>
      </c>
      <c r="H118">
        <v>2370.9</v>
      </c>
      <c r="I118">
        <v>1730.46</v>
      </c>
      <c r="J118">
        <v>4435.79</v>
      </c>
      <c r="K118">
        <v>9358.91</v>
      </c>
      <c r="L118">
        <v>1199.53</v>
      </c>
    </row>
    <row r="119" spans="1:12">
      <c r="A119" s="5">
        <v>2015</v>
      </c>
      <c r="B119">
        <v>6054.45</v>
      </c>
      <c r="C119">
        <v>5540.81</v>
      </c>
      <c r="D119">
        <v>4132.67</v>
      </c>
      <c r="E119">
        <v>2362.08</v>
      </c>
      <c r="F119">
        <v>1470.74</v>
      </c>
      <c r="G119">
        <v>2192.0500000000002</v>
      </c>
      <c r="H119">
        <v>2266.14</v>
      </c>
      <c r="I119">
        <v>1670.58</v>
      </c>
      <c r="J119">
        <v>4539.97</v>
      </c>
      <c r="K119">
        <v>8824.64</v>
      </c>
      <c r="L119">
        <v>1229.81</v>
      </c>
    </row>
    <row r="120" spans="1:12">
      <c r="A120" s="5"/>
    </row>
    <row r="121" spans="1:12">
      <c r="A121" s="1" t="s">
        <v>0</v>
      </c>
      <c r="B121" s="3" t="s">
        <v>206</v>
      </c>
      <c r="C121" s="9" t="s">
        <v>37</v>
      </c>
      <c r="D121" s="9" t="s">
        <v>49</v>
      </c>
      <c r="E121" s="4" t="s">
        <v>61</v>
      </c>
      <c r="F121" s="4" t="s">
        <v>74</v>
      </c>
      <c r="G121" s="4" t="s">
        <v>87</v>
      </c>
      <c r="H121" s="4" t="s">
        <v>100</v>
      </c>
      <c r="I121" s="4" t="s">
        <v>126</v>
      </c>
      <c r="J121" s="4" t="s">
        <v>139</v>
      </c>
      <c r="K121" s="4" t="s">
        <v>151</v>
      </c>
      <c r="L121" s="4" t="s">
        <v>164</v>
      </c>
    </row>
    <row r="122" spans="1:12">
      <c r="A122" s="5">
        <v>2010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>
      <c r="A123" s="5">
        <v>2011</v>
      </c>
      <c r="B123">
        <v>404</v>
      </c>
      <c r="C123">
        <v>1164</v>
      </c>
      <c r="D123">
        <v>803</v>
      </c>
      <c r="E123">
        <v>1431</v>
      </c>
      <c r="F123">
        <v>415</v>
      </c>
      <c r="G123">
        <v>3890</v>
      </c>
      <c r="H123">
        <v>2216</v>
      </c>
      <c r="I123">
        <v>29736</v>
      </c>
      <c r="J123">
        <v>4913</v>
      </c>
      <c r="K123">
        <v>7370</v>
      </c>
      <c r="L123">
        <v>12999</v>
      </c>
    </row>
    <row r="124" spans="1:12">
      <c r="A124" s="5">
        <v>2012</v>
      </c>
      <c r="B124">
        <v>340</v>
      </c>
      <c r="C124">
        <v>1083</v>
      </c>
      <c r="D124">
        <v>729</v>
      </c>
      <c r="E124">
        <v>1277</v>
      </c>
      <c r="F124">
        <v>448</v>
      </c>
      <c r="G124">
        <v>3921</v>
      </c>
      <c r="H124">
        <v>2196</v>
      </c>
      <c r="I124">
        <v>27571</v>
      </c>
      <c r="J124">
        <v>4723</v>
      </c>
      <c r="K124">
        <v>6644</v>
      </c>
      <c r="L124">
        <v>12116</v>
      </c>
    </row>
    <row r="125" spans="1:12">
      <c r="A125" s="5">
        <v>2013</v>
      </c>
      <c r="B125">
        <v>438</v>
      </c>
      <c r="C125">
        <v>823</v>
      </c>
      <c r="D125">
        <v>715</v>
      </c>
      <c r="E125">
        <v>1101</v>
      </c>
      <c r="F125">
        <v>270</v>
      </c>
      <c r="G125">
        <v>2871</v>
      </c>
      <c r="H125">
        <v>1511</v>
      </c>
      <c r="I125">
        <v>22184</v>
      </c>
      <c r="J125">
        <v>4326</v>
      </c>
      <c r="K125">
        <v>4994</v>
      </c>
      <c r="L125">
        <v>10318</v>
      </c>
    </row>
    <row r="126" spans="1:12">
      <c r="A126" s="5">
        <v>2014</v>
      </c>
      <c r="B126">
        <v>492</v>
      </c>
      <c r="C126">
        <v>784</v>
      </c>
      <c r="D126">
        <v>717</v>
      </c>
      <c r="E126">
        <v>978</v>
      </c>
      <c r="F126">
        <v>216</v>
      </c>
      <c r="G126">
        <v>2360</v>
      </c>
      <c r="H126">
        <v>1452</v>
      </c>
      <c r="I126">
        <v>20596</v>
      </c>
      <c r="J126">
        <v>4133</v>
      </c>
      <c r="K126">
        <v>4321</v>
      </c>
      <c r="L126">
        <v>8632</v>
      </c>
    </row>
    <row r="127" spans="1:12">
      <c r="A127" s="5">
        <v>2015</v>
      </c>
      <c r="B127">
        <v>647</v>
      </c>
      <c r="C127">
        <v>660</v>
      </c>
      <c r="D127">
        <v>710</v>
      </c>
      <c r="E127">
        <v>881</v>
      </c>
      <c r="F127">
        <v>158</v>
      </c>
      <c r="G127">
        <v>2047</v>
      </c>
      <c r="H127">
        <v>1198</v>
      </c>
      <c r="I127">
        <v>19863</v>
      </c>
      <c r="J127">
        <v>4175</v>
      </c>
      <c r="K127">
        <v>4330</v>
      </c>
      <c r="L127">
        <v>7409</v>
      </c>
    </row>
    <row r="128" spans="1:12">
      <c r="A128" s="5"/>
    </row>
    <row r="129" spans="1:12">
      <c r="A129" s="1" t="s">
        <v>0</v>
      </c>
      <c r="B129" s="3" t="s">
        <v>25</v>
      </c>
      <c r="C129" s="9" t="s">
        <v>38</v>
      </c>
      <c r="D129" s="9" t="s">
        <v>50</v>
      </c>
      <c r="E129" s="4" t="s">
        <v>62</v>
      </c>
      <c r="F129" s="4" t="s">
        <v>75</v>
      </c>
      <c r="G129" s="4" t="s">
        <v>88</v>
      </c>
      <c r="H129" s="4" t="s">
        <v>101</v>
      </c>
      <c r="I129" s="4" t="s">
        <v>127</v>
      </c>
      <c r="J129" s="4" t="s">
        <v>140</v>
      </c>
      <c r="K129" s="4" t="s">
        <v>152</v>
      </c>
      <c r="L129" s="4" t="s">
        <v>165</v>
      </c>
    </row>
    <row r="130" spans="1:12">
      <c r="A130" s="5">
        <v>2010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>
      <c r="A131" s="5">
        <v>2011</v>
      </c>
      <c r="B131">
        <v>16070.01</v>
      </c>
      <c r="C131">
        <v>30233.77</v>
      </c>
      <c r="D131">
        <v>20563.38</v>
      </c>
      <c r="E131">
        <v>4157.2299999999996</v>
      </c>
      <c r="F131">
        <v>3779.26</v>
      </c>
      <c r="G131">
        <v>6062.59</v>
      </c>
      <c r="H131">
        <v>4300.49</v>
      </c>
      <c r="I131">
        <v>2973.09</v>
      </c>
      <c r="J131">
        <v>4858.92</v>
      </c>
      <c r="K131">
        <v>8784.06</v>
      </c>
      <c r="L131">
        <v>4122.9399999999996</v>
      </c>
    </row>
    <row r="132" spans="1:12">
      <c r="A132" s="5">
        <v>2012</v>
      </c>
      <c r="B132">
        <v>13460.02</v>
      </c>
      <c r="C132">
        <v>30008.31</v>
      </c>
      <c r="D132">
        <v>18979.43</v>
      </c>
      <c r="E132">
        <v>3777.1</v>
      </c>
      <c r="F132">
        <v>4157</v>
      </c>
      <c r="G132">
        <v>6244.92</v>
      </c>
      <c r="H132">
        <v>4361.3</v>
      </c>
      <c r="I132">
        <v>2805.63</v>
      </c>
      <c r="J132">
        <v>4693.57</v>
      </c>
      <c r="K132">
        <v>7946.51</v>
      </c>
      <c r="L132">
        <v>3907.74</v>
      </c>
    </row>
    <row r="133" spans="1:12">
      <c r="A133" s="5">
        <v>2013</v>
      </c>
      <c r="B133">
        <v>17675.54</v>
      </c>
      <c r="C133">
        <v>23966.22</v>
      </c>
      <c r="D133">
        <v>18741.810000000001</v>
      </c>
      <c r="E133">
        <v>3328.5</v>
      </c>
      <c r="F133">
        <v>2604.92</v>
      </c>
      <c r="G133">
        <v>4710.96</v>
      </c>
      <c r="H133">
        <v>3085.06</v>
      </c>
      <c r="I133">
        <v>2313.4299999999998</v>
      </c>
      <c r="J133">
        <v>4357.37</v>
      </c>
      <c r="K133">
        <v>6040.37</v>
      </c>
      <c r="L133">
        <v>3404.13</v>
      </c>
    </row>
    <row r="134" spans="1:12">
      <c r="A134" s="5">
        <v>2014</v>
      </c>
      <c r="B134">
        <v>19790.830000000002</v>
      </c>
      <c r="C134">
        <v>24685.14</v>
      </c>
      <c r="D134">
        <v>19186.509999999998</v>
      </c>
      <c r="E134">
        <v>3015.91</v>
      </c>
      <c r="F134">
        <v>2158.4899999999998</v>
      </c>
      <c r="G134">
        <v>3981.78</v>
      </c>
      <c r="H134">
        <v>3035.75</v>
      </c>
      <c r="I134">
        <v>2196.37</v>
      </c>
      <c r="J134">
        <v>4203.88</v>
      </c>
      <c r="K134">
        <v>5246.48</v>
      </c>
      <c r="L134">
        <v>2902.81</v>
      </c>
    </row>
    <row r="135" spans="1:12">
      <c r="A135" s="5">
        <v>2015</v>
      </c>
      <c r="B135">
        <v>26290.13</v>
      </c>
      <c r="C135">
        <v>21897.81</v>
      </c>
      <c r="D135">
        <v>18689.13</v>
      </c>
      <c r="E135">
        <v>2749</v>
      </c>
      <c r="F135">
        <v>1613.73</v>
      </c>
      <c r="G135">
        <v>3535.96</v>
      </c>
      <c r="H135">
        <v>2534.86</v>
      </c>
      <c r="I135">
        <v>2148.7199999999998</v>
      </c>
      <c r="J135">
        <v>4269.96</v>
      </c>
      <c r="K135">
        <v>5279.91</v>
      </c>
      <c r="L135">
        <v>2512.17</v>
      </c>
    </row>
    <row r="136" spans="1:12">
      <c r="A136" s="5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2017-01-20T05:39:59Z</dcterms:created>
  <dcterms:modified xsi:type="dcterms:W3CDTF">2017-01-21T03:34:55Z</dcterms:modified>
</cp:coreProperties>
</file>