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5000" tabRatio="500" activeTab="4"/>
  </bookViews>
  <sheets>
    <sheet name="Feb 21, 2017" sheetId="1" r:id="rId1"/>
    <sheet name="Transposed" sheetId="2" r:id="rId2"/>
    <sheet name="Estimates of Population" sheetId="3" r:id="rId3"/>
    <sheet name="Population Numbers" sheetId="4" r:id="rId4"/>
    <sheet name="Feb 28, 2017" sheetId="5" r:id="rId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22" i="5" l="1"/>
  <c r="K122" i="5"/>
  <c r="J122" i="5"/>
  <c r="I122" i="5"/>
  <c r="U122" i="5"/>
  <c r="T122" i="5"/>
  <c r="S122" i="5"/>
  <c r="R122" i="5"/>
  <c r="Q122" i="5"/>
  <c r="P122" i="5"/>
  <c r="L121" i="5"/>
  <c r="K121" i="5"/>
  <c r="J121" i="5"/>
  <c r="I121" i="5"/>
  <c r="U121" i="5"/>
  <c r="T121" i="5"/>
  <c r="S121" i="5"/>
  <c r="R121" i="5"/>
  <c r="Q121" i="5"/>
  <c r="P121" i="5"/>
  <c r="L120" i="5"/>
  <c r="K120" i="5"/>
  <c r="J120" i="5"/>
  <c r="I120" i="5"/>
  <c r="U120" i="5"/>
  <c r="T120" i="5"/>
  <c r="S120" i="5"/>
  <c r="R120" i="5"/>
  <c r="Q120" i="5"/>
  <c r="P120" i="5"/>
  <c r="L119" i="5"/>
  <c r="K119" i="5"/>
  <c r="J119" i="5"/>
  <c r="I119" i="5"/>
  <c r="U119" i="5"/>
  <c r="T119" i="5"/>
  <c r="S119" i="5"/>
  <c r="R119" i="5"/>
  <c r="Q119" i="5"/>
  <c r="P119" i="5"/>
  <c r="L118" i="5"/>
  <c r="K118" i="5"/>
  <c r="J118" i="5"/>
  <c r="I118" i="5"/>
  <c r="U118" i="5"/>
  <c r="T118" i="5"/>
  <c r="S118" i="5"/>
  <c r="R118" i="5"/>
  <c r="Q118" i="5"/>
  <c r="P118" i="5"/>
  <c r="L115" i="5"/>
  <c r="K115" i="5"/>
  <c r="J115" i="5"/>
  <c r="I115" i="5"/>
  <c r="U115" i="5"/>
  <c r="T115" i="5"/>
  <c r="S115" i="5"/>
  <c r="R115" i="5"/>
  <c r="Q115" i="5"/>
  <c r="P115" i="5"/>
  <c r="L114" i="5"/>
  <c r="K114" i="5"/>
  <c r="J114" i="5"/>
  <c r="I114" i="5"/>
  <c r="U114" i="5"/>
  <c r="T114" i="5"/>
  <c r="S114" i="5"/>
  <c r="R114" i="5"/>
  <c r="Q114" i="5"/>
  <c r="P114" i="5"/>
  <c r="L113" i="5"/>
  <c r="K113" i="5"/>
  <c r="J113" i="5"/>
  <c r="I113" i="5"/>
  <c r="U113" i="5"/>
  <c r="T113" i="5"/>
  <c r="S113" i="5"/>
  <c r="R113" i="5"/>
  <c r="Q113" i="5"/>
  <c r="P113" i="5"/>
  <c r="L112" i="5"/>
  <c r="K112" i="5"/>
  <c r="J112" i="5"/>
  <c r="I112" i="5"/>
  <c r="U112" i="5"/>
  <c r="T112" i="5"/>
  <c r="S112" i="5"/>
  <c r="R112" i="5"/>
  <c r="Q112" i="5"/>
  <c r="P112" i="5"/>
  <c r="L111" i="5"/>
  <c r="K111" i="5"/>
  <c r="J111" i="5"/>
  <c r="I111" i="5"/>
  <c r="U111" i="5"/>
  <c r="T111" i="5"/>
  <c r="S111" i="5"/>
  <c r="R111" i="5"/>
  <c r="Q111" i="5"/>
  <c r="P111" i="5"/>
  <c r="L108" i="5"/>
  <c r="K108" i="5"/>
  <c r="J108" i="5"/>
  <c r="I108" i="5"/>
  <c r="U108" i="5"/>
  <c r="T108" i="5"/>
  <c r="S108" i="5"/>
  <c r="R108" i="5"/>
  <c r="Q108" i="5"/>
  <c r="P108" i="5"/>
  <c r="L107" i="5"/>
  <c r="K107" i="5"/>
  <c r="J107" i="5"/>
  <c r="I107" i="5"/>
  <c r="U107" i="5"/>
  <c r="T107" i="5"/>
  <c r="S107" i="5"/>
  <c r="R107" i="5"/>
  <c r="Q107" i="5"/>
  <c r="P107" i="5"/>
  <c r="L106" i="5"/>
  <c r="K106" i="5"/>
  <c r="J106" i="5"/>
  <c r="I106" i="5"/>
  <c r="U106" i="5"/>
  <c r="T106" i="5"/>
  <c r="S106" i="5"/>
  <c r="R106" i="5"/>
  <c r="Q106" i="5"/>
  <c r="P106" i="5"/>
  <c r="L105" i="5"/>
  <c r="K105" i="5"/>
  <c r="J105" i="5"/>
  <c r="I105" i="5"/>
  <c r="U105" i="5"/>
  <c r="T105" i="5"/>
  <c r="S105" i="5"/>
  <c r="R105" i="5"/>
  <c r="Q105" i="5"/>
  <c r="P105" i="5"/>
  <c r="L104" i="5"/>
  <c r="K104" i="5"/>
  <c r="J104" i="5"/>
  <c r="I104" i="5"/>
  <c r="U104" i="5"/>
  <c r="T104" i="5"/>
  <c r="S104" i="5"/>
  <c r="R104" i="5"/>
  <c r="Q104" i="5"/>
  <c r="P104" i="5"/>
  <c r="L101" i="5"/>
  <c r="K101" i="5"/>
  <c r="J101" i="5"/>
  <c r="I101" i="5"/>
  <c r="U101" i="5"/>
  <c r="T101" i="5"/>
  <c r="S101" i="5"/>
  <c r="R101" i="5"/>
  <c r="Q101" i="5"/>
  <c r="P101" i="5"/>
  <c r="L100" i="5"/>
  <c r="K100" i="5"/>
  <c r="J100" i="5"/>
  <c r="I100" i="5"/>
  <c r="U100" i="5"/>
  <c r="T100" i="5"/>
  <c r="S100" i="5"/>
  <c r="R100" i="5"/>
  <c r="Q100" i="5"/>
  <c r="P100" i="5"/>
  <c r="L99" i="5"/>
  <c r="K99" i="5"/>
  <c r="J99" i="5"/>
  <c r="I99" i="5"/>
  <c r="U99" i="5"/>
  <c r="T99" i="5"/>
  <c r="S99" i="5"/>
  <c r="R99" i="5"/>
  <c r="Q99" i="5"/>
  <c r="P99" i="5"/>
  <c r="L98" i="5"/>
  <c r="K98" i="5"/>
  <c r="J98" i="5"/>
  <c r="I98" i="5"/>
  <c r="U98" i="5"/>
  <c r="T98" i="5"/>
  <c r="S98" i="5"/>
  <c r="R98" i="5"/>
  <c r="Q98" i="5"/>
  <c r="P98" i="5"/>
  <c r="L97" i="5"/>
  <c r="K97" i="5"/>
  <c r="J97" i="5"/>
  <c r="I97" i="5"/>
  <c r="U97" i="5"/>
  <c r="T97" i="5"/>
  <c r="S97" i="5"/>
  <c r="R97" i="5"/>
  <c r="Q97" i="5"/>
  <c r="P97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C241" i="1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C583" i="1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9" i="2"/>
  <c r="F302" i="2"/>
  <c r="E302" i="2"/>
  <c r="D302" i="2"/>
  <c r="C302" i="2"/>
  <c r="B302" i="2"/>
  <c r="F301" i="2"/>
  <c r="E301" i="2"/>
  <c r="D301" i="2"/>
  <c r="C301" i="2"/>
  <c r="B301" i="2"/>
  <c r="F300" i="2"/>
  <c r="E300" i="2"/>
  <c r="D300" i="2"/>
  <c r="C300" i="2"/>
  <c r="B300" i="2"/>
  <c r="F299" i="2"/>
  <c r="E299" i="2"/>
  <c r="D299" i="2"/>
  <c r="C299" i="2"/>
  <c r="B299" i="2"/>
  <c r="F298" i="2"/>
  <c r="E298" i="2"/>
  <c r="D298" i="2"/>
  <c r="C298" i="2"/>
  <c r="B298" i="2"/>
  <c r="F297" i="2"/>
  <c r="E297" i="2"/>
  <c r="D297" i="2"/>
  <c r="C297" i="2"/>
  <c r="B297" i="2"/>
  <c r="F296" i="2"/>
  <c r="E296" i="2"/>
  <c r="D296" i="2"/>
  <c r="C296" i="2"/>
  <c r="B296" i="2"/>
  <c r="F295" i="2"/>
  <c r="E295" i="2"/>
  <c r="D295" i="2"/>
  <c r="C295" i="2"/>
  <c r="B295" i="2"/>
  <c r="F294" i="2"/>
  <c r="E294" i="2"/>
  <c r="D294" i="2"/>
  <c r="C294" i="2"/>
  <c r="B294" i="2"/>
  <c r="F293" i="2"/>
  <c r="E293" i="2"/>
  <c r="D293" i="2"/>
  <c r="C293" i="2"/>
  <c r="B293" i="2"/>
  <c r="F292" i="2"/>
  <c r="E292" i="2"/>
  <c r="D292" i="2"/>
  <c r="C292" i="2"/>
  <c r="B292" i="2"/>
  <c r="F291" i="2"/>
  <c r="E291" i="2"/>
  <c r="D291" i="2"/>
  <c r="C291" i="2"/>
  <c r="B291" i="2"/>
  <c r="F290" i="2"/>
  <c r="E290" i="2"/>
  <c r="D290" i="2"/>
  <c r="C290" i="2"/>
  <c r="B290" i="2"/>
  <c r="F289" i="2"/>
  <c r="E289" i="2"/>
  <c r="D289" i="2"/>
  <c r="C289" i="2"/>
  <c r="F285" i="2"/>
  <c r="E285" i="2"/>
  <c r="D285" i="2"/>
  <c r="C285" i="2"/>
  <c r="B285" i="2"/>
  <c r="F284" i="2"/>
  <c r="E284" i="2"/>
  <c r="D284" i="2"/>
  <c r="C284" i="2"/>
  <c r="B284" i="2"/>
  <c r="F283" i="2"/>
  <c r="E283" i="2"/>
  <c r="D283" i="2"/>
  <c r="C283" i="2"/>
  <c r="B283" i="2"/>
  <c r="F282" i="2"/>
  <c r="E282" i="2"/>
  <c r="D282" i="2"/>
  <c r="C282" i="2"/>
  <c r="B282" i="2"/>
  <c r="F281" i="2"/>
  <c r="E281" i="2"/>
  <c r="D281" i="2"/>
  <c r="C281" i="2"/>
  <c r="B281" i="2"/>
  <c r="F280" i="2"/>
  <c r="E280" i="2"/>
  <c r="D280" i="2"/>
  <c r="C280" i="2"/>
  <c r="B280" i="2"/>
  <c r="F279" i="2"/>
  <c r="E279" i="2"/>
  <c r="D279" i="2"/>
  <c r="C279" i="2"/>
  <c r="B279" i="2"/>
  <c r="F278" i="2"/>
  <c r="E278" i="2"/>
  <c r="D278" i="2"/>
  <c r="C278" i="2"/>
  <c r="B278" i="2"/>
  <c r="F277" i="2"/>
  <c r="E277" i="2"/>
  <c r="D277" i="2"/>
  <c r="C277" i="2"/>
  <c r="B277" i="2"/>
  <c r="F276" i="2"/>
  <c r="E276" i="2"/>
  <c r="D276" i="2"/>
  <c r="C276" i="2"/>
  <c r="B276" i="2"/>
  <c r="F275" i="2"/>
  <c r="E275" i="2"/>
  <c r="D275" i="2"/>
  <c r="C275" i="2"/>
  <c r="B275" i="2"/>
  <c r="F274" i="2"/>
  <c r="E274" i="2"/>
  <c r="D274" i="2"/>
  <c r="C274" i="2"/>
  <c r="B274" i="2"/>
  <c r="F273" i="2"/>
  <c r="E273" i="2"/>
  <c r="D273" i="2"/>
  <c r="C273" i="2"/>
  <c r="B273" i="2"/>
  <c r="F272" i="2"/>
  <c r="E272" i="2"/>
  <c r="D272" i="2"/>
  <c r="C272" i="2"/>
  <c r="B272" i="2"/>
  <c r="F268" i="2"/>
  <c r="E268" i="2"/>
  <c r="D268" i="2"/>
  <c r="C268" i="2"/>
  <c r="B268" i="2"/>
  <c r="F267" i="2"/>
  <c r="E267" i="2"/>
  <c r="D267" i="2"/>
  <c r="C267" i="2"/>
  <c r="B267" i="2"/>
  <c r="F266" i="2"/>
  <c r="E266" i="2"/>
  <c r="D266" i="2"/>
  <c r="C266" i="2"/>
  <c r="B266" i="2"/>
  <c r="F265" i="2"/>
  <c r="E265" i="2"/>
  <c r="D265" i="2"/>
  <c r="C265" i="2"/>
  <c r="B265" i="2"/>
  <c r="F264" i="2"/>
  <c r="E264" i="2"/>
  <c r="D264" i="2"/>
  <c r="C264" i="2"/>
  <c r="B264" i="2"/>
  <c r="F263" i="2"/>
  <c r="E263" i="2"/>
  <c r="D263" i="2"/>
  <c r="C263" i="2"/>
  <c r="B263" i="2"/>
  <c r="F262" i="2"/>
  <c r="E262" i="2"/>
  <c r="D262" i="2"/>
  <c r="C262" i="2"/>
  <c r="B262" i="2"/>
  <c r="F261" i="2"/>
  <c r="E261" i="2"/>
  <c r="D261" i="2"/>
  <c r="C261" i="2"/>
  <c r="B261" i="2"/>
  <c r="F260" i="2"/>
  <c r="E260" i="2"/>
  <c r="D260" i="2"/>
  <c r="C260" i="2"/>
  <c r="B260" i="2"/>
  <c r="F259" i="2"/>
  <c r="E259" i="2"/>
  <c r="D259" i="2"/>
  <c r="C259" i="2"/>
  <c r="B259" i="2"/>
  <c r="F258" i="2"/>
  <c r="E258" i="2"/>
  <c r="D258" i="2"/>
  <c r="C258" i="2"/>
  <c r="B258" i="2"/>
  <c r="F257" i="2"/>
  <c r="E257" i="2"/>
  <c r="D257" i="2"/>
  <c r="C257" i="2"/>
  <c r="B257" i="2"/>
  <c r="F256" i="2"/>
  <c r="E256" i="2"/>
  <c r="D256" i="2"/>
  <c r="C256" i="2"/>
  <c r="B256" i="2"/>
  <c r="F255" i="2"/>
  <c r="E255" i="2"/>
  <c r="D255" i="2"/>
  <c r="C255" i="2"/>
  <c r="B255" i="2"/>
  <c r="B239" i="2"/>
  <c r="C239" i="2"/>
  <c r="D239" i="2"/>
  <c r="E239" i="2"/>
  <c r="F239" i="2"/>
  <c r="B240" i="2"/>
  <c r="C240" i="2"/>
  <c r="D240" i="2"/>
  <c r="E240" i="2"/>
  <c r="F240" i="2"/>
  <c r="B241" i="2"/>
  <c r="C241" i="2"/>
  <c r="D241" i="2"/>
  <c r="E241" i="2"/>
  <c r="F241" i="2"/>
  <c r="B242" i="2"/>
  <c r="C242" i="2"/>
  <c r="D242" i="2"/>
  <c r="E242" i="2"/>
  <c r="F242" i="2"/>
  <c r="B243" i="2"/>
  <c r="C243" i="2"/>
  <c r="D243" i="2"/>
  <c r="E243" i="2"/>
  <c r="F243" i="2"/>
  <c r="B244" i="2"/>
  <c r="C244" i="2"/>
  <c r="D244" i="2"/>
  <c r="E244" i="2"/>
  <c r="F244" i="2"/>
  <c r="B245" i="2"/>
  <c r="C245" i="2"/>
  <c r="D245" i="2"/>
  <c r="E245" i="2"/>
  <c r="F245" i="2"/>
  <c r="B246" i="2"/>
  <c r="C246" i="2"/>
  <c r="D246" i="2"/>
  <c r="E246" i="2"/>
  <c r="F246" i="2"/>
  <c r="B247" i="2"/>
  <c r="C247" i="2"/>
  <c r="D247" i="2"/>
  <c r="E247" i="2"/>
  <c r="F247" i="2"/>
  <c r="B248" i="2"/>
  <c r="C248" i="2"/>
  <c r="D248" i="2"/>
  <c r="E248" i="2"/>
  <c r="F248" i="2"/>
  <c r="B249" i="2"/>
  <c r="C249" i="2"/>
  <c r="D249" i="2"/>
  <c r="E249" i="2"/>
  <c r="F249" i="2"/>
  <c r="B250" i="2"/>
  <c r="C250" i="2"/>
  <c r="D250" i="2"/>
  <c r="E250" i="2"/>
  <c r="F250" i="2"/>
  <c r="B251" i="2"/>
  <c r="C251" i="2"/>
  <c r="D251" i="2"/>
  <c r="E251" i="2"/>
  <c r="F251" i="2"/>
  <c r="C238" i="2"/>
  <c r="D238" i="2"/>
  <c r="E238" i="2"/>
  <c r="F238" i="2"/>
  <c r="B238" i="2"/>
  <c r="P126" i="1"/>
  <c r="C600" i="1"/>
  <c r="P134" i="1"/>
  <c r="D600" i="1"/>
  <c r="P142" i="1"/>
  <c r="E600" i="1"/>
  <c r="P150" i="1"/>
  <c r="F600" i="1"/>
  <c r="P127" i="1"/>
  <c r="C601" i="1"/>
  <c r="P135" i="1"/>
  <c r="D601" i="1"/>
  <c r="P143" i="1"/>
  <c r="E601" i="1"/>
  <c r="P151" i="1"/>
  <c r="F601" i="1"/>
  <c r="P128" i="1"/>
  <c r="C602" i="1"/>
  <c r="P136" i="1"/>
  <c r="D602" i="1"/>
  <c r="P144" i="1"/>
  <c r="E602" i="1"/>
  <c r="P152" i="1"/>
  <c r="F602" i="1"/>
  <c r="P129" i="1"/>
  <c r="C603" i="1"/>
  <c r="P137" i="1"/>
  <c r="D603" i="1"/>
  <c r="P145" i="1"/>
  <c r="E603" i="1"/>
  <c r="P153" i="1"/>
  <c r="F603" i="1"/>
  <c r="P149" i="1"/>
  <c r="F599" i="1"/>
  <c r="P141" i="1"/>
  <c r="E599" i="1"/>
  <c r="P133" i="1"/>
  <c r="D599" i="1"/>
  <c r="P125" i="1"/>
  <c r="C599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F591" i="1"/>
  <c r="E591" i="1"/>
  <c r="D591" i="1"/>
  <c r="C591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F583" i="1"/>
  <c r="E583" i="1"/>
  <c r="D583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F575" i="1"/>
  <c r="E575" i="1"/>
  <c r="D575" i="1"/>
  <c r="C575" i="1"/>
  <c r="C568" i="1"/>
  <c r="O134" i="1"/>
  <c r="D568" i="1"/>
  <c r="O142" i="1"/>
  <c r="E568" i="1"/>
  <c r="O150" i="1"/>
  <c r="F568" i="1"/>
  <c r="C569" i="1"/>
  <c r="O135" i="1"/>
  <c r="D569" i="1"/>
  <c r="O143" i="1"/>
  <c r="E569" i="1"/>
  <c r="O151" i="1"/>
  <c r="F569" i="1"/>
  <c r="C570" i="1"/>
  <c r="O136" i="1"/>
  <c r="D570" i="1"/>
  <c r="O144" i="1"/>
  <c r="E570" i="1"/>
  <c r="O152" i="1"/>
  <c r="F570" i="1"/>
  <c r="C571" i="1"/>
  <c r="O137" i="1"/>
  <c r="D571" i="1"/>
  <c r="O145" i="1"/>
  <c r="E571" i="1"/>
  <c r="O153" i="1"/>
  <c r="F571" i="1"/>
  <c r="O149" i="1"/>
  <c r="F567" i="1"/>
  <c r="O141" i="1"/>
  <c r="E567" i="1"/>
  <c r="O133" i="1"/>
  <c r="D567" i="1"/>
  <c r="C567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F559" i="1"/>
  <c r="E559" i="1"/>
  <c r="D559" i="1"/>
  <c r="C559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F551" i="1"/>
  <c r="E551" i="1"/>
  <c r="D551" i="1"/>
  <c r="C551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F543" i="1"/>
  <c r="E543" i="1"/>
  <c r="D543" i="1"/>
  <c r="C543" i="1"/>
  <c r="N126" i="1"/>
  <c r="C536" i="1"/>
  <c r="N134" i="1"/>
  <c r="D536" i="1"/>
  <c r="N142" i="1"/>
  <c r="E536" i="1"/>
  <c r="N150" i="1"/>
  <c r="F536" i="1"/>
  <c r="N127" i="1"/>
  <c r="C537" i="1"/>
  <c r="N135" i="1"/>
  <c r="D537" i="1"/>
  <c r="N143" i="1"/>
  <c r="E537" i="1"/>
  <c r="N151" i="1"/>
  <c r="F537" i="1"/>
  <c r="N128" i="1"/>
  <c r="C538" i="1"/>
  <c r="N136" i="1"/>
  <c r="D538" i="1"/>
  <c r="N144" i="1"/>
  <c r="E538" i="1"/>
  <c r="N152" i="1"/>
  <c r="F538" i="1"/>
  <c r="N129" i="1"/>
  <c r="C539" i="1"/>
  <c r="N137" i="1"/>
  <c r="D539" i="1"/>
  <c r="N145" i="1"/>
  <c r="E539" i="1"/>
  <c r="N153" i="1"/>
  <c r="F539" i="1"/>
  <c r="N149" i="1"/>
  <c r="F535" i="1"/>
  <c r="N141" i="1"/>
  <c r="E535" i="1"/>
  <c r="N133" i="1"/>
  <c r="D535" i="1"/>
  <c r="N125" i="1"/>
  <c r="C535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F527" i="1"/>
  <c r="E527" i="1"/>
  <c r="D527" i="1"/>
  <c r="C527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F519" i="1"/>
  <c r="E519" i="1"/>
  <c r="D519" i="1"/>
  <c r="C519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F511" i="1"/>
  <c r="E511" i="1"/>
  <c r="D511" i="1"/>
  <c r="C511" i="1"/>
  <c r="M126" i="1"/>
  <c r="C504" i="1"/>
  <c r="M134" i="1"/>
  <c r="D504" i="1"/>
  <c r="M142" i="1"/>
  <c r="E504" i="1"/>
  <c r="M150" i="1"/>
  <c r="F504" i="1"/>
  <c r="M127" i="1"/>
  <c r="C505" i="1"/>
  <c r="M135" i="1"/>
  <c r="D505" i="1"/>
  <c r="M143" i="1"/>
  <c r="E505" i="1"/>
  <c r="M151" i="1"/>
  <c r="F505" i="1"/>
  <c r="M128" i="1"/>
  <c r="C506" i="1"/>
  <c r="M136" i="1"/>
  <c r="D506" i="1"/>
  <c r="M144" i="1"/>
  <c r="E506" i="1"/>
  <c r="M152" i="1"/>
  <c r="F506" i="1"/>
  <c r="M129" i="1"/>
  <c r="C507" i="1"/>
  <c r="M137" i="1"/>
  <c r="D507" i="1"/>
  <c r="M145" i="1"/>
  <c r="E507" i="1"/>
  <c r="M153" i="1"/>
  <c r="F507" i="1"/>
  <c r="M149" i="1"/>
  <c r="F503" i="1"/>
  <c r="M141" i="1"/>
  <c r="E503" i="1"/>
  <c r="M133" i="1"/>
  <c r="D503" i="1"/>
  <c r="M125" i="1"/>
  <c r="C503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F495" i="1"/>
  <c r="E495" i="1"/>
  <c r="D495" i="1"/>
  <c r="C495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F487" i="1"/>
  <c r="E487" i="1"/>
  <c r="D487" i="1"/>
  <c r="C487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F479" i="1"/>
  <c r="E479" i="1"/>
  <c r="D479" i="1"/>
  <c r="C479" i="1"/>
  <c r="L126" i="1"/>
  <c r="C472" i="1"/>
  <c r="L134" i="1"/>
  <c r="D472" i="1"/>
  <c r="L142" i="1"/>
  <c r="E472" i="1"/>
  <c r="L150" i="1"/>
  <c r="F472" i="1"/>
  <c r="L127" i="1"/>
  <c r="C473" i="1"/>
  <c r="L135" i="1"/>
  <c r="D473" i="1"/>
  <c r="L143" i="1"/>
  <c r="E473" i="1"/>
  <c r="L151" i="1"/>
  <c r="F473" i="1"/>
  <c r="L128" i="1"/>
  <c r="C474" i="1"/>
  <c r="L136" i="1"/>
  <c r="D474" i="1"/>
  <c r="L144" i="1"/>
  <c r="E474" i="1"/>
  <c r="L152" i="1"/>
  <c r="F474" i="1"/>
  <c r="L129" i="1"/>
  <c r="C475" i="1"/>
  <c r="L137" i="1"/>
  <c r="D475" i="1"/>
  <c r="L145" i="1"/>
  <c r="E475" i="1"/>
  <c r="L153" i="1"/>
  <c r="F475" i="1"/>
  <c r="L149" i="1"/>
  <c r="F471" i="1"/>
  <c r="L141" i="1"/>
  <c r="E471" i="1"/>
  <c r="L133" i="1"/>
  <c r="D471" i="1"/>
  <c r="L125" i="1"/>
  <c r="C471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F463" i="1"/>
  <c r="E463" i="1"/>
  <c r="D463" i="1"/>
  <c r="C463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F455" i="1"/>
  <c r="E455" i="1"/>
  <c r="D455" i="1"/>
  <c r="C455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F447" i="1"/>
  <c r="E447" i="1"/>
  <c r="D447" i="1"/>
  <c r="C447" i="1"/>
  <c r="D149" i="1"/>
  <c r="E149" i="1"/>
  <c r="F149" i="1"/>
  <c r="G149" i="1"/>
  <c r="H149" i="1"/>
  <c r="I149" i="1"/>
  <c r="J149" i="1"/>
  <c r="K149" i="1"/>
  <c r="D150" i="1"/>
  <c r="E150" i="1"/>
  <c r="F150" i="1"/>
  <c r="G150" i="1"/>
  <c r="H150" i="1"/>
  <c r="I150" i="1"/>
  <c r="J150" i="1"/>
  <c r="K150" i="1"/>
  <c r="D151" i="1"/>
  <c r="E151" i="1"/>
  <c r="F151" i="1"/>
  <c r="G151" i="1"/>
  <c r="H151" i="1"/>
  <c r="I151" i="1"/>
  <c r="J151" i="1"/>
  <c r="K151" i="1"/>
  <c r="D152" i="1"/>
  <c r="E152" i="1"/>
  <c r="F152" i="1"/>
  <c r="G152" i="1"/>
  <c r="H152" i="1"/>
  <c r="I152" i="1"/>
  <c r="J152" i="1"/>
  <c r="K152" i="1"/>
  <c r="D153" i="1"/>
  <c r="E153" i="1"/>
  <c r="F153" i="1"/>
  <c r="G153" i="1"/>
  <c r="H153" i="1"/>
  <c r="I153" i="1"/>
  <c r="J153" i="1"/>
  <c r="K153" i="1"/>
  <c r="D141" i="1"/>
  <c r="E141" i="1"/>
  <c r="F141" i="1"/>
  <c r="G141" i="1"/>
  <c r="H141" i="1"/>
  <c r="I141" i="1"/>
  <c r="J141" i="1"/>
  <c r="K141" i="1"/>
  <c r="D142" i="1"/>
  <c r="E142" i="1"/>
  <c r="F142" i="1"/>
  <c r="G142" i="1"/>
  <c r="H142" i="1"/>
  <c r="I142" i="1"/>
  <c r="J142" i="1"/>
  <c r="K142" i="1"/>
  <c r="D143" i="1"/>
  <c r="E143" i="1"/>
  <c r="F143" i="1"/>
  <c r="G143" i="1"/>
  <c r="H143" i="1"/>
  <c r="I143" i="1"/>
  <c r="J143" i="1"/>
  <c r="K143" i="1"/>
  <c r="D144" i="1"/>
  <c r="E144" i="1"/>
  <c r="F144" i="1"/>
  <c r="G144" i="1"/>
  <c r="H144" i="1"/>
  <c r="I144" i="1"/>
  <c r="J144" i="1"/>
  <c r="K144" i="1"/>
  <c r="D145" i="1"/>
  <c r="E145" i="1"/>
  <c r="F145" i="1"/>
  <c r="G145" i="1"/>
  <c r="H145" i="1"/>
  <c r="I145" i="1"/>
  <c r="J145" i="1"/>
  <c r="K145" i="1"/>
  <c r="D133" i="1"/>
  <c r="E133" i="1"/>
  <c r="F133" i="1"/>
  <c r="G133" i="1"/>
  <c r="H133" i="1"/>
  <c r="I133" i="1"/>
  <c r="J133" i="1"/>
  <c r="K133" i="1"/>
  <c r="D134" i="1"/>
  <c r="E134" i="1"/>
  <c r="F134" i="1"/>
  <c r="G134" i="1"/>
  <c r="H134" i="1"/>
  <c r="I134" i="1"/>
  <c r="J134" i="1"/>
  <c r="K134" i="1"/>
  <c r="D135" i="1"/>
  <c r="E135" i="1"/>
  <c r="F135" i="1"/>
  <c r="G135" i="1"/>
  <c r="H135" i="1"/>
  <c r="I135" i="1"/>
  <c r="J135" i="1"/>
  <c r="K135" i="1"/>
  <c r="D136" i="1"/>
  <c r="E136" i="1"/>
  <c r="F136" i="1"/>
  <c r="G136" i="1"/>
  <c r="H136" i="1"/>
  <c r="I136" i="1"/>
  <c r="J136" i="1"/>
  <c r="K136" i="1"/>
  <c r="D137" i="1"/>
  <c r="E137" i="1"/>
  <c r="F137" i="1"/>
  <c r="G137" i="1"/>
  <c r="H137" i="1"/>
  <c r="I137" i="1"/>
  <c r="J137" i="1"/>
  <c r="K137" i="1"/>
  <c r="C134" i="1"/>
  <c r="C135" i="1"/>
  <c r="C136" i="1"/>
  <c r="C137" i="1"/>
  <c r="D125" i="1"/>
  <c r="E125" i="1"/>
  <c r="F125" i="1"/>
  <c r="G125" i="1"/>
  <c r="H125" i="1"/>
  <c r="I125" i="1"/>
  <c r="J125" i="1"/>
  <c r="K125" i="1"/>
  <c r="O125" i="1"/>
  <c r="D126" i="1"/>
  <c r="E126" i="1"/>
  <c r="F126" i="1"/>
  <c r="G126" i="1"/>
  <c r="H126" i="1"/>
  <c r="I126" i="1"/>
  <c r="J126" i="1"/>
  <c r="K126" i="1"/>
  <c r="O126" i="1"/>
  <c r="D127" i="1"/>
  <c r="E127" i="1"/>
  <c r="F127" i="1"/>
  <c r="G127" i="1"/>
  <c r="H127" i="1"/>
  <c r="I127" i="1"/>
  <c r="J127" i="1"/>
  <c r="K127" i="1"/>
  <c r="O127" i="1"/>
  <c r="D128" i="1"/>
  <c r="E128" i="1"/>
  <c r="F128" i="1"/>
  <c r="G128" i="1"/>
  <c r="H128" i="1"/>
  <c r="I128" i="1"/>
  <c r="J128" i="1"/>
  <c r="K128" i="1"/>
  <c r="O128" i="1"/>
  <c r="D129" i="1"/>
  <c r="E129" i="1"/>
  <c r="F129" i="1"/>
  <c r="G129" i="1"/>
  <c r="H129" i="1"/>
  <c r="I129" i="1"/>
  <c r="J129" i="1"/>
  <c r="K129" i="1"/>
  <c r="O12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F439" i="1"/>
  <c r="E439" i="1"/>
  <c r="D439" i="1"/>
  <c r="C439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F431" i="1"/>
  <c r="E431" i="1"/>
  <c r="D431" i="1"/>
  <c r="C431" i="1"/>
  <c r="C427" i="1"/>
  <c r="D427" i="1"/>
  <c r="E427" i="1"/>
  <c r="F427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F423" i="1"/>
  <c r="E423" i="1"/>
  <c r="D423" i="1"/>
  <c r="C423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F415" i="1"/>
  <c r="E415" i="1"/>
  <c r="D415" i="1"/>
  <c r="C415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E407" i="1"/>
  <c r="F407" i="1"/>
  <c r="D407" i="1"/>
  <c r="C407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F399" i="1"/>
  <c r="E399" i="1"/>
  <c r="D399" i="1"/>
  <c r="C399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F391" i="1"/>
  <c r="E391" i="1"/>
  <c r="D391" i="1"/>
  <c r="C391" i="1"/>
  <c r="J583" i="1"/>
  <c r="K583" i="1"/>
  <c r="L583" i="1"/>
  <c r="I591" i="1"/>
  <c r="J591" i="1"/>
  <c r="K591" i="1"/>
  <c r="L591" i="1"/>
  <c r="I599" i="1"/>
  <c r="J599" i="1"/>
  <c r="K599" i="1"/>
  <c r="L599" i="1"/>
  <c r="J575" i="1"/>
  <c r="K575" i="1"/>
  <c r="L575" i="1"/>
  <c r="J551" i="1"/>
  <c r="K551" i="1"/>
  <c r="L551" i="1"/>
  <c r="I559" i="1"/>
  <c r="J559" i="1"/>
  <c r="K559" i="1"/>
  <c r="L559" i="1"/>
  <c r="I567" i="1"/>
  <c r="J567" i="1"/>
  <c r="K567" i="1"/>
  <c r="L567" i="1"/>
  <c r="J543" i="1"/>
  <c r="K543" i="1"/>
  <c r="L543" i="1"/>
  <c r="J519" i="1"/>
  <c r="K519" i="1"/>
  <c r="L519" i="1"/>
  <c r="I527" i="1"/>
  <c r="J527" i="1"/>
  <c r="K527" i="1"/>
  <c r="L527" i="1"/>
  <c r="I535" i="1"/>
  <c r="J535" i="1"/>
  <c r="K535" i="1"/>
  <c r="L535" i="1"/>
  <c r="J511" i="1"/>
  <c r="K511" i="1"/>
  <c r="L511" i="1"/>
  <c r="J487" i="1"/>
  <c r="K487" i="1"/>
  <c r="L487" i="1"/>
  <c r="I495" i="1"/>
  <c r="J495" i="1"/>
  <c r="K495" i="1"/>
  <c r="L495" i="1"/>
  <c r="I503" i="1"/>
  <c r="J503" i="1"/>
  <c r="K503" i="1"/>
  <c r="L503" i="1"/>
  <c r="J479" i="1"/>
  <c r="K479" i="1"/>
  <c r="L479" i="1"/>
  <c r="J455" i="1"/>
  <c r="K455" i="1"/>
  <c r="L455" i="1"/>
  <c r="I463" i="1"/>
  <c r="J463" i="1"/>
  <c r="K463" i="1"/>
  <c r="L463" i="1"/>
  <c r="I471" i="1"/>
  <c r="J471" i="1"/>
  <c r="K471" i="1"/>
  <c r="L471" i="1"/>
  <c r="J447" i="1"/>
  <c r="K447" i="1"/>
  <c r="L447" i="1"/>
  <c r="J423" i="1"/>
  <c r="K423" i="1"/>
  <c r="L423" i="1"/>
  <c r="I431" i="1"/>
  <c r="J431" i="1"/>
  <c r="K431" i="1"/>
  <c r="L431" i="1"/>
  <c r="I439" i="1"/>
  <c r="J439" i="1"/>
  <c r="K439" i="1"/>
  <c r="L439" i="1"/>
  <c r="J415" i="1"/>
  <c r="K415" i="1"/>
  <c r="L415" i="1"/>
  <c r="J391" i="1"/>
  <c r="K391" i="1"/>
  <c r="L391" i="1"/>
  <c r="I399" i="1"/>
  <c r="J399" i="1"/>
  <c r="K399" i="1"/>
  <c r="L399" i="1"/>
  <c r="I407" i="1"/>
  <c r="J407" i="1"/>
  <c r="K407" i="1"/>
  <c r="L407" i="1"/>
  <c r="J383" i="1"/>
  <c r="K383" i="1"/>
  <c r="L383" i="1"/>
  <c r="J359" i="1"/>
  <c r="K359" i="1"/>
  <c r="L359" i="1"/>
  <c r="I367" i="1"/>
  <c r="J367" i="1"/>
  <c r="K367" i="1"/>
  <c r="L367" i="1"/>
  <c r="I375" i="1"/>
  <c r="J375" i="1"/>
  <c r="K375" i="1"/>
  <c r="L375" i="1"/>
  <c r="J351" i="1"/>
  <c r="K351" i="1"/>
  <c r="L351" i="1"/>
  <c r="J327" i="1"/>
  <c r="K327" i="1"/>
  <c r="L327" i="1"/>
  <c r="I335" i="1"/>
  <c r="J335" i="1"/>
  <c r="K335" i="1"/>
  <c r="L335" i="1"/>
  <c r="I343" i="1"/>
  <c r="J343" i="1"/>
  <c r="K343" i="1"/>
  <c r="L343" i="1"/>
  <c r="J319" i="1"/>
  <c r="K319" i="1"/>
  <c r="L319" i="1"/>
  <c r="J295" i="1"/>
  <c r="K295" i="1"/>
  <c r="L295" i="1"/>
  <c r="I303" i="1"/>
  <c r="J303" i="1"/>
  <c r="K303" i="1"/>
  <c r="L303" i="1"/>
  <c r="I311" i="1"/>
  <c r="J311" i="1"/>
  <c r="K311" i="1"/>
  <c r="L311" i="1"/>
  <c r="J287" i="1"/>
  <c r="K287" i="1"/>
  <c r="L287" i="1"/>
  <c r="J263" i="1"/>
  <c r="K263" i="1"/>
  <c r="L263" i="1"/>
  <c r="I271" i="1"/>
  <c r="J271" i="1"/>
  <c r="K271" i="1"/>
  <c r="L271" i="1"/>
  <c r="I279" i="1"/>
  <c r="J279" i="1"/>
  <c r="K279" i="1"/>
  <c r="L279" i="1"/>
  <c r="J255" i="1"/>
  <c r="K255" i="1"/>
  <c r="L255" i="1"/>
  <c r="J231" i="1"/>
  <c r="K231" i="1"/>
  <c r="L231" i="1"/>
  <c r="I239" i="1"/>
  <c r="J239" i="1"/>
  <c r="K239" i="1"/>
  <c r="L239" i="1"/>
  <c r="I247" i="1"/>
  <c r="J247" i="1"/>
  <c r="K247" i="1"/>
  <c r="L247" i="1"/>
  <c r="J223" i="1"/>
  <c r="K223" i="1"/>
  <c r="L223" i="1"/>
  <c r="J199" i="1"/>
  <c r="K199" i="1"/>
  <c r="L199" i="1"/>
  <c r="I207" i="1"/>
  <c r="J207" i="1"/>
  <c r="K207" i="1"/>
  <c r="L207" i="1"/>
  <c r="I215" i="1"/>
  <c r="J215" i="1"/>
  <c r="K215" i="1"/>
  <c r="L215" i="1"/>
  <c r="J191" i="1"/>
  <c r="K191" i="1"/>
  <c r="L191" i="1"/>
  <c r="C191" i="1"/>
  <c r="J167" i="1"/>
  <c r="K167" i="1"/>
  <c r="L167" i="1"/>
  <c r="I175" i="1"/>
  <c r="J175" i="1"/>
  <c r="K175" i="1"/>
  <c r="L175" i="1"/>
  <c r="I183" i="1"/>
  <c r="C167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F383" i="1"/>
  <c r="E383" i="1"/>
  <c r="D383" i="1"/>
  <c r="C383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F375" i="1"/>
  <c r="E375" i="1"/>
  <c r="D375" i="1"/>
  <c r="C375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F367" i="1"/>
  <c r="E367" i="1"/>
  <c r="D367" i="1"/>
  <c r="C367" i="1"/>
  <c r="C360" i="1"/>
  <c r="D360" i="1"/>
  <c r="E360" i="1"/>
  <c r="F360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F359" i="1"/>
  <c r="E359" i="1"/>
  <c r="D359" i="1"/>
  <c r="C359" i="1"/>
  <c r="C352" i="1"/>
  <c r="D352" i="1"/>
  <c r="E352" i="1"/>
  <c r="F352" i="1"/>
  <c r="C353" i="1"/>
  <c r="D353" i="1"/>
  <c r="E353" i="1"/>
  <c r="F353" i="1"/>
  <c r="C354" i="1"/>
  <c r="D354" i="1"/>
  <c r="E354" i="1"/>
  <c r="F354" i="1"/>
  <c r="C355" i="1"/>
  <c r="D355" i="1"/>
  <c r="E355" i="1"/>
  <c r="F355" i="1"/>
  <c r="F351" i="1"/>
  <c r="E351" i="1"/>
  <c r="D351" i="1"/>
  <c r="C351" i="1"/>
  <c r="C344" i="1"/>
  <c r="D344" i="1"/>
  <c r="E344" i="1"/>
  <c r="F344" i="1"/>
  <c r="C345" i="1"/>
  <c r="D345" i="1"/>
  <c r="E345" i="1"/>
  <c r="F345" i="1"/>
  <c r="C346" i="1"/>
  <c r="D346" i="1"/>
  <c r="E346" i="1"/>
  <c r="F346" i="1"/>
  <c r="C347" i="1"/>
  <c r="D347" i="1"/>
  <c r="E347" i="1"/>
  <c r="F347" i="1"/>
  <c r="C336" i="1"/>
  <c r="D336" i="1"/>
  <c r="E336" i="1"/>
  <c r="F336" i="1"/>
  <c r="C337" i="1"/>
  <c r="D337" i="1"/>
  <c r="E337" i="1"/>
  <c r="F337" i="1"/>
  <c r="C338" i="1"/>
  <c r="D338" i="1"/>
  <c r="E338" i="1"/>
  <c r="F338" i="1"/>
  <c r="C339" i="1"/>
  <c r="D339" i="1"/>
  <c r="E339" i="1"/>
  <c r="F339" i="1"/>
  <c r="C328" i="1"/>
  <c r="D328" i="1"/>
  <c r="E328" i="1"/>
  <c r="F328" i="1"/>
  <c r="C329" i="1"/>
  <c r="D329" i="1"/>
  <c r="E329" i="1"/>
  <c r="F329" i="1"/>
  <c r="C330" i="1"/>
  <c r="D330" i="1"/>
  <c r="E330" i="1"/>
  <c r="F330" i="1"/>
  <c r="C331" i="1"/>
  <c r="D331" i="1"/>
  <c r="E331" i="1"/>
  <c r="F331" i="1"/>
  <c r="C320" i="1"/>
  <c r="D320" i="1"/>
  <c r="E320" i="1"/>
  <c r="F320" i="1"/>
  <c r="C321" i="1"/>
  <c r="D321" i="1"/>
  <c r="E321" i="1"/>
  <c r="F321" i="1"/>
  <c r="C322" i="1"/>
  <c r="D322" i="1"/>
  <c r="E322" i="1"/>
  <c r="F322" i="1"/>
  <c r="C323" i="1"/>
  <c r="D323" i="1"/>
  <c r="E323" i="1"/>
  <c r="F323" i="1"/>
  <c r="F343" i="1"/>
  <c r="E343" i="1"/>
  <c r="D343" i="1"/>
  <c r="C343" i="1"/>
  <c r="F335" i="1"/>
  <c r="E335" i="1"/>
  <c r="D335" i="1"/>
  <c r="C335" i="1"/>
  <c r="F327" i="1"/>
  <c r="E327" i="1"/>
  <c r="D327" i="1"/>
  <c r="C327" i="1"/>
  <c r="F319" i="1"/>
  <c r="E319" i="1"/>
  <c r="D319" i="1"/>
  <c r="C319" i="1"/>
  <c r="C312" i="1"/>
  <c r="D312" i="1"/>
  <c r="E312" i="1"/>
  <c r="F312" i="1"/>
  <c r="C313" i="1"/>
  <c r="D313" i="1"/>
  <c r="E313" i="1"/>
  <c r="F313" i="1"/>
  <c r="C314" i="1"/>
  <c r="D314" i="1"/>
  <c r="E314" i="1"/>
  <c r="F314" i="1"/>
  <c r="C315" i="1"/>
  <c r="D315" i="1"/>
  <c r="E315" i="1"/>
  <c r="F315" i="1"/>
  <c r="F311" i="1"/>
  <c r="E311" i="1"/>
  <c r="D311" i="1"/>
  <c r="C311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F303" i="1"/>
  <c r="E303" i="1"/>
  <c r="D303" i="1"/>
  <c r="C303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F295" i="1"/>
  <c r="E295" i="1"/>
  <c r="D295" i="1"/>
  <c r="C295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F287" i="1"/>
  <c r="E287" i="1"/>
  <c r="D287" i="1"/>
  <c r="C287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F279" i="1"/>
  <c r="E279" i="1"/>
  <c r="D279" i="1"/>
  <c r="C279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F271" i="1"/>
  <c r="E271" i="1"/>
  <c r="D271" i="1"/>
  <c r="C271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F263" i="1"/>
  <c r="E263" i="1"/>
  <c r="D263" i="1"/>
  <c r="C263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F255" i="1"/>
  <c r="E255" i="1"/>
  <c r="D255" i="1"/>
  <c r="C255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F247" i="1"/>
  <c r="D247" i="1"/>
  <c r="E247" i="1"/>
  <c r="C247" i="1"/>
  <c r="C240" i="1"/>
  <c r="D240" i="1"/>
  <c r="E240" i="1"/>
  <c r="F240" i="1"/>
  <c r="D241" i="1"/>
  <c r="E241" i="1"/>
  <c r="F241" i="1"/>
  <c r="C242" i="1"/>
  <c r="D242" i="1"/>
  <c r="E242" i="1"/>
  <c r="F242" i="1"/>
  <c r="C243" i="1"/>
  <c r="D243" i="1"/>
  <c r="E243" i="1"/>
  <c r="F243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F215" i="1"/>
  <c r="E215" i="1"/>
  <c r="D215" i="1"/>
  <c r="C215" i="1"/>
  <c r="C125" i="1"/>
  <c r="C183" i="1"/>
  <c r="C175" i="1"/>
  <c r="C159" i="1"/>
  <c r="D159" i="1"/>
  <c r="E159" i="1"/>
  <c r="F159" i="1"/>
  <c r="D239" i="1"/>
  <c r="C239" i="1"/>
  <c r="F239" i="1"/>
  <c r="E239" i="1"/>
  <c r="J183" i="1"/>
  <c r="K183" i="1"/>
  <c r="L183" i="1"/>
  <c r="J159" i="1"/>
  <c r="K159" i="1"/>
  <c r="L159" i="1"/>
  <c r="F231" i="1"/>
  <c r="E231" i="1"/>
  <c r="D231" i="1"/>
  <c r="C231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F223" i="1"/>
  <c r="E223" i="1"/>
  <c r="D223" i="1"/>
  <c r="C223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F207" i="1"/>
  <c r="E207" i="1"/>
  <c r="D207" i="1"/>
  <c r="C207" i="1"/>
  <c r="F199" i="1"/>
  <c r="E199" i="1"/>
  <c r="D199" i="1"/>
  <c r="C199" i="1"/>
  <c r="F191" i="1"/>
  <c r="E191" i="1"/>
  <c r="D191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26" i="1"/>
  <c r="C184" i="1"/>
  <c r="D184" i="1"/>
  <c r="C142" i="1"/>
  <c r="E184" i="1"/>
  <c r="C150" i="1"/>
  <c r="F184" i="1"/>
  <c r="C127" i="1"/>
  <c r="C185" i="1"/>
  <c r="D185" i="1"/>
  <c r="C143" i="1"/>
  <c r="E185" i="1"/>
  <c r="C151" i="1"/>
  <c r="F185" i="1"/>
  <c r="C128" i="1"/>
  <c r="C186" i="1"/>
  <c r="D186" i="1"/>
  <c r="C144" i="1"/>
  <c r="E186" i="1"/>
  <c r="C152" i="1"/>
  <c r="F186" i="1"/>
  <c r="C129" i="1"/>
  <c r="C187" i="1"/>
  <c r="D187" i="1"/>
  <c r="C145" i="1"/>
  <c r="E187" i="1"/>
  <c r="C153" i="1"/>
  <c r="F187" i="1"/>
  <c r="C149" i="1"/>
  <c r="F183" i="1"/>
  <c r="C141" i="1"/>
  <c r="E183" i="1"/>
  <c r="C133" i="1"/>
  <c r="D183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F175" i="1"/>
  <c r="E175" i="1"/>
  <c r="D175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F167" i="1"/>
  <c r="E167" i="1"/>
  <c r="D167" i="1"/>
</calcChain>
</file>

<file path=xl/sharedStrings.xml><?xml version="1.0" encoding="utf-8"?>
<sst xmlns="http://schemas.openxmlformats.org/spreadsheetml/2006/main" count="1631" uniqueCount="420">
  <si>
    <t>Year</t>
  </si>
  <si>
    <t>CMO</t>
  </si>
  <si>
    <t>CFO</t>
  </si>
  <si>
    <t>CDO</t>
  </si>
  <si>
    <t>CBSI</t>
  </si>
  <si>
    <t>CBMD</t>
  </si>
  <si>
    <t>Officers</t>
  </si>
  <si>
    <t>Officers2</t>
  </si>
  <si>
    <t>CB24</t>
  </si>
  <si>
    <t>CB75</t>
  </si>
  <si>
    <t>CMAG</t>
  </si>
  <si>
    <t>CMSI</t>
  </si>
  <si>
    <t>CMMD</t>
  </si>
  <si>
    <t>CM24</t>
  </si>
  <si>
    <t>CM75</t>
  </si>
  <si>
    <t>CFSI</t>
  </si>
  <si>
    <t>CF24</t>
  </si>
  <si>
    <t>CF75</t>
  </si>
  <si>
    <t>NLBSI</t>
  </si>
  <si>
    <t>NLBMD</t>
  </si>
  <si>
    <t>NLB24</t>
  </si>
  <si>
    <t>NLB75</t>
  </si>
  <si>
    <t>CFMD</t>
  </si>
  <si>
    <t>NLMAG</t>
  </si>
  <si>
    <t>NLMSI</t>
  </si>
  <si>
    <t>NLMMD</t>
  </si>
  <si>
    <t>MAG</t>
  </si>
  <si>
    <t>NLM24</t>
  </si>
  <si>
    <t>NLM75</t>
  </si>
  <si>
    <t>NLFSI</t>
  </si>
  <si>
    <t>NLFMD</t>
  </si>
  <si>
    <t>BSI</t>
  </si>
  <si>
    <t>BMD</t>
  </si>
  <si>
    <t>B24</t>
  </si>
  <si>
    <t>B75</t>
  </si>
  <si>
    <t>MSI</t>
  </si>
  <si>
    <t>MMD</t>
  </si>
  <si>
    <t>M24</t>
  </si>
  <si>
    <t>M75</t>
  </si>
  <si>
    <t>FSI</t>
  </si>
  <si>
    <t>FSD</t>
  </si>
  <si>
    <t>F24</t>
  </si>
  <si>
    <t>F75</t>
  </si>
  <si>
    <t>DSI</t>
  </si>
  <si>
    <t>DMD</t>
  </si>
  <si>
    <t>D24</t>
  </si>
  <si>
    <t>D75</t>
  </si>
  <si>
    <t>NLF24</t>
  </si>
  <si>
    <t>NLF75</t>
  </si>
  <si>
    <t>C</t>
  </si>
  <si>
    <t>NL</t>
  </si>
  <si>
    <t>PIBSI</t>
  </si>
  <si>
    <t>PIBMD</t>
  </si>
  <si>
    <t>PIB24</t>
  </si>
  <si>
    <t>PIB75</t>
  </si>
  <si>
    <t>PIMAG</t>
  </si>
  <si>
    <t>PIMSI</t>
  </si>
  <si>
    <t>PIMMD</t>
  </si>
  <si>
    <t>PIM24</t>
  </si>
  <si>
    <t>PIM75</t>
  </si>
  <si>
    <t>PIFSI</t>
  </si>
  <si>
    <t>PIFMB</t>
  </si>
  <si>
    <t>PIF24</t>
  </si>
  <si>
    <t>PIF75</t>
  </si>
  <si>
    <t>PI</t>
  </si>
  <si>
    <t>NOBSI</t>
  </si>
  <si>
    <t>NOBMD</t>
  </si>
  <si>
    <t>NOB24</t>
  </si>
  <si>
    <t>NOB75</t>
  </si>
  <si>
    <t>NOMAG</t>
  </si>
  <si>
    <t>NOMSI</t>
  </si>
  <si>
    <t>NOMMD</t>
  </si>
  <si>
    <t>NOM24</t>
  </si>
  <si>
    <t>NOM75</t>
  </si>
  <si>
    <t>NOFSI</t>
  </si>
  <si>
    <t>NOFMB</t>
  </si>
  <si>
    <t>NOF24</t>
  </si>
  <si>
    <t>NOF75</t>
  </si>
  <si>
    <t>NBBSI</t>
  </si>
  <si>
    <t>NBBMD</t>
  </si>
  <si>
    <t>NBB24</t>
  </si>
  <si>
    <t>NBB75</t>
  </si>
  <si>
    <t>NBMAG</t>
  </si>
  <si>
    <t>NBMSI</t>
  </si>
  <si>
    <t>NBMMD</t>
  </si>
  <si>
    <t>NBM24</t>
  </si>
  <si>
    <t>NBM75</t>
  </si>
  <si>
    <t>NO</t>
  </si>
  <si>
    <t>NB</t>
  </si>
  <si>
    <t>Q</t>
  </si>
  <si>
    <t>O</t>
  </si>
  <si>
    <t>M</t>
  </si>
  <si>
    <t>S</t>
  </si>
  <si>
    <t>AL</t>
  </si>
  <si>
    <t>BC</t>
  </si>
  <si>
    <t>Y</t>
  </si>
  <si>
    <t>NT</t>
  </si>
  <si>
    <t>NU</t>
  </si>
  <si>
    <t>Population by Place</t>
  </si>
  <si>
    <t>Population Organized by location as per original data</t>
  </si>
  <si>
    <t>NBFSI</t>
  </si>
  <si>
    <t>NBFMB</t>
  </si>
  <si>
    <t>NBF24</t>
  </si>
  <si>
    <t>NBF75</t>
  </si>
  <si>
    <t>QBSI</t>
  </si>
  <si>
    <t>QBMD</t>
  </si>
  <si>
    <t>QB24</t>
  </si>
  <si>
    <t>QB75</t>
  </si>
  <si>
    <t>QMAG</t>
  </si>
  <si>
    <t>QMSI</t>
  </si>
  <si>
    <t>QMMD</t>
  </si>
  <si>
    <t>QM24</t>
  </si>
  <si>
    <t>QM75</t>
  </si>
  <si>
    <t>QFSI</t>
  </si>
  <si>
    <t>QFMB</t>
  </si>
  <si>
    <t>QF24</t>
  </si>
  <si>
    <t>QF75</t>
  </si>
  <si>
    <t>OBSI</t>
  </si>
  <si>
    <t>OBMD</t>
  </si>
  <si>
    <t>OB24</t>
  </si>
  <si>
    <t>OB75</t>
  </si>
  <si>
    <t>OMAG</t>
  </si>
  <si>
    <t>OMSI</t>
  </si>
  <si>
    <t>OMMD</t>
  </si>
  <si>
    <t>OM24</t>
  </si>
  <si>
    <t>OM75</t>
  </si>
  <si>
    <t>OFSI</t>
  </si>
  <si>
    <t>OFMB</t>
  </si>
  <si>
    <t>OF24</t>
  </si>
  <si>
    <t>OF75</t>
  </si>
  <si>
    <t>MBSI</t>
  </si>
  <si>
    <t>MBMD</t>
  </si>
  <si>
    <t>MB24</t>
  </si>
  <si>
    <t>MB75</t>
  </si>
  <si>
    <t>MMAG</t>
  </si>
  <si>
    <t>MMSI</t>
  </si>
  <si>
    <t>MMMD</t>
  </si>
  <si>
    <t>MM24</t>
  </si>
  <si>
    <t>MM75</t>
  </si>
  <si>
    <t>MFSI</t>
  </si>
  <si>
    <t>MFMB</t>
  </si>
  <si>
    <t>MF24</t>
  </si>
  <si>
    <t>MF75</t>
  </si>
  <si>
    <t>SBSI</t>
  </si>
  <si>
    <t>SBMD</t>
  </si>
  <si>
    <t>SB24</t>
  </si>
  <si>
    <t>SB75</t>
  </si>
  <si>
    <t>SMAG</t>
  </si>
  <si>
    <t>SMSI</t>
  </si>
  <si>
    <t>SMMD</t>
  </si>
  <si>
    <t>SM24</t>
  </si>
  <si>
    <t>SM75</t>
  </si>
  <si>
    <t>SFSI</t>
  </si>
  <si>
    <t>SFMB</t>
  </si>
  <si>
    <t>SF24</t>
  </si>
  <si>
    <t>SF75</t>
  </si>
  <si>
    <t>ALBSI</t>
  </si>
  <si>
    <t>ALBMD</t>
  </si>
  <si>
    <t>ALB24</t>
  </si>
  <si>
    <t>ALB75</t>
  </si>
  <si>
    <t>ALMAG</t>
  </si>
  <si>
    <t>ALMSI</t>
  </si>
  <si>
    <t>ALMMD</t>
  </si>
  <si>
    <t>ALM24</t>
  </si>
  <si>
    <t>ALM75</t>
  </si>
  <si>
    <t>ALFSI</t>
  </si>
  <si>
    <t>ALFMB</t>
  </si>
  <si>
    <t>ALF24</t>
  </si>
  <si>
    <t>ALF75</t>
  </si>
  <si>
    <t>BCBSI</t>
  </si>
  <si>
    <t>BCBMD</t>
  </si>
  <si>
    <t>BCB24</t>
  </si>
  <si>
    <t>BCB75</t>
  </si>
  <si>
    <t>BCMAG</t>
  </si>
  <si>
    <t>BCMSI</t>
  </si>
  <si>
    <t>BCMMD</t>
  </si>
  <si>
    <t>BCM24</t>
  </si>
  <si>
    <t>BCM75</t>
  </si>
  <si>
    <t>BCFSI</t>
  </si>
  <si>
    <t>NCFMB</t>
  </si>
  <si>
    <t>NCF24</t>
  </si>
  <si>
    <t>BCF75</t>
  </si>
  <si>
    <t>YBSI</t>
  </si>
  <si>
    <t>YBMD</t>
  </si>
  <si>
    <t>YB24</t>
  </si>
  <si>
    <t>YB75</t>
  </si>
  <si>
    <t>YMAG</t>
  </si>
  <si>
    <t>YMSI</t>
  </si>
  <si>
    <t>YMMD</t>
  </si>
  <si>
    <t>YM24</t>
  </si>
  <si>
    <t>YM75</t>
  </si>
  <si>
    <t>YFSI</t>
  </si>
  <si>
    <t>YFMB</t>
  </si>
  <si>
    <t>YF24</t>
  </si>
  <si>
    <t>YF75</t>
  </si>
  <si>
    <t>NTBSI</t>
  </si>
  <si>
    <t>NTBMD</t>
  </si>
  <si>
    <t>NTB24</t>
  </si>
  <si>
    <t>NTB75</t>
  </si>
  <si>
    <t>NTMAG</t>
  </si>
  <si>
    <t>NTMSI</t>
  </si>
  <si>
    <t>NTMMD</t>
  </si>
  <si>
    <t>NTM24</t>
  </si>
  <si>
    <t>NTM75</t>
  </si>
  <si>
    <t>NTFSI</t>
  </si>
  <si>
    <t>NTFMB</t>
  </si>
  <si>
    <t>NTF24</t>
  </si>
  <si>
    <t>NTF75</t>
  </si>
  <si>
    <t>NUBSI</t>
  </si>
  <si>
    <t>NUBMD</t>
  </si>
  <si>
    <t>NUB24</t>
  </si>
  <si>
    <t>NUB75</t>
  </si>
  <si>
    <t>NUMAG</t>
  </si>
  <si>
    <t>NUMSI</t>
  </si>
  <si>
    <t>NUMMD</t>
  </si>
  <si>
    <t>NUM24</t>
  </si>
  <si>
    <t>NUM75</t>
  </si>
  <si>
    <t>NUFSI</t>
  </si>
  <si>
    <t>NUFMB</t>
  </si>
  <si>
    <t>NUF24</t>
  </si>
  <si>
    <t>NUF75</t>
  </si>
  <si>
    <t>F</t>
  </si>
  <si>
    <t>CETB</t>
  </si>
  <si>
    <t>CETM</t>
  </si>
  <si>
    <t>CETF</t>
  </si>
  <si>
    <t>ETB</t>
  </si>
  <si>
    <t>ETM</t>
  </si>
  <si>
    <t>ETF</t>
  </si>
  <si>
    <t>NLETB</t>
  </si>
  <si>
    <t>NLETM</t>
  </si>
  <si>
    <t>NLETF</t>
  </si>
  <si>
    <t>PIETM</t>
  </si>
  <si>
    <t>PIETF</t>
  </si>
  <si>
    <t>NOETB</t>
  </si>
  <si>
    <t>NOETM</t>
  </si>
  <si>
    <t>NOETF</t>
  </si>
  <si>
    <t>NBETB</t>
  </si>
  <si>
    <t>NBETM</t>
  </si>
  <si>
    <t>NBETF</t>
  </si>
  <si>
    <t>QETB</t>
  </si>
  <si>
    <t>QETM</t>
  </si>
  <si>
    <t>QETF</t>
  </si>
  <si>
    <t>OETB</t>
  </si>
  <si>
    <t>OETM</t>
  </si>
  <si>
    <t>OETF</t>
  </si>
  <si>
    <t>METB</t>
  </si>
  <si>
    <t>METM</t>
  </si>
  <si>
    <t>METF</t>
  </si>
  <si>
    <t>SETB</t>
  </si>
  <si>
    <t>SETM</t>
  </si>
  <si>
    <t>SETF</t>
  </si>
  <si>
    <t>ALETB</t>
  </si>
  <si>
    <t>ALETM</t>
  </si>
  <si>
    <t>ALETF</t>
  </si>
  <si>
    <t>BCETB</t>
  </si>
  <si>
    <t>BCETM</t>
  </si>
  <si>
    <t>BCETF</t>
  </si>
  <si>
    <t>YETB</t>
  </si>
  <si>
    <t>YETM</t>
  </si>
  <si>
    <t>YETF</t>
  </si>
  <si>
    <t>NTETB</t>
  </si>
  <si>
    <t>NTETM</t>
  </si>
  <si>
    <t>NTETF</t>
  </si>
  <si>
    <t>NUETB</t>
  </si>
  <si>
    <t>NUETM</t>
  </si>
  <si>
    <t>NUETF</t>
  </si>
  <si>
    <t>CETD</t>
  </si>
  <si>
    <t>NLETD</t>
  </si>
  <si>
    <t>PIETD</t>
  </si>
  <si>
    <t>NOETD</t>
  </si>
  <si>
    <t>NBETD</t>
  </si>
  <si>
    <t>QETD</t>
  </si>
  <si>
    <t>OETD</t>
  </si>
  <si>
    <t>METD</t>
  </si>
  <si>
    <t>SETD</t>
  </si>
  <si>
    <t>ALETD</t>
  </si>
  <si>
    <t>BCETD</t>
  </si>
  <si>
    <t>YETD</t>
  </si>
  <si>
    <t>NTETD</t>
  </si>
  <si>
    <t>NUETD</t>
  </si>
  <si>
    <t>PTB</t>
  </si>
  <si>
    <t>PTM</t>
  </si>
  <si>
    <t>PTF</t>
  </si>
  <si>
    <t>PTD</t>
  </si>
  <si>
    <t>CBT</t>
  </si>
  <si>
    <t>CMT</t>
  </si>
  <si>
    <t>CFT</t>
  </si>
  <si>
    <t>CDT</t>
  </si>
  <si>
    <t>NLBT</t>
  </si>
  <si>
    <t>NLMT</t>
  </si>
  <si>
    <t>NLFT</t>
  </si>
  <si>
    <t>NLDT</t>
  </si>
  <si>
    <t>PIBT</t>
  </si>
  <si>
    <t>PIMT</t>
  </si>
  <si>
    <t>PIFT</t>
  </si>
  <si>
    <t>PIDT</t>
  </si>
  <si>
    <t>NOBT</t>
  </si>
  <si>
    <t>NOMT</t>
  </si>
  <si>
    <t>NOFT</t>
  </si>
  <si>
    <t>NODT</t>
  </si>
  <si>
    <t>NBBT</t>
  </si>
  <si>
    <t>NBMT</t>
  </si>
  <si>
    <t>NBFT</t>
  </si>
  <si>
    <t>NBDT</t>
  </si>
  <si>
    <t>QBT</t>
  </si>
  <si>
    <t>QMT</t>
  </si>
  <si>
    <t>QFT</t>
  </si>
  <si>
    <t>QDT</t>
  </si>
  <si>
    <t>OBT</t>
  </si>
  <si>
    <t>OMT</t>
  </si>
  <si>
    <t>OFT</t>
  </si>
  <si>
    <t>ODT</t>
  </si>
  <si>
    <t>MBT</t>
  </si>
  <si>
    <t>MMT</t>
  </si>
  <si>
    <t>MFT</t>
  </si>
  <si>
    <t>MDT</t>
  </si>
  <si>
    <t>SBT</t>
  </si>
  <si>
    <t>SMT</t>
  </si>
  <si>
    <t>SFT</t>
  </si>
  <si>
    <t>SDT</t>
  </si>
  <si>
    <t>ALBT</t>
  </si>
  <si>
    <t>ALMT</t>
  </si>
  <si>
    <t>ALFT</t>
  </si>
  <si>
    <t>ALDT</t>
  </si>
  <si>
    <t>BCBT</t>
  </si>
  <si>
    <t>BCMT</t>
  </si>
  <si>
    <t>BCFT</t>
  </si>
  <si>
    <t>BCDT</t>
  </si>
  <si>
    <t>YBT</t>
  </si>
  <si>
    <t>YMT</t>
  </si>
  <si>
    <t>YFT</t>
  </si>
  <si>
    <t>YDT</t>
  </si>
  <si>
    <t>NTBT</t>
  </si>
  <si>
    <t>NTMT</t>
  </si>
  <si>
    <t>NTFT</t>
  </si>
  <si>
    <t>NTDT</t>
  </si>
  <si>
    <t>NUBT</t>
  </si>
  <si>
    <t>NUMT</t>
  </si>
  <si>
    <t>NUFT</t>
  </si>
  <si>
    <t>NUDT</t>
  </si>
  <si>
    <t>PBC</t>
  </si>
  <si>
    <t>PMC</t>
  </si>
  <si>
    <t>PFC</t>
  </si>
  <si>
    <t>PDC</t>
  </si>
  <si>
    <t>SI</t>
  </si>
  <si>
    <t>MD</t>
  </si>
  <si>
    <t>PBNL</t>
  </si>
  <si>
    <t>PMNL</t>
  </si>
  <si>
    <t>PFNL</t>
  </si>
  <si>
    <t>PDNL</t>
  </si>
  <si>
    <t>PMPI</t>
  </si>
  <si>
    <t>PBPI</t>
  </si>
  <si>
    <t>PFPI</t>
  </si>
  <si>
    <t>PDPI</t>
  </si>
  <si>
    <t>PBNO</t>
  </si>
  <si>
    <t>PMNO</t>
  </si>
  <si>
    <t>PFNO</t>
  </si>
  <si>
    <t>PDNO</t>
  </si>
  <si>
    <t>PBNB</t>
  </si>
  <si>
    <t>PMNB</t>
  </si>
  <si>
    <t>PFNB</t>
  </si>
  <si>
    <t>PDNB</t>
  </si>
  <si>
    <t>PBQ</t>
  </si>
  <si>
    <t>PMQ</t>
  </si>
  <si>
    <t>PFQ</t>
  </si>
  <si>
    <t>PDQ</t>
  </si>
  <si>
    <t>I</t>
  </si>
  <si>
    <t>H</t>
  </si>
  <si>
    <t>PBO</t>
  </si>
  <si>
    <t>PMO</t>
  </si>
  <si>
    <t>PFO</t>
  </si>
  <si>
    <t>PDO</t>
  </si>
  <si>
    <t>PBM</t>
  </si>
  <si>
    <t>PMM</t>
  </si>
  <si>
    <t>PFM</t>
  </si>
  <si>
    <t>PDM</t>
  </si>
  <si>
    <t>PBS</t>
  </si>
  <si>
    <t>PMS</t>
  </si>
  <si>
    <t>PFS</t>
  </si>
  <si>
    <t>PDS</t>
  </si>
  <si>
    <t>PBAL</t>
  </si>
  <si>
    <t>PMAL</t>
  </si>
  <si>
    <t>PFAL</t>
  </si>
  <si>
    <t>PDAL</t>
  </si>
  <si>
    <t>PBBC</t>
  </si>
  <si>
    <t>PMBC</t>
  </si>
  <si>
    <t>PFBC</t>
  </si>
  <si>
    <t>PDBC</t>
  </si>
  <si>
    <t>PBY</t>
  </si>
  <si>
    <t>PMY</t>
  </si>
  <si>
    <t>PFY</t>
  </si>
  <si>
    <t>PDY</t>
  </si>
  <si>
    <t>PBNT</t>
  </si>
  <si>
    <t>PMNT</t>
  </si>
  <si>
    <t>PFNT</t>
  </si>
  <si>
    <t>PDNT</t>
  </si>
  <si>
    <t>PBNU</t>
  </si>
  <si>
    <t>PMNU</t>
  </si>
  <si>
    <t>PFNU</t>
  </si>
  <si>
    <t>PDNU</t>
  </si>
  <si>
    <t>Original</t>
  </si>
  <si>
    <t>J</t>
  </si>
  <si>
    <t>K</t>
  </si>
  <si>
    <t>L</t>
  </si>
  <si>
    <t>ETD</t>
  </si>
  <si>
    <t>G</t>
  </si>
  <si>
    <t>D</t>
  </si>
  <si>
    <t>E</t>
  </si>
  <si>
    <t>N</t>
  </si>
  <si>
    <t>P</t>
  </si>
  <si>
    <t>Transposed</t>
  </si>
  <si>
    <t>Population Organized by Original Data</t>
  </si>
  <si>
    <t>FMD</t>
  </si>
  <si>
    <t>Normal</t>
  </si>
  <si>
    <t xml:space="preserve">Normal </t>
  </si>
  <si>
    <t xml:space="preserve">AL </t>
  </si>
  <si>
    <t>The correct version of organization by place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</si>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</sst>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96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9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4"/>
  <sheetViews>
    <sheetView topLeftCell="A3" workbookViewId="0">
      <selection activeCell="A20" sqref="A20:XFD154"/>
    </sheetView>
  </sheetViews>
  <sheetFormatPr baseColWidth="10" defaultRowHeight="15" x14ac:dyDescent="0"/>
  <cols>
    <col min="1" max="1" width="10.83203125" style="14"/>
    <col min="2" max="16" width="10.83203125" style="12"/>
    <col min="17" max="17" width="10.33203125" style="12" customWidth="1"/>
    <col min="18" max="16384" width="10.83203125" style="12"/>
  </cols>
  <sheetData>
    <row r="1" spans="1:23">
      <c r="A1" s="31" t="s">
        <v>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R1" s="13"/>
      <c r="S1" s="13"/>
      <c r="T1" s="13"/>
      <c r="U1" s="13"/>
      <c r="V1" s="13"/>
      <c r="W1" s="13"/>
    </row>
    <row r="2" spans="1:23">
      <c r="A2" s="31" t="s">
        <v>400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13"/>
      <c r="S2" s="13"/>
      <c r="T2" s="13"/>
      <c r="U2" s="13"/>
      <c r="V2" s="13"/>
      <c r="W2" s="13"/>
    </row>
    <row r="4" spans="1:23">
      <c r="A4" s="14" t="s">
        <v>6</v>
      </c>
      <c r="B4" s="14" t="s">
        <v>0</v>
      </c>
      <c r="C4" s="14" t="s">
        <v>1</v>
      </c>
      <c r="D4" s="14" t="s">
        <v>2</v>
      </c>
    </row>
    <row r="5" spans="1:23">
      <c r="B5" s="15">
        <v>2010</v>
      </c>
      <c r="C5" s="16">
        <v>55787</v>
      </c>
      <c r="D5" s="16">
        <v>13281</v>
      </c>
    </row>
    <row r="6" spans="1:23">
      <c r="B6" s="15">
        <v>2011</v>
      </c>
      <c r="C6" s="16">
        <v>55820</v>
      </c>
      <c r="D6" s="16">
        <v>13604</v>
      </c>
    </row>
    <row r="7" spans="1:23">
      <c r="B7" s="15">
        <v>2012</v>
      </c>
      <c r="C7" s="16">
        <v>55673</v>
      </c>
      <c r="D7" s="16">
        <v>13832</v>
      </c>
    </row>
    <row r="8" spans="1:23">
      <c r="B8" s="15">
        <v>2013</v>
      </c>
      <c r="C8" s="16">
        <v>55252</v>
      </c>
      <c r="D8" s="16">
        <v>13998</v>
      </c>
    </row>
    <row r="9" spans="1:23">
      <c r="B9" s="15">
        <v>2014</v>
      </c>
      <c r="C9" s="16">
        <v>54650</v>
      </c>
      <c r="D9" s="16">
        <v>14156</v>
      </c>
    </row>
    <row r="10" spans="1:23">
      <c r="B10" s="15">
        <v>2015</v>
      </c>
      <c r="C10" s="16">
        <v>54445</v>
      </c>
      <c r="D10" s="16">
        <v>14332</v>
      </c>
    </row>
    <row r="11" spans="1:23">
      <c r="B11" s="15"/>
    </row>
    <row r="12" spans="1:23">
      <c r="A12" s="14" t="s">
        <v>7</v>
      </c>
      <c r="B12" s="14" t="s">
        <v>0</v>
      </c>
      <c r="C12" s="14" t="s">
        <v>1</v>
      </c>
      <c r="D12" s="14" t="s">
        <v>2</v>
      </c>
      <c r="E12" s="14" t="s">
        <v>3</v>
      </c>
    </row>
    <row r="13" spans="1:23">
      <c r="B13" s="15">
        <v>2010</v>
      </c>
      <c r="C13" s="16">
        <v>55787</v>
      </c>
      <c r="D13" s="16">
        <v>13281</v>
      </c>
      <c r="E13" s="16">
        <v>42506</v>
      </c>
    </row>
    <row r="14" spans="1:23">
      <c r="B14" s="15">
        <v>2011</v>
      </c>
      <c r="C14" s="16">
        <v>55820</v>
      </c>
      <c r="D14" s="16">
        <v>13604</v>
      </c>
      <c r="E14" s="16">
        <v>42216</v>
      </c>
    </row>
    <row r="15" spans="1:23">
      <c r="B15" s="15">
        <v>2012</v>
      </c>
      <c r="C15" s="16">
        <v>55673</v>
      </c>
      <c r="D15" s="16">
        <v>13832</v>
      </c>
      <c r="E15" s="16">
        <v>41841</v>
      </c>
    </row>
    <row r="16" spans="1:23">
      <c r="B16" s="15">
        <v>2013</v>
      </c>
      <c r="C16" s="16">
        <v>55252</v>
      </c>
      <c r="D16" s="16">
        <v>13998</v>
      </c>
      <c r="E16" s="16">
        <v>41254</v>
      </c>
    </row>
    <row r="17" spans="1:16">
      <c r="B17" s="15">
        <v>2014</v>
      </c>
      <c r="C17" s="16">
        <v>54650</v>
      </c>
      <c r="D17" s="16">
        <v>14156</v>
      </c>
      <c r="E17" s="16">
        <v>40494</v>
      </c>
    </row>
    <row r="18" spans="1:16">
      <c r="B18" s="15">
        <v>2015</v>
      </c>
      <c r="C18" s="16">
        <v>54445</v>
      </c>
      <c r="D18" s="16">
        <v>14332</v>
      </c>
      <c r="E18" s="16">
        <v>40113</v>
      </c>
    </row>
    <row r="20" spans="1:16">
      <c r="A20" s="14" t="s">
        <v>31</v>
      </c>
      <c r="B20" s="14" t="s">
        <v>0</v>
      </c>
      <c r="C20" s="14" t="s">
        <v>4</v>
      </c>
      <c r="D20" s="14" t="s">
        <v>18</v>
      </c>
      <c r="E20" s="14" t="s">
        <v>51</v>
      </c>
      <c r="F20" s="14" t="s">
        <v>65</v>
      </c>
      <c r="G20" s="14" t="s">
        <v>78</v>
      </c>
      <c r="H20" s="14" t="s">
        <v>104</v>
      </c>
      <c r="I20" s="14" t="s">
        <v>117</v>
      </c>
      <c r="J20" s="14" t="s">
        <v>130</v>
      </c>
      <c r="K20" s="14" t="s">
        <v>143</v>
      </c>
      <c r="L20" s="14" t="s">
        <v>156</v>
      </c>
      <c r="M20" s="14" t="s">
        <v>169</v>
      </c>
      <c r="N20" s="14" t="s">
        <v>182</v>
      </c>
      <c r="O20" s="14" t="s">
        <v>195</v>
      </c>
      <c r="P20" s="14" t="s">
        <v>208</v>
      </c>
    </row>
    <row r="21" spans="1:16">
      <c r="B21" s="15">
        <v>2010</v>
      </c>
      <c r="C21" s="17">
        <v>14236880</v>
      </c>
      <c r="D21" s="17">
        <v>205830</v>
      </c>
      <c r="E21" s="17">
        <v>58930</v>
      </c>
      <c r="F21" s="17">
        <v>382650</v>
      </c>
      <c r="G21" s="17">
        <v>302780</v>
      </c>
      <c r="H21" s="17">
        <v>3330360</v>
      </c>
      <c r="I21" s="17">
        <v>5479920</v>
      </c>
      <c r="J21" s="17">
        <v>550740</v>
      </c>
      <c r="K21" s="17">
        <v>470660</v>
      </c>
      <c r="L21" s="17">
        <v>1598410</v>
      </c>
      <c r="M21" s="17">
        <v>1797140</v>
      </c>
      <c r="N21" s="17">
        <v>16530</v>
      </c>
      <c r="O21" s="17">
        <v>22880</v>
      </c>
      <c r="P21" s="17">
        <v>20070</v>
      </c>
    </row>
    <row r="22" spans="1:16">
      <c r="B22" s="15">
        <v>2011</v>
      </c>
      <c r="C22" s="17">
        <v>14416150</v>
      </c>
      <c r="D22" s="17">
        <v>206740</v>
      </c>
      <c r="E22" s="17">
        <v>59070</v>
      </c>
      <c r="F22" s="17">
        <v>383330</v>
      </c>
      <c r="G22" s="17">
        <v>302150</v>
      </c>
      <c r="H22" s="17">
        <v>3365750</v>
      </c>
      <c r="I22" s="17">
        <v>5526970</v>
      </c>
      <c r="J22" s="17">
        <v>559000</v>
      </c>
      <c r="K22" s="17">
        <v>482110</v>
      </c>
      <c r="L22" s="17">
        <v>1650840</v>
      </c>
      <c r="M22" s="17">
        <v>1819880</v>
      </c>
      <c r="N22" s="17">
        <v>16970</v>
      </c>
      <c r="O22" s="17">
        <v>22830</v>
      </c>
      <c r="P22" s="17">
        <v>20530</v>
      </c>
    </row>
    <row r="23" spans="1:16">
      <c r="B23" s="15">
        <v>2012</v>
      </c>
      <c r="C23" s="17">
        <v>14573530</v>
      </c>
      <c r="D23" s="17">
        <v>207080</v>
      </c>
      <c r="E23" s="17">
        <v>58630</v>
      </c>
      <c r="F23" s="17">
        <v>381040</v>
      </c>
      <c r="G23" s="17">
        <v>300100</v>
      </c>
      <c r="H23" s="17">
        <v>3396010</v>
      </c>
      <c r="I23" s="17">
        <v>5569180</v>
      </c>
      <c r="J23" s="17">
        <v>564890</v>
      </c>
      <c r="K23" s="17">
        <v>490370</v>
      </c>
      <c r="L23" s="17">
        <v>1717230</v>
      </c>
      <c r="M23" s="17">
        <v>1828090</v>
      </c>
      <c r="N23" s="17">
        <v>17130</v>
      </c>
      <c r="O23" s="17">
        <v>22910</v>
      </c>
      <c r="P23" s="17">
        <v>20890</v>
      </c>
    </row>
    <row r="24" spans="1:16">
      <c r="B24" s="15">
        <v>2013</v>
      </c>
      <c r="C24" s="17">
        <v>14749470</v>
      </c>
      <c r="D24" s="17">
        <v>207310</v>
      </c>
      <c r="E24" s="17">
        <v>58480</v>
      </c>
      <c r="F24" s="17">
        <v>381010</v>
      </c>
      <c r="G24" s="17">
        <v>298560</v>
      </c>
      <c r="H24" s="17">
        <v>3420020</v>
      </c>
      <c r="I24" s="17">
        <v>5623700</v>
      </c>
      <c r="J24" s="17">
        <v>571780</v>
      </c>
      <c r="K24" s="17">
        <v>497220</v>
      </c>
      <c r="L24" s="17">
        <v>1779830</v>
      </c>
      <c r="M24" s="17">
        <v>1850260</v>
      </c>
      <c r="N24" s="17">
        <v>17150</v>
      </c>
      <c r="O24" s="17">
        <v>22870</v>
      </c>
      <c r="P24" s="17">
        <v>21290</v>
      </c>
    </row>
    <row r="25" spans="1:16">
      <c r="B25" s="15">
        <v>2014</v>
      </c>
      <c r="C25" s="17">
        <v>14922630</v>
      </c>
      <c r="D25" s="17">
        <v>208650</v>
      </c>
      <c r="E25" s="17">
        <v>58720</v>
      </c>
      <c r="F25" s="17">
        <v>381540</v>
      </c>
      <c r="G25" s="17">
        <v>299360</v>
      </c>
      <c r="H25" s="17">
        <v>3448690</v>
      </c>
      <c r="I25" s="17">
        <v>5681420</v>
      </c>
      <c r="J25" s="17">
        <v>578420</v>
      </c>
      <c r="K25" s="17">
        <v>503860</v>
      </c>
      <c r="L25" s="17">
        <v>1822880</v>
      </c>
      <c r="M25" s="17">
        <v>1876930</v>
      </c>
      <c r="N25" s="17">
        <v>17270</v>
      </c>
      <c r="O25" s="17">
        <v>23130</v>
      </c>
      <c r="P25" s="17">
        <v>21750</v>
      </c>
    </row>
    <row r="26" spans="1:16">
      <c r="B26" s="15">
        <v>2015</v>
      </c>
      <c r="C26" s="16"/>
      <c r="D26" s="17"/>
      <c r="F26" s="17"/>
      <c r="G26" s="17"/>
      <c r="H26" s="17"/>
      <c r="I26" s="17"/>
      <c r="J26" s="17"/>
      <c r="K26" s="17"/>
      <c r="L26" s="17"/>
      <c r="M26" s="17"/>
      <c r="P26" s="17"/>
    </row>
    <row r="28" spans="1:16">
      <c r="A28" s="14" t="s">
        <v>32</v>
      </c>
      <c r="B28" s="14" t="s">
        <v>0</v>
      </c>
      <c r="C28" s="15" t="s">
        <v>5</v>
      </c>
      <c r="D28" s="15" t="s">
        <v>19</v>
      </c>
      <c r="E28" s="15" t="s">
        <v>52</v>
      </c>
      <c r="F28" s="15" t="s">
        <v>66</v>
      </c>
      <c r="G28" s="14" t="s">
        <v>79</v>
      </c>
      <c r="H28" s="15" t="s">
        <v>105</v>
      </c>
      <c r="I28" s="15" t="s">
        <v>118</v>
      </c>
      <c r="J28" s="15" t="s">
        <v>131</v>
      </c>
      <c r="K28" s="15" t="s">
        <v>144</v>
      </c>
      <c r="L28" s="14" t="s">
        <v>157</v>
      </c>
      <c r="M28" s="14" t="s">
        <v>170</v>
      </c>
      <c r="N28" s="14" t="s">
        <v>183</v>
      </c>
      <c r="O28" s="14" t="s">
        <v>196</v>
      </c>
      <c r="P28" s="14" t="s">
        <v>209</v>
      </c>
    </row>
    <row r="29" spans="1:16">
      <c r="B29" s="15">
        <v>2010</v>
      </c>
      <c r="C29" s="16">
        <v>12747920</v>
      </c>
      <c r="D29" s="16">
        <v>225350</v>
      </c>
      <c r="E29" s="16">
        <v>58960</v>
      </c>
      <c r="F29" s="16">
        <v>365010</v>
      </c>
      <c r="G29" s="17">
        <v>299470</v>
      </c>
      <c r="H29" s="16">
        <v>2316960</v>
      </c>
      <c r="I29" s="16">
        <v>5303640</v>
      </c>
      <c r="J29" s="16">
        <v>470400</v>
      </c>
      <c r="K29" s="16">
        <v>407900</v>
      </c>
      <c r="L29" s="17">
        <v>1474280</v>
      </c>
      <c r="M29" s="17">
        <v>1798550</v>
      </c>
      <c r="N29" s="17">
        <v>10170</v>
      </c>
      <c r="O29" s="17">
        <v>11130</v>
      </c>
      <c r="P29" s="17">
        <v>6100</v>
      </c>
    </row>
    <row r="30" spans="1:16">
      <c r="B30" s="15">
        <v>2011</v>
      </c>
      <c r="C30" s="16">
        <v>12849240</v>
      </c>
      <c r="D30" s="16">
        <v>225910</v>
      </c>
      <c r="E30" s="16">
        <v>59170</v>
      </c>
      <c r="F30" s="16">
        <v>364550</v>
      </c>
      <c r="G30" s="17">
        <v>298920</v>
      </c>
      <c r="H30" s="16">
        <v>2318250</v>
      </c>
      <c r="I30" s="16">
        <v>5343040</v>
      </c>
      <c r="J30" s="16">
        <v>475680</v>
      </c>
      <c r="K30" s="16">
        <v>413920</v>
      </c>
      <c r="L30" s="17">
        <v>1506390</v>
      </c>
      <c r="M30" s="17">
        <v>1815700</v>
      </c>
      <c r="N30" s="17">
        <v>10480</v>
      </c>
      <c r="O30" s="17">
        <v>11110</v>
      </c>
      <c r="P30" s="17">
        <v>6130</v>
      </c>
    </row>
    <row r="31" spans="1:16">
      <c r="B31" s="15">
        <v>2012</v>
      </c>
      <c r="C31" s="16">
        <v>12948940</v>
      </c>
      <c r="D31" s="16">
        <v>225760</v>
      </c>
      <c r="E31" s="16">
        <v>59190</v>
      </c>
      <c r="F31" s="16">
        <v>362910</v>
      </c>
      <c r="G31" s="17">
        <v>298130</v>
      </c>
      <c r="H31" s="16">
        <v>2319520</v>
      </c>
      <c r="I31" s="16">
        <v>5376040</v>
      </c>
      <c r="J31" s="16">
        <v>480250</v>
      </c>
      <c r="K31" s="16">
        <v>420850</v>
      </c>
      <c r="L31" s="17">
        <v>1549690</v>
      </c>
      <c r="M31" s="17">
        <v>1828730</v>
      </c>
      <c r="N31" s="17">
        <v>10470</v>
      </c>
      <c r="O31" s="17">
        <v>11150</v>
      </c>
      <c r="P31" s="17">
        <v>6250</v>
      </c>
    </row>
    <row r="32" spans="1:16">
      <c r="B32" s="15">
        <v>2013</v>
      </c>
      <c r="C32" s="16">
        <v>13053370</v>
      </c>
      <c r="D32" s="16">
        <v>225990</v>
      </c>
      <c r="E32" s="16">
        <v>59020</v>
      </c>
      <c r="F32" s="16">
        <v>361150</v>
      </c>
      <c r="G32" s="17">
        <v>296410</v>
      </c>
      <c r="H32" s="16">
        <v>2316210</v>
      </c>
      <c r="I32" s="16">
        <v>5409690</v>
      </c>
      <c r="J32" s="16">
        <v>484480</v>
      </c>
      <c r="K32" s="16">
        <v>426060</v>
      </c>
      <c r="L32" s="17">
        <v>1597430</v>
      </c>
      <c r="M32" s="17">
        <v>1848920</v>
      </c>
      <c r="N32" s="17">
        <v>10630</v>
      </c>
      <c r="O32" s="17">
        <v>11180</v>
      </c>
      <c r="P32" s="17">
        <v>6220</v>
      </c>
    </row>
    <row r="33" spans="1:16">
      <c r="B33" s="15">
        <v>2014</v>
      </c>
      <c r="C33" s="16">
        <v>13163280</v>
      </c>
      <c r="D33" s="16">
        <v>226490</v>
      </c>
      <c r="E33" s="16">
        <v>59240</v>
      </c>
      <c r="F33" s="16">
        <v>360140</v>
      </c>
      <c r="G33" s="17">
        <v>295600</v>
      </c>
      <c r="H33" s="16">
        <v>2311820</v>
      </c>
      <c r="I33" s="16">
        <v>5449970</v>
      </c>
      <c r="J33" s="16">
        <v>489190</v>
      </c>
      <c r="K33" s="16">
        <v>430690</v>
      </c>
      <c r="L33" s="17">
        <v>1637860</v>
      </c>
      <c r="M33" s="17">
        <v>1873990</v>
      </c>
      <c r="N33" s="17">
        <v>10810</v>
      </c>
      <c r="O33" s="17">
        <v>11250</v>
      </c>
      <c r="P33" s="17">
        <v>6210</v>
      </c>
    </row>
    <row r="34" spans="1:16">
      <c r="B34" s="15">
        <v>2015</v>
      </c>
      <c r="C34" s="16"/>
      <c r="D34" s="16"/>
      <c r="F34" s="16"/>
      <c r="G34" s="17"/>
      <c r="H34" s="16"/>
      <c r="I34" s="16"/>
      <c r="J34" s="16"/>
      <c r="K34" s="16"/>
      <c r="L34" s="17"/>
      <c r="M34" s="17"/>
      <c r="P34" s="17"/>
    </row>
    <row r="36" spans="1:16">
      <c r="A36" s="14" t="s">
        <v>33</v>
      </c>
      <c r="B36" s="14" t="s">
        <v>0</v>
      </c>
      <c r="C36" s="14" t="s">
        <v>8</v>
      </c>
      <c r="D36" s="15" t="s">
        <v>20</v>
      </c>
      <c r="E36" s="15" t="s">
        <v>53</v>
      </c>
      <c r="F36" s="15" t="s">
        <v>67</v>
      </c>
      <c r="G36" s="14" t="s">
        <v>80</v>
      </c>
      <c r="H36" s="15" t="s">
        <v>106</v>
      </c>
      <c r="I36" s="15" t="s">
        <v>119</v>
      </c>
      <c r="J36" s="15" t="s">
        <v>132</v>
      </c>
      <c r="K36" s="15" t="s">
        <v>145</v>
      </c>
      <c r="L36" s="14" t="s">
        <v>158</v>
      </c>
      <c r="M36" s="14" t="s">
        <v>171</v>
      </c>
      <c r="N36" s="14" t="s">
        <v>184</v>
      </c>
      <c r="O36" s="14" t="s">
        <v>197</v>
      </c>
      <c r="P36" s="14" t="s">
        <v>210</v>
      </c>
    </row>
    <row r="37" spans="1:16">
      <c r="B37" s="15">
        <v>2010</v>
      </c>
      <c r="C37" s="17">
        <v>2026310</v>
      </c>
      <c r="D37" s="16">
        <v>29470</v>
      </c>
      <c r="E37" s="16">
        <v>8810</v>
      </c>
      <c r="F37" s="16">
        <v>54960</v>
      </c>
      <c r="G37" s="17">
        <v>43640</v>
      </c>
      <c r="H37" s="16">
        <v>447550</v>
      </c>
      <c r="I37" s="16">
        <v>784580</v>
      </c>
      <c r="J37" s="16">
        <v>80170</v>
      </c>
      <c r="K37" s="16">
        <v>70800</v>
      </c>
      <c r="L37" s="17">
        <v>238430</v>
      </c>
      <c r="M37" s="17">
        <v>259920</v>
      </c>
      <c r="N37" s="17">
        <v>2090</v>
      </c>
      <c r="O37" s="17">
        <v>3200</v>
      </c>
      <c r="P37" s="17">
        <v>2690</v>
      </c>
    </row>
    <row r="38" spans="1:16">
      <c r="B38" s="15">
        <v>2011</v>
      </c>
      <c r="C38" s="17">
        <v>2061230</v>
      </c>
      <c r="D38" s="16">
        <v>29450</v>
      </c>
      <c r="E38" s="16">
        <v>8890</v>
      </c>
      <c r="F38" s="16">
        <v>55560</v>
      </c>
      <c r="G38" s="17">
        <v>43460</v>
      </c>
      <c r="H38" s="16">
        <v>460420</v>
      </c>
      <c r="I38" s="16">
        <v>793430</v>
      </c>
      <c r="J38" s="16">
        <v>82370</v>
      </c>
      <c r="K38" s="16">
        <v>73080</v>
      </c>
      <c r="L38" s="17">
        <v>243780</v>
      </c>
      <c r="M38" s="17">
        <v>262680</v>
      </c>
      <c r="N38" s="17">
        <v>2140</v>
      </c>
      <c r="O38" s="17">
        <v>3250</v>
      </c>
      <c r="P38" s="17">
        <v>2730</v>
      </c>
    </row>
    <row r="39" spans="1:16">
      <c r="B39" s="15">
        <v>2012</v>
      </c>
      <c r="C39" s="17">
        <v>2085710</v>
      </c>
      <c r="D39" s="16">
        <v>29120</v>
      </c>
      <c r="E39" s="16">
        <v>8840</v>
      </c>
      <c r="F39" s="16">
        <v>54910</v>
      </c>
      <c r="G39" s="17">
        <v>42960</v>
      </c>
      <c r="H39" s="16">
        <v>472120</v>
      </c>
      <c r="I39" s="16">
        <v>800070</v>
      </c>
      <c r="J39" s="16">
        <v>83300</v>
      </c>
      <c r="K39" s="16">
        <v>73540</v>
      </c>
      <c r="L39" s="17">
        <v>250680</v>
      </c>
      <c r="M39" s="17">
        <v>262130</v>
      </c>
      <c r="N39" s="17">
        <v>2140</v>
      </c>
      <c r="O39" s="17">
        <v>3190</v>
      </c>
      <c r="P39" s="17">
        <v>2700</v>
      </c>
    </row>
    <row r="40" spans="1:16">
      <c r="B40" s="15">
        <v>2013</v>
      </c>
      <c r="C40" s="17">
        <v>2103860</v>
      </c>
      <c r="D40" s="16">
        <v>28650</v>
      </c>
      <c r="E40" s="16">
        <v>8650</v>
      </c>
      <c r="F40" s="16">
        <v>54470</v>
      </c>
      <c r="G40" s="17">
        <v>41870</v>
      </c>
      <c r="H40" s="16">
        <v>478530</v>
      </c>
      <c r="I40" s="16">
        <v>805890</v>
      </c>
      <c r="J40" s="16">
        <v>84400</v>
      </c>
      <c r="K40" s="16">
        <v>73300</v>
      </c>
      <c r="L40" s="17">
        <v>256790</v>
      </c>
      <c r="M40" s="17">
        <v>263380</v>
      </c>
      <c r="N40" s="17">
        <v>2070</v>
      </c>
      <c r="O40" s="17">
        <v>3170</v>
      </c>
      <c r="P40" s="17">
        <v>2690</v>
      </c>
    </row>
    <row r="41" spans="1:16">
      <c r="B41" s="15">
        <v>2014</v>
      </c>
      <c r="C41" s="17">
        <v>2112200</v>
      </c>
      <c r="D41" s="16">
        <v>28240</v>
      </c>
      <c r="E41" s="16">
        <v>8520</v>
      </c>
      <c r="F41" s="16">
        <v>53570</v>
      </c>
      <c r="G41" s="17">
        <v>41610</v>
      </c>
      <c r="H41" s="16">
        <v>478340</v>
      </c>
      <c r="I41" s="16">
        <v>812420</v>
      </c>
      <c r="J41" s="16">
        <v>84900</v>
      </c>
      <c r="K41" s="16">
        <v>72080</v>
      </c>
      <c r="L41" s="17">
        <v>258290</v>
      </c>
      <c r="M41" s="17">
        <v>266350</v>
      </c>
      <c r="N41" s="17">
        <v>2020</v>
      </c>
      <c r="O41" s="17">
        <v>3100</v>
      </c>
      <c r="P41" s="17">
        <v>2770</v>
      </c>
    </row>
    <row r="42" spans="1:16">
      <c r="B42" s="15">
        <v>2015</v>
      </c>
      <c r="C42" s="16"/>
      <c r="D42" s="16"/>
      <c r="F42" s="16"/>
      <c r="G42" s="17"/>
      <c r="H42" s="16"/>
      <c r="I42" s="16"/>
      <c r="J42" s="16"/>
      <c r="K42" s="16"/>
      <c r="L42" s="17"/>
      <c r="M42" s="17"/>
      <c r="P42" s="17"/>
    </row>
    <row r="44" spans="1:16">
      <c r="A44" s="14" t="s">
        <v>34</v>
      </c>
      <c r="B44" s="14" t="s">
        <v>0</v>
      </c>
      <c r="C44" s="14" t="s">
        <v>9</v>
      </c>
      <c r="D44" s="15" t="s">
        <v>21</v>
      </c>
      <c r="E44" s="15" t="s">
        <v>54</v>
      </c>
      <c r="F44" s="15" t="s">
        <v>68</v>
      </c>
      <c r="G44" s="14" t="s">
        <v>81</v>
      </c>
      <c r="H44" s="15" t="s">
        <v>107</v>
      </c>
      <c r="I44" s="15" t="s">
        <v>120</v>
      </c>
      <c r="J44" s="15" t="s">
        <v>133</v>
      </c>
      <c r="K44" s="15" t="s">
        <v>146</v>
      </c>
      <c r="L44" s="14" t="s">
        <v>159</v>
      </c>
      <c r="M44" s="14" t="s">
        <v>172</v>
      </c>
      <c r="N44" s="14" t="s">
        <v>185</v>
      </c>
      <c r="O44" s="14" t="s">
        <v>198</v>
      </c>
      <c r="P44" s="14" t="s">
        <v>211</v>
      </c>
    </row>
    <row r="45" spans="1:16">
      <c r="B45" s="15">
        <v>2010</v>
      </c>
      <c r="C45" s="17">
        <v>2173790</v>
      </c>
      <c r="D45" s="16">
        <v>32270</v>
      </c>
      <c r="E45" s="16">
        <v>9830</v>
      </c>
      <c r="F45" s="16">
        <v>65810</v>
      </c>
      <c r="G45" s="17">
        <v>52670</v>
      </c>
      <c r="H45" s="16">
        <v>538200</v>
      </c>
      <c r="I45" s="16">
        <v>835720</v>
      </c>
      <c r="J45" s="16">
        <v>81780</v>
      </c>
      <c r="K45" s="16">
        <v>75890</v>
      </c>
      <c r="L45" s="17">
        <v>177590</v>
      </c>
      <c r="M45" s="17">
        <v>301950</v>
      </c>
      <c r="N45" s="17">
        <v>990</v>
      </c>
      <c r="O45" s="17">
        <v>810</v>
      </c>
      <c r="P45" s="17">
        <v>290</v>
      </c>
    </row>
    <row r="46" spans="1:16">
      <c r="B46" s="15">
        <v>2011</v>
      </c>
      <c r="C46" s="17">
        <v>2222820</v>
      </c>
      <c r="D46" s="16">
        <v>33090</v>
      </c>
      <c r="E46" s="16">
        <v>10020</v>
      </c>
      <c r="F46" s="16">
        <v>66900</v>
      </c>
      <c r="G46" s="17">
        <v>53600</v>
      </c>
      <c r="H46" s="16">
        <v>550870</v>
      </c>
      <c r="I46" s="16">
        <v>856580</v>
      </c>
      <c r="J46" s="16">
        <v>82000</v>
      </c>
      <c r="K46" s="16">
        <v>75860</v>
      </c>
      <c r="L46" s="17">
        <v>182280</v>
      </c>
      <c r="M46" s="17">
        <v>309500</v>
      </c>
      <c r="N46" s="17">
        <v>1000</v>
      </c>
      <c r="O46" s="17">
        <v>830</v>
      </c>
      <c r="P46" s="17">
        <v>290</v>
      </c>
    </row>
    <row r="47" spans="1:16">
      <c r="B47" s="15">
        <v>2012</v>
      </c>
      <c r="C47" s="17">
        <v>2268780</v>
      </c>
      <c r="D47" s="16">
        <v>33770</v>
      </c>
      <c r="E47" s="16">
        <v>10180</v>
      </c>
      <c r="F47" s="16">
        <v>67970</v>
      </c>
      <c r="G47" s="17">
        <v>54570</v>
      </c>
      <c r="H47" s="16">
        <v>561860</v>
      </c>
      <c r="I47" s="16">
        <v>877120</v>
      </c>
      <c r="J47" s="16">
        <v>82510</v>
      </c>
      <c r="K47" s="16">
        <v>75670</v>
      </c>
      <c r="L47" s="17">
        <v>186820</v>
      </c>
      <c r="M47" s="17">
        <v>316050</v>
      </c>
      <c r="N47" s="17">
        <v>1090</v>
      </c>
      <c r="O47" s="17">
        <v>870</v>
      </c>
      <c r="P47" s="17">
        <v>300</v>
      </c>
    </row>
    <row r="48" spans="1:16">
      <c r="B48" s="15">
        <v>2013</v>
      </c>
      <c r="C48" s="17">
        <v>2324870</v>
      </c>
      <c r="D48" s="16">
        <v>34570</v>
      </c>
      <c r="E48" s="16">
        <v>10340</v>
      </c>
      <c r="F48" s="16">
        <v>69400</v>
      </c>
      <c r="G48" s="17">
        <v>55760</v>
      </c>
      <c r="H48" s="16">
        <v>576160</v>
      </c>
      <c r="I48" s="16">
        <v>900430</v>
      </c>
      <c r="J48" s="16">
        <v>83260</v>
      </c>
      <c r="K48" s="16">
        <v>75630</v>
      </c>
      <c r="L48" s="17">
        <v>191730</v>
      </c>
      <c r="M48" s="17">
        <v>325230</v>
      </c>
      <c r="N48" s="17">
        <v>1140</v>
      </c>
      <c r="O48" s="17">
        <v>900</v>
      </c>
      <c r="P48" s="17">
        <v>320</v>
      </c>
    </row>
    <row r="49" spans="1:16">
      <c r="B49" s="15">
        <v>2014</v>
      </c>
      <c r="C49" s="17">
        <v>2381640</v>
      </c>
      <c r="D49" s="16">
        <v>35500</v>
      </c>
      <c r="E49" s="16">
        <v>10520</v>
      </c>
      <c r="F49" s="16">
        <v>70770</v>
      </c>
      <c r="G49" s="17">
        <v>56940</v>
      </c>
      <c r="H49" s="16">
        <v>591030</v>
      </c>
      <c r="I49" s="16">
        <v>924400</v>
      </c>
      <c r="J49" s="16">
        <v>83540</v>
      </c>
      <c r="K49" s="16">
        <v>75660</v>
      </c>
      <c r="L49" s="17">
        <v>196850</v>
      </c>
      <c r="M49" s="17">
        <v>333980</v>
      </c>
      <c r="N49" s="17">
        <v>1190</v>
      </c>
      <c r="O49" s="17">
        <v>940</v>
      </c>
      <c r="P49" s="17">
        <v>330</v>
      </c>
    </row>
    <row r="50" spans="1:16">
      <c r="B50" s="15">
        <v>2015</v>
      </c>
      <c r="C50" s="16"/>
      <c r="D50" s="16"/>
      <c r="F50" s="16"/>
      <c r="G50" s="17"/>
      <c r="H50" s="16"/>
      <c r="I50" s="16"/>
      <c r="J50" s="16"/>
      <c r="K50" s="16"/>
      <c r="L50" s="17"/>
      <c r="M50" s="17"/>
      <c r="P50" s="17"/>
    </row>
    <row r="51" spans="1:16">
      <c r="K51" s="16"/>
    </row>
    <row r="52" spans="1:16">
      <c r="A52" s="14" t="s">
        <v>26</v>
      </c>
      <c r="B52" s="14" t="s">
        <v>0</v>
      </c>
      <c r="C52" s="14" t="s">
        <v>10</v>
      </c>
      <c r="D52" s="14" t="s">
        <v>23</v>
      </c>
      <c r="E52" s="14" t="s">
        <v>55</v>
      </c>
      <c r="F52" s="14" t="s">
        <v>69</v>
      </c>
      <c r="G52" s="14" t="s">
        <v>82</v>
      </c>
      <c r="H52" s="14" t="s">
        <v>108</v>
      </c>
      <c r="I52" s="14" t="s">
        <v>121</v>
      </c>
      <c r="J52" s="14" t="s">
        <v>134</v>
      </c>
      <c r="K52" s="14" t="s">
        <v>147</v>
      </c>
      <c r="L52" s="14" t="s">
        <v>160</v>
      </c>
      <c r="M52" s="14" t="s">
        <v>173</v>
      </c>
      <c r="N52" s="14" t="s">
        <v>186</v>
      </c>
      <c r="O52" s="14" t="s">
        <v>199</v>
      </c>
      <c r="P52" s="14" t="s">
        <v>212</v>
      </c>
    </row>
    <row r="53" spans="1:16">
      <c r="B53" s="15">
        <v>2010</v>
      </c>
      <c r="C53" s="17">
        <v>39</v>
      </c>
      <c r="D53" s="17">
        <v>41</v>
      </c>
      <c r="E53" s="17">
        <v>40</v>
      </c>
      <c r="F53" s="17">
        <v>41</v>
      </c>
      <c r="G53" s="17">
        <v>41</v>
      </c>
      <c r="H53" s="17">
        <v>40</v>
      </c>
      <c r="I53" s="17">
        <v>39</v>
      </c>
      <c r="J53" s="17">
        <v>38</v>
      </c>
      <c r="K53" s="17">
        <v>38</v>
      </c>
      <c r="L53" s="17">
        <v>36</v>
      </c>
      <c r="M53" s="17">
        <v>40</v>
      </c>
      <c r="N53" s="17">
        <v>37</v>
      </c>
      <c r="O53" s="17">
        <v>32</v>
      </c>
      <c r="P53" s="17">
        <v>26</v>
      </c>
    </row>
    <row r="54" spans="1:16">
      <c r="B54" s="15">
        <v>2011</v>
      </c>
      <c r="C54" s="17">
        <v>39</v>
      </c>
      <c r="D54" s="17">
        <v>41</v>
      </c>
      <c r="E54" s="17">
        <v>40</v>
      </c>
      <c r="F54" s="17">
        <v>41</v>
      </c>
      <c r="G54" s="17">
        <v>41</v>
      </c>
      <c r="H54" s="17">
        <v>40</v>
      </c>
      <c r="I54" s="17">
        <v>39</v>
      </c>
      <c r="J54" s="17">
        <v>38</v>
      </c>
      <c r="K54" s="17">
        <v>38</v>
      </c>
      <c r="L54" s="17">
        <v>36</v>
      </c>
      <c r="M54" s="17">
        <v>41</v>
      </c>
      <c r="N54" s="17">
        <v>37</v>
      </c>
      <c r="O54" s="17">
        <v>33</v>
      </c>
      <c r="P54" s="17">
        <v>26</v>
      </c>
    </row>
    <row r="55" spans="1:16">
      <c r="B55" s="15">
        <v>2012</v>
      </c>
      <c r="C55" s="17">
        <v>39</v>
      </c>
      <c r="D55" s="17">
        <v>42</v>
      </c>
      <c r="E55" s="17">
        <v>41</v>
      </c>
      <c r="F55" s="17">
        <v>42</v>
      </c>
      <c r="G55" s="17">
        <v>42</v>
      </c>
      <c r="H55" s="17">
        <v>41</v>
      </c>
      <c r="I55" s="17">
        <v>39</v>
      </c>
      <c r="J55" s="17">
        <v>38</v>
      </c>
      <c r="K55" s="17">
        <v>38</v>
      </c>
      <c r="L55" s="17">
        <v>36</v>
      </c>
      <c r="M55" s="17">
        <v>41</v>
      </c>
      <c r="N55" s="17">
        <v>37</v>
      </c>
      <c r="O55" s="17">
        <v>33</v>
      </c>
      <c r="P55" s="17">
        <v>26</v>
      </c>
    </row>
    <row r="56" spans="1:16">
      <c r="B56" s="15">
        <v>2013</v>
      </c>
      <c r="C56" s="17">
        <v>40</v>
      </c>
      <c r="D56" s="17">
        <v>42</v>
      </c>
      <c r="E56" s="17">
        <v>41</v>
      </c>
      <c r="F56" s="17">
        <v>42</v>
      </c>
      <c r="G56" s="17">
        <v>42</v>
      </c>
      <c r="H56" s="17">
        <v>41</v>
      </c>
      <c r="I56" s="17">
        <v>40</v>
      </c>
      <c r="J56" s="17">
        <v>38</v>
      </c>
      <c r="K56" s="17">
        <v>38</v>
      </c>
      <c r="L56" s="17">
        <v>36</v>
      </c>
      <c r="M56" s="17">
        <v>41</v>
      </c>
      <c r="N56" s="17">
        <v>38</v>
      </c>
      <c r="O56" s="17">
        <v>33</v>
      </c>
      <c r="P56" s="17">
        <v>26</v>
      </c>
    </row>
    <row r="57" spans="1:16">
      <c r="B57" s="15">
        <v>2014</v>
      </c>
      <c r="C57" s="17">
        <v>40</v>
      </c>
      <c r="D57" s="17">
        <v>42</v>
      </c>
      <c r="E57" s="17">
        <v>41</v>
      </c>
      <c r="F57" s="17">
        <v>42</v>
      </c>
      <c r="G57" s="17">
        <v>42</v>
      </c>
      <c r="H57" s="17">
        <v>41</v>
      </c>
      <c r="I57" s="17">
        <v>40</v>
      </c>
      <c r="J57" s="17">
        <v>38</v>
      </c>
      <c r="K57" s="17">
        <v>38</v>
      </c>
      <c r="L57" s="17">
        <v>36</v>
      </c>
      <c r="M57" s="17">
        <v>41</v>
      </c>
      <c r="N57" s="17">
        <v>38</v>
      </c>
      <c r="O57" s="17">
        <v>33</v>
      </c>
      <c r="P57" s="17">
        <v>26</v>
      </c>
    </row>
    <row r="58" spans="1:16">
      <c r="B58" s="15">
        <v>2015</v>
      </c>
      <c r="C58" s="16"/>
      <c r="D58" s="17"/>
      <c r="F58" s="17"/>
      <c r="G58" s="17"/>
      <c r="H58" s="17"/>
      <c r="I58" s="17"/>
      <c r="J58" s="17"/>
      <c r="K58" s="17"/>
      <c r="L58" s="17"/>
      <c r="M58" s="17"/>
      <c r="O58" s="17"/>
      <c r="P58" s="17"/>
    </row>
    <row r="60" spans="1:16">
      <c r="A60" s="14" t="s">
        <v>35</v>
      </c>
      <c r="B60" s="14" t="s">
        <v>0</v>
      </c>
      <c r="C60" s="15" t="s">
        <v>11</v>
      </c>
      <c r="D60" s="15" t="s">
        <v>24</v>
      </c>
      <c r="E60" s="15" t="s">
        <v>56</v>
      </c>
      <c r="F60" s="14" t="s">
        <v>70</v>
      </c>
      <c r="G60" s="15" t="s">
        <v>83</v>
      </c>
      <c r="H60" s="15" t="s">
        <v>109</v>
      </c>
      <c r="I60" s="15" t="s">
        <v>122</v>
      </c>
      <c r="J60" s="15" t="s">
        <v>135</v>
      </c>
      <c r="K60" s="14" t="s">
        <v>148</v>
      </c>
      <c r="L60" s="14" t="s">
        <v>161</v>
      </c>
      <c r="M60" s="14" t="s">
        <v>174</v>
      </c>
      <c r="N60" s="14" t="s">
        <v>187</v>
      </c>
      <c r="O60" s="14" t="s">
        <v>200</v>
      </c>
      <c r="P60" s="14" t="s">
        <v>213</v>
      </c>
    </row>
    <row r="61" spans="1:16">
      <c r="B61" s="15">
        <v>2010</v>
      </c>
      <c r="C61" s="16">
        <v>7334820</v>
      </c>
      <c r="D61" s="16">
        <v>107340</v>
      </c>
      <c r="E61" s="16">
        <v>30150</v>
      </c>
      <c r="F61" s="17">
        <v>195630</v>
      </c>
      <c r="G61" s="16">
        <v>157660</v>
      </c>
      <c r="H61" s="16">
        <v>1727550</v>
      </c>
      <c r="I61" s="16">
        <v>2795790</v>
      </c>
      <c r="J61" s="16">
        <v>284940</v>
      </c>
      <c r="K61" s="17">
        <v>245090</v>
      </c>
      <c r="L61" s="17">
        <v>836860</v>
      </c>
      <c r="M61" s="17">
        <v>922980</v>
      </c>
      <c r="N61" s="17">
        <v>8560</v>
      </c>
      <c r="O61" s="17">
        <v>11980</v>
      </c>
      <c r="P61" s="17">
        <v>10310</v>
      </c>
    </row>
    <row r="62" spans="1:16">
      <c r="B62" s="15">
        <v>2011</v>
      </c>
      <c r="C62" s="16">
        <v>7431240</v>
      </c>
      <c r="D62" s="16">
        <v>107900</v>
      </c>
      <c r="E62" s="16">
        <v>30190</v>
      </c>
      <c r="F62" s="17">
        <v>196050</v>
      </c>
      <c r="G62" s="16">
        <v>157280</v>
      </c>
      <c r="H62" s="16">
        <v>1747380</v>
      </c>
      <c r="I62" s="16">
        <v>2816590</v>
      </c>
      <c r="J62" s="16">
        <v>289430</v>
      </c>
      <c r="K62" s="17">
        <v>252110</v>
      </c>
      <c r="L62" s="17">
        <v>866500</v>
      </c>
      <c r="M62" s="17">
        <v>936530</v>
      </c>
      <c r="N62" s="17">
        <v>8810</v>
      </c>
      <c r="O62" s="17">
        <v>11970</v>
      </c>
      <c r="P62" s="17">
        <v>10510</v>
      </c>
    </row>
    <row r="63" spans="1:16">
      <c r="B63" s="15">
        <v>2012</v>
      </c>
      <c r="C63" s="16">
        <v>7511130</v>
      </c>
      <c r="D63" s="16">
        <v>108120</v>
      </c>
      <c r="E63" s="16">
        <v>29940</v>
      </c>
      <c r="F63" s="17">
        <v>194630</v>
      </c>
      <c r="G63" s="16">
        <v>155880</v>
      </c>
      <c r="H63" s="16">
        <v>1763570</v>
      </c>
      <c r="I63" s="16">
        <v>2835610</v>
      </c>
      <c r="J63" s="16">
        <v>292370</v>
      </c>
      <c r="K63" s="17">
        <v>256190</v>
      </c>
      <c r="L63" s="17">
        <v>903600</v>
      </c>
      <c r="M63" s="17">
        <v>939740</v>
      </c>
      <c r="N63" s="17">
        <v>8880</v>
      </c>
      <c r="O63" s="17">
        <v>11980</v>
      </c>
      <c r="P63" s="17">
        <v>10640</v>
      </c>
    </row>
    <row r="64" spans="1:16">
      <c r="B64" s="15">
        <v>2013</v>
      </c>
      <c r="C64" s="16">
        <v>7605360</v>
      </c>
      <c r="D64" s="16">
        <v>108220</v>
      </c>
      <c r="E64" s="16">
        <v>29820</v>
      </c>
      <c r="F64" s="17">
        <v>194500</v>
      </c>
      <c r="G64" s="16">
        <v>154990</v>
      </c>
      <c r="H64" s="16">
        <v>1776600</v>
      </c>
      <c r="I64" s="16">
        <v>2863660</v>
      </c>
      <c r="J64" s="16">
        <v>295990</v>
      </c>
      <c r="K64" s="17">
        <v>259890</v>
      </c>
      <c r="L64" s="17">
        <v>937970</v>
      </c>
      <c r="M64" s="17">
        <v>952080</v>
      </c>
      <c r="N64" s="17">
        <v>8820</v>
      </c>
      <c r="O64" s="17">
        <v>11950</v>
      </c>
      <c r="P64" s="17">
        <v>10890</v>
      </c>
    </row>
    <row r="65" spans="1:16">
      <c r="B65" s="15">
        <v>2014</v>
      </c>
      <c r="C65" s="16">
        <v>7697830</v>
      </c>
      <c r="D65" s="16">
        <v>109050</v>
      </c>
      <c r="E65" s="16">
        <v>29860</v>
      </c>
      <c r="F65" s="17">
        <v>194740</v>
      </c>
      <c r="G65" s="16">
        <v>155540</v>
      </c>
      <c r="H65" s="16">
        <v>1792600</v>
      </c>
      <c r="I65" s="16">
        <v>2894770</v>
      </c>
      <c r="J65" s="16">
        <v>299650</v>
      </c>
      <c r="K65" s="17">
        <v>263010</v>
      </c>
      <c r="L65" s="17">
        <v>960740</v>
      </c>
      <c r="M65" s="17">
        <v>965750</v>
      </c>
      <c r="N65" s="17">
        <v>8930</v>
      </c>
      <c r="O65" s="17">
        <v>12070</v>
      </c>
      <c r="P65" s="17">
        <v>11120</v>
      </c>
    </row>
    <row r="66" spans="1:16">
      <c r="B66" s="15">
        <v>2015</v>
      </c>
      <c r="C66" s="16"/>
      <c r="D66" s="16"/>
      <c r="E66" s="16"/>
      <c r="F66" s="17"/>
      <c r="G66" s="16"/>
      <c r="H66" s="16"/>
      <c r="I66" s="16"/>
      <c r="J66" s="16"/>
      <c r="K66" s="17"/>
      <c r="L66" s="17"/>
      <c r="M66" s="17"/>
      <c r="O66" s="17"/>
      <c r="P66" s="17"/>
    </row>
    <row r="68" spans="1:16">
      <c r="A68" s="14" t="s">
        <v>36</v>
      </c>
      <c r="B68" s="14" t="s">
        <v>0</v>
      </c>
      <c r="C68" s="15" t="s">
        <v>12</v>
      </c>
      <c r="D68" s="15" t="s">
        <v>25</v>
      </c>
      <c r="E68" s="15" t="s">
        <v>57</v>
      </c>
      <c r="F68" s="14" t="s">
        <v>71</v>
      </c>
      <c r="G68" s="15" t="s">
        <v>84</v>
      </c>
      <c r="H68" s="15" t="s">
        <v>110</v>
      </c>
      <c r="I68" s="15" t="s">
        <v>123</v>
      </c>
      <c r="J68" s="15" t="s">
        <v>136</v>
      </c>
      <c r="K68" s="14" t="s">
        <v>149</v>
      </c>
      <c r="L68" s="14" t="s">
        <v>162</v>
      </c>
      <c r="M68" s="14" t="s">
        <v>175</v>
      </c>
      <c r="N68" s="14" t="s">
        <v>188</v>
      </c>
      <c r="O68" s="14" t="s">
        <v>201</v>
      </c>
      <c r="P68" s="14" t="s">
        <v>214</v>
      </c>
    </row>
    <row r="69" spans="1:16">
      <c r="B69" s="15">
        <v>2010</v>
      </c>
      <c r="C69" s="16">
        <v>6375140</v>
      </c>
      <c r="D69" s="16">
        <v>112610</v>
      </c>
      <c r="E69" s="16">
        <v>29470</v>
      </c>
      <c r="F69" s="17">
        <v>182350</v>
      </c>
      <c r="G69" s="16">
        <v>149630</v>
      </c>
      <c r="H69" s="16">
        <v>1158880</v>
      </c>
      <c r="I69" s="16">
        <v>2652880</v>
      </c>
      <c r="J69" s="16">
        <v>235110</v>
      </c>
      <c r="K69" s="17">
        <v>203850</v>
      </c>
      <c r="L69" s="17">
        <v>737400</v>
      </c>
      <c r="M69" s="17">
        <v>899290</v>
      </c>
      <c r="N69" s="17">
        <v>5070</v>
      </c>
      <c r="O69" s="17">
        <v>5550</v>
      </c>
      <c r="P69" s="17">
        <v>3040</v>
      </c>
    </row>
    <row r="70" spans="1:16">
      <c r="B70" s="15">
        <v>2011</v>
      </c>
      <c r="C70" s="16">
        <v>6424930</v>
      </c>
      <c r="D70" s="16">
        <v>112870</v>
      </c>
      <c r="E70" s="16">
        <v>29570</v>
      </c>
      <c r="F70" s="17">
        <v>182070</v>
      </c>
      <c r="G70" s="16">
        <v>149320</v>
      </c>
      <c r="H70" s="16">
        <v>1159400</v>
      </c>
      <c r="I70" s="16">
        <v>2672260</v>
      </c>
      <c r="J70" s="16">
        <v>237760</v>
      </c>
      <c r="K70" s="17">
        <v>206850</v>
      </c>
      <c r="L70" s="17">
        <v>753250</v>
      </c>
      <c r="M70" s="17">
        <v>907760</v>
      </c>
      <c r="N70" s="17">
        <v>5230</v>
      </c>
      <c r="O70" s="17">
        <v>5540</v>
      </c>
      <c r="P70" s="17">
        <v>3050</v>
      </c>
    </row>
    <row r="71" spans="1:16">
      <c r="B71" s="15">
        <v>2012</v>
      </c>
      <c r="C71" s="16">
        <v>6475020</v>
      </c>
      <c r="D71" s="16">
        <v>112810</v>
      </c>
      <c r="E71" s="16">
        <v>29570</v>
      </c>
      <c r="F71" s="17">
        <v>181250</v>
      </c>
      <c r="G71" s="16">
        <v>148930</v>
      </c>
      <c r="H71" s="16">
        <v>1160050</v>
      </c>
      <c r="I71" s="16">
        <v>2688940</v>
      </c>
      <c r="J71" s="16">
        <v>240010</v>
      </c>
      <c r="K71" s="17">
        <v>210330</v>
      </c>
      <c r="L71" s="17">
        <v>775010</v>
      </c>
      <c r="M71" s="17">
        <v>914240</v>
      </c>
      <c r="N71" s="17">
        <v>5220</v>
      </c>
      <c r="O71" s="17">
        <v>5550</v>
      </c>
      <c r="P71" s="17">
        <v>3120</v>
      </c>
    </row>
    <row r="72" spans="1:16">
      <c r="B72" s="15">
        <v>2013</v>
      </c>
      <c r="C72" s="16">
        <v>6527180</v>
      </c>
      <c r="D72" s="16">
        <v>112930</v>
      </c>
      <c r="E72" s="16">
        <v>29480</v>
      </c>
      <c r="F72" s="17">
        <v>180420</v>
      </c>
      <c r="G72" s="16">
        <v>148050</v>
      </c>
      <c r="H72" s="16">
        <v>1158440</v>
      </c>
      <c r="I72" s="16">
        <v>2705620</v>
      </c>
      <c r="J72" s="16">
        <v>242150</v>
      </c>
      <c r="K72" s="17">
        <v>212970</v>
      </c>
      <c r="L72" s="17">
        <v>798860</v>
      </c>
      <c r="M72" s="17">
        <v>924300</v>
      </c>
      <c r="N72" s="17">
        <v>5300</v>
      </c>
      <c r="O72" s="17">
        <v>5570</v>
      </c>
      <c r="P72" s="17">
        <v>3100</v>
      </c>
    </row>
    <row r="73" spans="1:16">
      <c r="B73" s="15">
        <v>2014</v>
      </c>
      <c r="C73" s="16">
        <v>6581720</v>
      </c>
      <c r="D73" s="16">
        <v>113170</v>
      </c>
      <c r="E73" s="16">
        <v>29600</v>
      </c>
      <c r="F73" s="17">
        <v>179860</v>
      </c>
      <c r="G73" s="16">
        <v>147650</v>
      </c>
      <c r="H73" s="16">
        <v>1156210</v>
      </c>
      <c r="I73" s="16">
        <v>2725470</v>
      </c>
      <c r="J73" s="16">
        <v>244520</v>
      </c>
      <c r="K73" s="17">
        <v>215270</v>
      </c>
      <c r="L73" s="17">
        <v>819040</v>
      </c>
      <c r="M73" s="17">
        <v>936870</v>
      </c>
      <c r="N73" s="17">
        <v>5380</v>
      </c>
      <c r="O73" s="17">
        <v>5590</v>
      </c>
      <c r="P73" s="17">
        <v>3100</v>
      </c>
    </row>
    <row r="74" spans="1:16">
      <c r="B74" s="15">
        <v>2015</v>
      </c>
      <c r="C74" s="16"/>
      <c r="D74" s="16"/>
      <c r="E74" s="16"/>
      <c r="F74" s="17"/>
      <c r="G74" s="16"/>
      <c r="H74" s="16"/>
      <c r="I74" s="16"/>
      <c r="J74" s="16"/>
      <c r="K74" s="17"/>
      <c r="L74" s="17"/>
      <c r="M74" s="17"/>
      <c r="O74" s="17"/>
      <c r="P74" s="17"/>
    </row>
    <row r="76" spans="1:16">
      <c r="A76" s="14" t="s">
        <v>37</v>
      </c>
      <c r="B76" s="14" t="s">
        <v>0</v>
      </c>
      <c r="C76" s="15" t="s">
        <v>13</v>
      </c>
      <c r="D76" s="15" t="s">
        <v>27</v>
      </c>
      <c r="E76" s="15" t="s">
        <v>58</v>
      </c>
      <c r="F76" s="14" t="s">
        <v>72</v>
      </c>
      <c r="G76" s="15" t="s">
        <v>85</v>
      </c>
      <c r="H76" s="15" t="s">
        <v>111</v>
      </c>
      <c r="I76" s="15" t="s">
        <v>124</v>
      </c>
      <c r="J76" s="15" t="s">
        <v>137</v>
      </c>
      <c r="K76" s="14" t="s">
        <v>150</v>
      </c>
      <c r="L76" s="14" t="s">
        <v>163</v>
      </c>
      <c r="M76" s="14" t="s">
        <v>176</v>
      </c>
      <c r="N76" s="14" t="s">
        <v>189</v>
      </c>
      <c r="O76" s="14" t="s">
        <v>202</v>
      </c>
      <c r="P76" s="14" t="s">
        <v>215</v>
      </c>
    </row>
    <row r="77" spans="1:16">
      <c r="B77" s="15">
        <v>2010</v>
      </c>
      <c r="C77" s="16">
        <v>1004410</v>
      </c>
      <c r="D77" s="16">
        <v>14520</v>
      </c>
      <c r="E77" s="16">
        <v>4340</v>
      </c>
      <c r="F77" s="17">
        <v>27020</v>
      </c>
      <c r="G77" s="16">
        <v>21800</v>
      </c>
      <c r="H77" s="16">
        <v>222090</v>
      </c>
      <c r="I77" s="16">
        <v>389630</v>
      </c>
      <c r="J77" s="16">
        <v>39870</v>
      </c>
      <c r="K77" s="17">
        <v>35270</v>
      </c>
      <c r="L77" s="17">
        <v>118030</v>
      </c>
      <c r="M77" s="17">
        <v>127840</v>
      </c>
      <c r="N77" s="17">
        <v>1060</v>
      </c>
      <c r="O77" s="17">
        <v>1600</v>
      </c>
      <c r="P77" s="17">
        <v>1330</v>
      </c>
    </row>
    <row r="78" spans="1:16">
      <c r="B78" s="15">
        <v>2011</v>
      </c>
      <c r="C78" s="16">
        <v>1023990</v>
      </c>
      <c r="D78" s="16">
        <v>14570</v>
      </c>
      <c r="E78" s="16">
        <v>4340</v>
      </c>
      <c r="F78" s="17">
        <v>27450</v>
      </c>
      <c r="G78" s="16">
        <v>21820</v>
      </c>
      <c r="H78" s="16">
        <v>228810</v>
      </c>
      <c r="I78" s="16">
        <v>393930</v>
      </c>
      <c r="J78" s="16">
        <v>41050</v>
      </c>
      <c r="K78" s="17">
        <v>36680</v>
      </c>
      <c r="L78" s="17">
        <v>121460</v>
      </c>
      <c r="M78" s="17">
        <v>129840</v>
      </c>
      <c r="N78" s="17">
        <v>1110</v>
      </c>
      <c r="O78" s="17">
        <v>1610</v>
      </c>
      <c r="P78" s="17">
        <v>1320</v>
      </c>
    </row>
    <row r="79" spans="1:16">
      <c r="B79" s="15">
        <v>2012</v>
      </c>
      <c r="C79" s="16">
        <v>1037950</v>
      </c>
      <c r="D79" s="16">
        <v>14510</v>
      </c>
      <c r="E79" s="16">
        <v>4390</v>
      </c>
      <c r="F79" s="17">
        <v>27140</v>
      </c>
      <c r="G79" s="16">
        <v>21460</v>
      </c>
      <c r="H79" s="16">
        <v>234900</v>
      </c>
      <c r="I79" s="16">
        <v>397560</v>
      </c>
      <c r="J79" s="16">
        <v>41510</v>
      </c>
      <c r="K79" s="17">
        <v>36910</v>
      </c>
      <c r="L79" s="17">
        <v>125430</v>
      </c>
      <c r="M79" s="17">
        <v>130120</v>
      </c>
      <c r="N79" s="17">
        <v>1120</v>
      </c>
      <c r="O79" s="17">
        <v>1580</v>
      </c>
      <c r="P79" s="17">
        <v>1320</v>
      </c>
    </row>
    <row r="80" spans="1:16">
      <c r="B80" s="15">
        <v>2013</v>
      </c>
      <c r="C80" s="16">
        <v>1049690</v>
      </c>
      <c r="D80" s="16">
        <v>14240</v>
      </c>
      <c r="E80" s="16">
        <v>4300</v>
      </c>
      <c r="F80" s="17">
        <v>26770</v>
      </c>
      <c r="G80" s="16">
        <v>20880</v>
      </c>
      <c r="H80" s="16">
        <v>238350</v>
      </c>
      <c r="I80" s="16">
        <v>401400</v>
      </c>
      <c r="J80" s="16">
        <v>42240</v>
      </c>
      <c r="K80" s="17">
        <v>36850</v>
      </c>
      <c r="L80" s="17">
        <v>129500</v>
      </c>
      <c r="M80" s="17">
        <v>131190</v>
      </c>
      <c r="N80" s="17">
        <v>1080</v>
      </c>
      <c r="O80" s="17">
        <v>1600</v>
      </c>
      <c r="P80" s="17">
        <v>1300</v>
      </c>
    </row>
    <row r="81" spans="1:23">
      <c r="B81" s="15">
        <v>2014</v>
      </c>
      <c r="C81" s="16">
        <v>1056450</v>
      </c>
      <c r="D81" s="16">
        <v>14120</v>
      </c>
      <c r="E81" s="16">
        <v>4190</v>
      </c>
      <c r="F81" s="17">
        <v>26380</v>
      </c>
      <c r="G81" s="16">
        <v>20740</v>
      </c>
      <c r="H81" s="16">
        <v>238280</v>
      </c>
      <c r="I81" s="16">
        <v>406260</v>
      </c>
      <c r="J81" s="16">
        <v>42580</v>
      </c>
      <c r="K81" s="17">
        <v>36120</v>
      </c>
      <c r="L81" s="17">
        <v>130690</v>
      </c>
      <c r="M81" s="17">
        <v>133130</v>
      </c>
      <c r="N81" s="17">
        <v>1030</v>
      </c>
      <c r="O81" s="17">
        <v>1570</v>
      </c>
      <c r="P81" s="17">
        <v>1360</v>
      </c>
    </row>
    <row r="82" spans="1:23">
      <c r="B82" s="15">
        <v>2015</v>
      </c>
      <c r="C82" s="16"/>
      <c r="D82" s="16"/>
      <c r="E82" s="16"/>
      <c r="F82" s="17"/>
      <c r="G82" s="16"/>
      <c r="H82" s="16"/>
      <c r="I82" s="16"/>
      <c r="J82" s="16"/>
      <c r="K82" s="17"/>
      <c r="L82" s="17"/>
      <c r="M82" s="17"/>
      <c r="O82" s="17"/>
      <c r="P82" s="17"/>
    </row>
    <row r="84" spans="1:23">
      <c r="A84" s="14" t="s">
        <v>38</v>
      </c>
      <c r="B84" s="14" t="s">
        <v>0</v>
      </c>
      <c r="C84" s="15" t="s">
        <v>14</v>
      </c>
      <c r="D84" s="15" t="s">
        <v>28</v>
      </c>
      <c r="E84" s="15" t="s">
        <v>59</v>
      </c>
      <c r="F84" s="14" t="s">
        <v>73</v>
      </c>
      <c r="G84" s="15" t="s">
        <v>86</v>
      </c>
      <c r="H84" s="15" t="s">
        <v>112</v>
      </c>
      <c r="I84" s="15" t="s">
        <v>125</v>
      </c>
      <c r="J84" s="15" t="s">
        <v>138</v>
      </c>
      <c r="K84" s="14" t="s">
        <v>151</v>
      </c>
      <c r="L84" s="14" t="s">
        <v>164</v>
      </c>
      <c r="M84" s="14" t="s">
        <v>177</v>
      </c>
      <c r="N84" s="14" t="s">
        <v>190</v>
      </c>
      <c r="O84" s="14" t="s">
        <v>203</v>
      </c>
      <c r="P84" s="14" t="s">
        <v>216</v>
      </c>
    </row>
    <row r="85" spans="1:23">
      <c r="B85" s="15">
        <v>2010</v>
      </c>
      <c r="C85" s="16">
        <v>878690</v>
      </c>
      <c r="D85" s="16">
        <v>13350</v>
      </c>
      <c r="E85" s="16">
        <v>3870</v>
      </c>
      <c r="F85" s="17">
        <v>25930</v>
      </c>
      <c r="G85" s="16">
        <v>20760</v>
      </c>
      <c r="H85" s="16">
        <v>207610</v>
      </c>
      <c r="I85" s="16">
        <v>340270</v>
      </c>
      <c r="J85" s="16">
        <v>32140</v>
      </c>
      <c r="K85" s="17">
        <v>30770</v>
      </c>
      <c r="L85" s="17">
        <v>74020</v>
      </c>
      <c r="M85" s="17">
        <v>129010</v>
      </c>
      <c r="N85" s="17">
        <v>460</v>
      </c>
      <c r="O85" s="17">
        <v>380</v>
      </c>
      <c r="P85" s="17">
        <v>120</v>
      </c>
    </row>
    <row r="86" spans="1:23">
      <c r="B86" s="15">
        <v>2011</v>
      </c>
      <c r="C86" s="16">
        <v>905200</v>
      </c>
      <c r="D86" s="16">
        <v>13800</v>
      </c>
      <c r="E86" s="16">
        <v>3990</v>
      </c>
      <c r="F86" s="17">
        <v>26660</v>
      </c>
      <c r="G86" s="16">
        <v>21370</v>
      </c>
      <c r="H86" s="16">
        <v>214280</v>
      </c>
      <c r="I86" s="16">
        <v>351210</v>
      </c>
      <c r="J86" s="16">
        <v>32460</v>
      </c>
      <c r="K86" s="17">
        <v>30930</v>
      </c>
      <c r="L86" s="17">
        <v>76520</v>
      </c>
      <c r="M86" s="17">
        <v>132990</v>
      </c>
      <c r="N86" s="17">
        <v>460</v>
      </c>
      <c r="O86" s="17">
        <v>390</v>
      </c>
      <c r="P86" s="17">
        <v>130</v>
      </c>
    </row>
    <row r="87" spans="1:23">
      <c r="B87" s="15">
        <v>2012</v>
      </c>
      <c r="C87" s="16">
        <v>930090</v>
      </c>
      <c r="D87" s="16">
        <v>14160</v>
      </c>
      <c r="E87" s="16">
        <v>4120</v>
      </c>
      <c r="F87" s="17">
        <v>27360</v>
      </c>
      <c r="G87" s="16">
        <v>21950</v>
      </c>
      <c r="H87" s="16">
        <v>220340</v>
      </c>
      <c r="I87" s="16">
        <v>361970</v>
      </c>
      <c r="J87" s="16">
        <v>32880</v>
      </c>
      <c r="K87" s="17">
        <v>30900</v>
      </c>
      <c r="L87" s="17">
        <v>78850</v>
      </c>
      <c r="M87" s="17">
        <v>136510</v>
      </c>
      <c r="N87" s="17">
        <v>510</v>
      </c>
      <c r="O87" s="17">
        <v>410</v>
      </c>
      <c r="P87" s="17">
        <v>140</v>
      </c>
    </row>
    <row r="88" spans="1:23">
      <c r="B88" s="15">
        <v>2013</v>
      </c>
      <c r="C88" s="16">
        <v>960300</v>
      </c>
      <c r="D88" s="16">
        <v>14630</v>
      </c>
      <c r="E88" s="16">
        <v>4200</v>
      </c>
      <c r="F88" s="17">
        <v>28200</v>
      </c>
      <c r="G88" s="16">
        <v>22730</v>
      </c>
      <c r="H88" s="16">
        <v>228350</v>
      </c>
      <c r="I88" s="16">
        <v>373860</v>
      </c>
      <c r="J88" s="16">
        <v>33480</v>
      </c>
      <c r="K88" s="17">
        <v>31020</v>
      </c>
      <c r="L88" s="17">
        <v>81420</v>
      </c>
      <c r="M88" s="17">
        <v>141290</v>
      </c>
      <c r="N88" s="17">
        <v>540</v>
      </c>
      <c r="O88" s="17">
        <v>430</v>
      </c>
      <c r="P88" s="17">
        <v>150</v>
      </c>
    </row>
    <row r="89" spans="1:23">
      <c r="B89" s="15">
        <v>2014</v>
      </c>
      <c r="C89" s="16">
        <v>990410</v>
      </c>
      <c r="D89" s="16">
        <v>15170</v>
      </c>
      <c r="E89" s="16">
        <v>4340</v>
      </c>
      <c r="F89" s="17">
        <v>29000</v>
      </c>
      <c r="G89" s="16">
        <v>23450</v>
      </c>
      <c r="H89" s="16">
        <v>236220</v>
      </c>
      <c r="I89" s="16">
        <v>385980</v>
      </c>
      <c r="J89" s="16">
        <v>33750</v>
      </c>
      <c r="K89" s="17">
        <v>31180</v>
      </c>
      <c r="L89" s="17">
        <v>84080</v>
      </c>
      <c r="M89" s="17">
        <v>146080</v>
      </c>
      <c r="N89" s="17">
        <v>570</v>
      </c>
      <c r="O89" s="17">
        <v>440</v>
      </c>
      <c r="P89" s="17">
        <v>150</v>
      </c>
    </row>
    <row r="90" spans="1:23">
      <c r="B90" s="15">
        <v>2015</v>
      </c>
      <c r="C90" s="16"/>
      <c r="D90" s="16"/>
      <c r="E90" s="16"/>
      <c r="G90" s="16"/>
      <c r="H90" s="16"/>
      <c r="I90" s="16"/>
      <c r="J90" s="16"/>
      <c r="K90" s="17"/>
      <c r="L90" s="17"/>
      <c r="M90" s="17"/>
      <c r="O90" s="17"/>
      <c r="P90" s="17"/>
    </row>
    <row r="91" spans="1:23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>
      <c r="A92" s="14" t="s">
        <v>39</v>
      </c>
      <c r="B92" s="14" t="s">
        <v>0</v>
      </c>
      <c r="C92" s="15" t="s">
        <v>15</v>
      </c>
      <c r="D92" s="14" t="s">
        <v>29</v>
      </c>
      <c r="E92" s="14" t="s">
        <v>60</v>
      </c>
      <c r="F92" s="14" t="s">
        <v>74</v>
      </c>
      <c r="G92" s="14" t="s">
        <v>100</v>
      </c>
      <c r="H92" s="14" t="s">
        <v>113</v>
      </c>
      <c r="I92" s="14" t="s">
        <v>126</v>
      </c>
      <c r="J92" s="14" t="s">
        <v>139</v>
      </c>
      <c r="K92" s="14" t="s">
        <v>152</v>
      </c>
      <c r="L92" s="14" t="s">
        <v>165</v>
      </c>
      <c r="M92" s="14" t="s">
        <v>178</v>
      </c>
      <c r="N92" s="14" t="s">
        <v>191</v>
      </c>
      <c r="O92" s="14" t="s">
        <v>204</v>
      </c>
      <c r="P92" s="14" t="s">
        <v>217</v>
      </c>
    </row>
    <row r="93" spans="1:23">
      <c r="B93" s="15">
        <v>2010</v>
      </c>
      <c r="C93" s="16">
        <v>6902060</v>
      </c>
      <c r="D93" s="17">
        <v>98490</v>
      </c>
      <c r="E93" s="17">
        <v>28780</v>
      </c>
      <c r="F93" s="17">
        <v>187020</v>
      </c>
      <c r="G93" s="17">
        <v>145120</v>
      </c>
      <c r="H93" s="17">
        <v>1602820</v>
      </c>
      <c r="I93" s="17">
        <v>2684130</v>
      </c>
      <c r="J93" s="17">
        <v>265800</v>
      </c>
      <c r="K93" s="17">
        <v>225570</v>
      </c>
      <c r="L93" s="17">
        <v>761550</v>
      </c>
      <c r="M93" s="17">
        <v>874160</v>
      </c>
      <c r="N93" s="17">
        <v>7970</v>
      </c>
      <c r="O93" s="17">
        <v>10900</v>
      </c>
      <c r="P93" s="17">
        <v>9760</v>
      </c>
    </row>
    <row r="94" spans="1:23">
      <c r="B94" s="15">
        <v>2011</v>
      </c>
      <c r="C94" s="16">
        <v>6984920</v>
      </c>
      <c r="D94" s="17">
        <v>98840</v>
      </c>
      <c r="E94" s="17">
        <v>28880</v>
      </c>
      <c r="F94" s="17">
        <v>187280</v>
      </c>
      <c r="G94" s="17">
        <v>144860</v>
      </c>
      <c r="H94" s="17">
        <v>1618370</v>
      </c>
      <c r="I94" s="17">
        <v>2710380</v>
      </c>
      <c r="J94" s="17">
        <v>269570</v>
      </c>
      <c r="K94" s="17">
        <v>230000</v>
      </c>
      <c r="L94" s="17">
        <v>784330</v>
      </c>
      <c r="M94" s="17">
        <v>883350</v>
      </c>
      <c r="N94" s="17">
        <v>8160</v>
      </c>
      <c r="O94" s="17">
        <v>10860</v>
      </c>
      <c r="P94" s="17">
        <v>10020</v>
      </c>
    </row>
    <row r="95" spans="1:23">
      <c r="B95" s="15">
        <v>2012</v>
      </c>
      <c r="C95" s="16">
        <v>7062400</v>
      </c>
      <c r="D95" s="17">
        <v>98960</v>
      </c>
      <c r="E95" s="17">
        <v>28690</v>
      </c>
      <c r="F95" s="17">
        <v>186420</v>
      </c>
      <c r="G95" s="17">
        <v>144220</v>
      </c>
      <c r="H95" s="17">
        <v>1632440</v>
      </c>
      <c r="I95" s="17">
        <v>2733570</v>
      </c>
      <c r="J95" s="17">
        <v>272520</v>
      </c>
      <c r="K95" s="17">
        <v>234190</v>
      </c>
      <c r="L95" s="17">
        <v>813630</v>
      </c>
      <c r="M95" s="17">
        <v>888350</v>
      </c>
      <c r="N95" s="17">
        <v>8250</v>
      </c>
      <c r="O95" s="17">
        <v>10930</v>
      </c>
      <c r="P95" s="17">
        <v>10250</v>
      </c>
    </row>
    <row r="96" spans="1:23">
      <c r="B96" s="15">
        <v>2013</v>
      </c>
      <c r="C96" s="16">
        <v>7144110</v>
      </c>
      <c r="D96" s="17">
        <v>99090</v>
      </c>
      <c r="E96" s="17">
        <v>28660</v>
      </c>
      <c r="F96" s="17">
        <v>186510</v>
      </c>
      <c r="G96" s="17">
        <v>143570</v>
      </c>
      <c r="H96" s="17">
        <v>1643420</v>
      </c>
      <c r="I96" s="17">
        <v>2760040</v>
      </c>
      <c r="J96" s="17">
        <v>275790</v>
      </c>
      <c r="K96" s="17">
        <v>237330</v>
      </c>
      <c r="L96" s="17">
        <v>841870</v>
      </c>
      <c r="M96" s="17">
        <v>898170</v>
      </c>
      <c r="N96" s="17">
        <v>8330</v>
      </c>
      <c r="O96" s="17">
        <v>10930</v>
      </c>
      <c r="P96" s="17">
        <v>10400</v>
      </c>
    </row>
    <row r="97" spans="1:16">
      <c r="B97" s="15">
        <v>2014</v>
      </c>
      <c r="C97" s="16">
        <v>7224810</v>
      </c>
      <c r="D97" s="17">
        <v>99610</v>
      </c>
      <c r="E97" s="17">
        <v>28860</v>
      </c>
      <c r="F97" s="17">
        <v>186810</v>
      </c>
      <c r="G97" s="17">
        <v>143820</v>
      </c>
      <c r="H97" s="17">
        <v>1656080</v>
      </c>
      <c r="I97" s="17">
        <v>2786650</v>
      </c>
      <c r="J97" s="17">
        <v>278770</v>
      </c>
      <c r="K97" s="17">
        <v>240850</v>
      </c>
      <c r="L97" s="17">
        <v>862140</v>
      </c>
      <c r="M97" s="17">
        <v>911180</v>
      </c>
      <c r="N97" s="17">
        <v>8350</v>
      </c>
      <c r="O97" s="17">
        <v>11060</v>
      </c>
      <c r="P97" s="17">
        <v>10630</v>
      </c>
    </row>
    <row r="98" spans="1:16">
      <c r="B98" s="15">
        <v>2015</v>
      </c>
      <c r="C98" s="16"/>
      <c r="F98" s="17"/>
      <c r="G98" s="17"/>
      <c r="H98" s="17"/>
      <c r="I98" s="17"/>
      <c r="J98" s="17"/>
      <c r="K98" s="17"/>
      <c r="L98" s="17"/>
      <c r="M98" s="17"/>
      <c r="O98" s="17"/>
      <c r="P98" s="17"/>
    </row>
    <row r="100" spans="1:16">
      <c r="A100" s="14" t="s">
        <v>412</v>
      </c>
      <c r="B100" s="14" t="s">
        <v>0</v>
      </c>
      <c r="C100" s="15" t="s">
        <v>22</v>
      </c>
      <c r="D100" s="15" t="s">
        <v>30</v>
      </c>
      <c r="E100" s="15" t="s">
        <v>61</v>
      </c>
      <c r="F100" s="14" t="s">
        <v>75</v>
      </c>
      <c r="G100" s="15" t="s">
        <v>101</v>
      </c>
      <c r="H100" s="15" t="s">
        <v>114</v>
      </c>
      <c r="I100" s="14" t="s">
        <v>127</v>
      </c>
      <c r="J100" s="15" t="s">
        <v>140</v>
      </c>
      <c r="K100" s="14" t="s">
        <v>153</v>
      </c>
      <c r="L100" s="14" t="s">
        <v>166</v>
      </c>
      <c r="M100" s="14" t="s">
        <v>179</v>
      </c>
      <c r="N100" s="14" t="s">
        <v>192</v>
      </c>
      <c r="O100" s="14" t="s">
        <v>205</v>
      </c>
      <c r="P100" s="14" t="s">
        <v>218</v>
      </c>
    </row>
    <row r="101" spans="1:16">
      <c r="B101" s="15">
        <v>2010</v>
      </c>
      <c r="C101" s="16">
        <v>6372780</v>
      </c>
      <c r="D101" s="16">
        <v>112740</v>
      </c>
      <c r="E101" s="16">
        <v>29480</v>
      </c>
      <c r="F101" s="17">
        <v>182650</v>
      </c>
      <c r="G101" s="16">
        <v>149840</v>
      </c>
      <c r="H101" s="16">
        <v>1158080</v>
      </c>
      <c r="I101" s="17">
        <v>2650760</v>
      </c>
      <c r="J101" s="16">
        <v>235300</v>
      </c>
      <c r="K101" s="17">
        <v>204050</v>
      </c>
      <c r="L101" s="17">
        <v>736880</v>
      </c>
      <c r="M101" s="17">
        <v>899260</v>
      </c>
      <c r="N101" s="17">
        <v>5090</v>
      </c>
      <c r="O101" s="17">
        <v>5580</v>
      </c>
      <c r="P101" s="17">
        <v>3060</v>
      </c>
    </row>
    <row r="102" spans="1:16">
      <c r="B102" s="15">
        <v>2011</v>
      </c>
      <c r="C102" s="16">
        <v>6424310</v>
      </c>
      <c r="D102" s="16">
        <v>113040</v>
      </c>
      <c r="E102" s="16">
        <v>29610</v>
      </c>
      <c r="F102" s="17">
        <v>182480</v>
      </c>
      <c r="G102" s="16">
        <v>149600</v>
      </c>
      <c r="H102" s="16">
        <v>1158850</v>
      </c>
      <c r="I102" s="17">
        <v>2670780</v>
      </c>
      <c r="J102" s="16">
        <v>237920</v>
      </c>
      <c r="K102" s="17">
        <v>207070</v>
      </c>
      <c r="L102" s="17">
        <v>753140</v>
      </c>
      <c r="M102" s="17">
        <v>907940</v>
      </c>
      <c r="N102" s="17">
        <v>5250</v>
      </c>
      <c r="O102" s="17">
        <v>5560</v>
      </c>
      <c r="P102" s="17">
        <v>3080</v>
      </c>
    </row>
    <row r="103" spans="1:16">
      <c r="B103" s="15">
        <v>2012</v>
      </c>
      <c r="C103" s="16">
        <v>6473920</v>
      </c>
      <c r="D103" s="16">
        <v>112950</v>
      </c>
      <c r="E103" s="16">
        <v>29620</v>
      </c>
      <c r="F103" s="17">
        <v>181660</v>
      </c>
      <c r="G103" s="16">
        <v>149200</v>
      </c>
      <c r="H103" s="16">
        <v>1159480</v>
      </c>
      <c r="I103" s="17">
        <v>2687110</v>
      </c>
      <c r="J103" s="16">
        <v>240250</v>
      </c>
      <c r="K103" s="17">
        <v>210520</v>
      </c>
      <c r="L103" s="17">
        <v>774680</v>
      </c>
      <c r="M103" s="17">
        <v>914490</v>
      </c>
      <c r="N103" s="17">
        <v>5240</v>
      </c>
      <c r="O103" s="17">
        <v>5600</v>
      </c>
      <c r="P103" s="17">
        <v>3130</v>
      </c>
    </row>
    <row r="104" spans="1:16">
      <c r="B104" s="15">
        <v>2013</v>
      </c>
      <c r="C104" s="16">
        <v>6526190</v>
      </c>
      <c r="D104" s="16">
        <v>113060</v>
      </c>
      <c r="E104" s="16">
        <v>29540</v>
      </c>
      <c r="F104" s="17">
        <v>180730</v>
      </c>
      <c r="G104" s="16">
        <v>148360</v>
      </c>
      <c r="H104" s="16">
        <v>1157770</v>
      </c>
      <c r="I104" s="17">
        <v>2704070</v>
      </c>
      <c r="J104" s="16">
        <v>242320</v>
      </c>
      <c r="K104" s="17">
        <v>213090</v>
      </c>
      <c r="L104" s="17">
        <v>798570</v>
      </c>
      <c r="M104" s="17">
        <v>924620</v>
      </c>
      <c r="N104" s="17">
        <v>5330</v>
      </c>
      <c r="O104" s="17">
        <v>5610</v>
      </c>
      <c r="P104" s="17">
        <v>3120</v>
      </c>
    </row>
    <row r="105" spans="1:16">
      <c r="B105" s="15">
        <v>2014</v>
      </c>
      <c r="C105" s="16">
        <v>6581560</v>
      </c>
      <c r="D105" s="16">
        <v>113330</v>
      </c>
      <c r="E105" s="16">
        <v>29640</v>
      </c>
      <c r="F105" s="17">
        <v>180280</v>
      </c>
      <c r="G105" s="16">
        <v>147950</v>
      </c>
      <c r="H105" s="16">
        <v>1155620</v>
      </c>
      <c r="I105" s="17">
        <v>2724510</v>
      </c>
      <c r="J105" s="16">
        <v>244670</v>
      </c>
      <c r="K105" s="17">
        <v>215420</v>
      </c>
      <c r="L105" s="17">
        <v>818830</v>
      </c>
      <c r="M105" s="17">
        <v>937120</v>
      </c>
      <c r="N105" s="17">
        <v>5430</v>
      </c>
      <c r="O105" s="17">
        <v>5660</v>
      </c>
      <c r="P105" s="17">
        <v>3120</v>
      </c>
    </row>
    <row r="106" spans="1:16">
      <c r="B106" s="15">
        <v>2015</v>
      </c>
      <c r="F106" s="17"/>
      <c r="H106" s="16"/>
      <c r="I106" s="17"/>
      <c r="J106" s="16"/>
      <c r="K106" s="17"/>
      <c r="L106" s="17"/>
      <c r="M106" s="17"/>
      <c r="O106" s="17"/>
      <c r="P106" s="17"/>
    </row>
    <row r="108" spans="1:16">
      <c r="A108" s="14" t="s">
        <v>41</v>
      </c>
      <c r="B108" s="14" t="s">
        <v>0</v>
      </c>
      <c r="C108" s="15" t="s">
        <v>16</v>
      </c>
      <c r="D108" s="15" t="s">
        <v>47</v>
      </c>
      <c r="E108" s="15" t="s">
        <v>62</v>
      </c>
      <c r="F108" s="14" t="s">
        <v>76</v>
      </c>
      <c r="G108" s="15" t="s">
        <v>102</v>
      </c>
      <c r="H108" s="15" t="s">
        <v>115</v>
      </c>
      <c r="I108" s="14" t="s">
        <v>128</v>
      </c>
      <c r="J108" s="15" t="s">
        <v>141</v>
      </c>
      <c r="K108" s="14" t="s">
        <v>154</v>
      </c>
      <c r="L108" s="14" t="s">
        <v>167</v>
      </c>
      <c r="M108" s="14" t="s">
        <v>180</v>
      </c>
      <c r="N108" s="14" t="s">
        <v>193</v>
      </c>
      <c r="O108" s="14" t="s">
        <v>206</v>
      </c>
      <c r="P108" s="14" t="s">
        <v>219</v>
      </c>
    </row>
    <row r="109" spans="1:16">
      <c r="B109" s="15">
        <v>2010</v>
      </c>
      <c r="C109" s="16">
        <v>1021910</v>
      </c>
      <c r="D109" s="16">
        <v>14950</v>
      </c>
      <c r="E109" s="16">
        <v>4470</v>
      </c>
      <c r="F109" s="17">
        <v>27940</v>
      </c>
      <c r="G109" s="16">
        <v>21840</v>
      </c>
      <c r="H109" s="16">
        <v>225460</v>
      </c>
      <c r="I109" s="17">
        <v>394950</v>
      </c>
      <c r="J109" s="16">
        <v>40310</v>
      </c>
      <c r="K109" s="17">
        <v>35530</v>
      </c>
      <c r="L109" s="17">
        <v>120390</v>
      </c>
      <c r="M109" s="17">
        <v>132070</v>
      </c>
      <c r="N109" s="17">
        <v>1030</v>
      </c>
      <c r="O109" s="17">
        <v>1600</v>
      </c>
      <c r="P109" s="17">
        <v>1360</v>
      </c>
    </row>
    <row r="110" spans="1:16">
      <c r="B110" s="15">
        <v>2011</v>
      </c>
      <c r="C110" s="16">
        <v>1037240</v>
      </c>
      <c r="D110" s="16">
        <v>14880</v>
      </c>
      <c r="E110" s="16">
        <v>4560</v>
      </c>
      <c r="F110" s="17">
        <v>28110</v>
      </c>
      <c r="G110" s="16">
        <v>21640</v>
      </c>
      <c r="H110" s="16">
        <v>231610</v>
      </c>
      <c r="I110" s="17">
        <v>399500</v>
      </c>
      <c r="J110" s="16">
        <v>41310</v>
      </c>
      <c r="K110" s="17">
        <v>36400</v>
      </c>
      <c r="L110" s="17">
        <v>122330</v>
      </c>
      <c r="M110" s="17">
        <v>132840</v>
      </c>
      <c r="N110" s="17">
        <v>1030</v>
      </c>
      <c r="O110" s="17">
        <v>1650</v>
      </c>
      <c r="P110" s="17">
        <v>1410</v>
      </c>
    </row>
    <row r="111" spans="1:16">
      <c r="B111" s="15">
        <v>2012</v>
      </c>
      <c r="C111" s="16">
        <v>1047760</v>
      </c>
      <c r="D111" s="16">
        <v>14620</v>
      </c>
      <c r="E111" s="16">
        <v>4450</v>
      </c>
      <c r="F111" s="17">
        <v>27770</v>
      </c>
      <c r="G111" s="16">
        <v>21500</v>
      </c>
      <c r="H111" s="16">
        <v>237220</v>
      </c>
      <c r="I111" s="17">
        <v>402510</v>
      </c>
      <c r="J111" s="16">
        <v>41790</v>
      </c>
      <c r="K111" s="17">
        <v>36630</v>
      </c>
      <c r="L111" s="17">
        <v>125260</v>
      </c>
      <c r="M111" s="17">
        <v>132000</v>
      </c>
      <c r="N111" s="17">
        <v>1020</v>
      </c>
      <c r="O111" s="17">
        <v>1620</v>
      </c>
      <c r="P111" s="17">
        <v>1380</v>
      </c>
    </row>
    <row r="112" spans="1:16">
      <c r="B112" s="15">
        <v>2013</v>
      </c>
      <c r="C112" s="16">
        <v>1054170</v>
      </c>
      <c r="D112" s="16">
        <v>14400</v>
      </c>
      <c r="E112" s="16">
        <v>4350</v>
      </c>
      <c r="F112" s="17">
        <v>27700</v>
      </c>
      <c r="G112" s="16">
        <v>20990</v>
      </c>
      <c r="H112" s="16">
        <v>240180</v>
      </c>
      <c r="I112" s="17">
        <v>404490</v>
      </c>
      <c r="J112" s="16">
        <v>42160</v>
      </c>
      <c r="K112" s="17">
        <v>36450</v>
      </c>
      <c r="L112" s="17">
        <v>127300</v>
      </c>
      <c r="M112" s="17">
        <v>132200</v>
      </c>
      <c r="N112" s="17">
        <v>1000</v>
      </c>
      <c r="O112" s="17">
        <v>1580</v>
      </c>
      <c r="P112" s="17">
        <v>1380</v>
      </c>
    </row>
    <row r="113" spans="1:17">
      <c r="B113" s="15">
        <v>2014</v>
      </c>
      <c r="C113" s="16">
        <v>1055750</v>
      </c>
      <c r="D113" s="16">
        <v>14130</v>
      </c>
      <c r="E113" s="16">
        <v>4330</v>
      </c>
      <c r="F113" s="17">
        <v>27190</v>
      </c>
      <c r="G113" s="16">
        <v>20870</v>
      </c>
      <c r="H113" s="16">
        <v>240060</v>
      </c>
      <c r="I113" s="17">
        <v>406160</v>
      </c>
      <c r="J113" s="16">
        <v>42320</v>
      </c>
      <c r="K113" s="17">
        <v>35960</v>
      </c>
      <c r="L113" s="17">
        <v>127600</v>
      </c>
      <c r="M113" s="17">
        <v>133220</v>
      </c>
      <c r="N113" s="17">
        <v>990</v>
      </c>
      <c r="O113" s="17">
        <v>1530</v>
      </c>
      <c r="P113" s="17">
        <v>1410</v>
      </c>
    </row>
    <row r="114" spans="1:17">
      <c r="B114" s="15">
        <v>2015</v>
      </c>
      <c r="F114" s="17"/>
      <c r="H114" s="16"/>
      <c r="I114" s="17"/>
      <c r="J114" s="16"/>
      <c r="K114" s="17"/>
      <c r="L114" s="17"/>
      <c r="M114" s="17"/>
      <c r="O114" s="17"/>
      <c r="P114" s="17"/>
    </row>
    <row r="116" spans="1:17">
      <c r="A116" s="14" t="s">
        <v>42</v>
      </c>
      <c r="B116" s="14" t="s">
        <v>0</v>
      </c>
      <c r="C116" s="15" t="s">
        <v>17</v>
      </c>
      <c r="D116" s="15" t="s">
        <v>48</v>
      </c>
      <c r="E116" s="15" t="s">
        <v>63</v>
      </c>
      <c r="F116" s="14" t="s">
        <v>77</v>
      </c>
      <c r="G116" s="15" t="s">
        <v>103</v>
      </c>
      <c r="H116" s="15" t="s">
        <v>116</v>
      </c>
      <c r="I116" s="14" t="s">
        <v>129</v>
      </c>
      <c r="J116" s="15" t="s">
        <v>142</v>
      </c>
      <c r="K116" s="14" t="s">
        <v>155</v>
      </c>
      <c r="L116" s="14" t="s">
        <v>168</v>
      </c>
      <c r="M116" s="14" t="s">
        <v>181</v>
      </c>
      <c r="N116" s="14" t="s">
        <v>194</v>
      </c>
      <c r="O116" s="14" t="s">
        <v>207</v>
      </c>
      <c r="P116" s="14" t="s">
        <v>220</v>
      </c>
    </row>
    <row r="117" spans="1:17">
      <c r="B117" s="15">
        <v>2010</v>
      </c>
      <c r="C117" s="16">
        <v>1295100</v>
      </c>
      <c r="D117" s="16">
        <v>18920</v>
      </c>
      <c r="E117" s="16">
        <v>5960</v>
      </c>
      <c r="F117" s="17">
        <v>39880</v>
      </c>
      <c r="G117" s="16">
        <v>31910</v>
      </c>
      <c r="H117" s="16">
        <v>330590</v>
      </c>
      <c r="I117" s="17">
        <v>495450</v>
      </c>
      <c r="J117" s="16">
        <v>49640</v>
      </c>
      <c r="K117" s="17">
        <v>45130</v>
      </c>
      <c r="L117" s="17">
        <v>103570</v>
      </c>
      <c r="M117" s="17">
        <v>172940</v>
      </c>
      <c r="N117" s="17">
        <v>530</v>
      </c>
      <c r="O117" s="17">
        <v>430</v>
      </c>
      <c r="P117" s="17">
        <v>170</v>
      </c>
    </row>
    <row r="118" spans="1:17">
      <c r="B118" s="15">
        <v>2011</v>
      </c>
      <c r="C118" s="16">
        <v>1317620</v>
      </c>
      <c r="D118" s="16">
        <v>19290</v>
      </c>
      <c r="E118" s="16">
        <v>6040</v>
      </c>
      <c r="F118" s="17">
        <v>40240</v>
      </c>
      <c r="G118" s="16">
        <v>32230</v>
      </c>
      <c r="H118" s="16">
        <v>336590</v>
      </c>
      <c r="I118" s="17">
        <v>505370</v>
      </c>
      <c r="J118" s="16">
        <v>49540</v>
      </c>
      <c r="K118" s="17">
        <v>44920</v>
      </c>
      <c r="L118" s="17">
        <v>105750</v>
      </c>
      <c r="M118" s="17">
        <v>176510</v>
      </c>
      <c r="N118" s="17">
        <v>540</v>
      </c>
      <c r="O118" s="17">
        <v>440</v>
      </c>
      <c r="P118" s="17">
        <v>160</v>
      </c>
    </row>
    <row r="119" spans="1:17">
      <c r="B119" s="15">
        <v>2012</v>
      </c>
      <c r="C119" s="16">
        <v>1338690</v>
      </c>
      <c r="D119" s="16">
        <v>19610</v>
      </c>
      <c r="E119" s="16">
        <v>6060</v>
      </c>
      <c r="F119" s="17">
        <v>40610</v>
      </c>
      <c r="G119" s="16">
        <v>32620</v>
      </c>
      <c r="H119" s="16">
        <v>341530</v>
      </c>
      <c r="I119" s="17">
        <v>515150</v>
      </c>
      <c r="J119" s="16">
        <v>49630</v>
      </c>
      <c r="K119" s="17">
        <v>44770</v>
      </c>
      <c r="L119" s="17">
        <v>107980</v>
      </c>
      <c r="M119" s="17">
        <v>179540</v>
      </c>
      <c r="N119" s="17">
        <v>570</v>
      </c>
      <c r="O119" s="17">
        <v>460</v>
      </c>
      <c r="P119" s="17">
        <v>160</v>
      </c>
    </row>
    <row r="120" spans="1:17">
      <c r="B120" s="15">
        <v>2013</v>
      </c>
      <c r="C120" s="16">
        <v>1364570</v>
      </c>
      <c r="D120" s="16">
        <v>19950</v>
      </c>
      <c r="E120" s="16">
        <v>6140</v>
      </c>
      <c r="F120" s="17">
        <v>41200</v>
      </c>
      <c r="G120" s="16">
        <v>33030</v>
      </c>
      <c r="H120" s="16">
        <v>347810</v>
      </c>
      <c r="I120" s="17">
        <v>526570</v>
      </c>
      <c r="J120" s="16">
        <v>49780</v>
      </c>
      <c r="K120" s="17">
        <v>44610</v>
      </c>
      <c r="L120" s="17">
        <v>110310</v>
      </c>
      <c r="M120" s="17">
        <v>183950</v>
      </c>
      <c r="N120" s="17">
        <v>600</v>
      </c>
      <c r="O120" s="17">
        <v>480</v>
      </c>
      <c r="P120" s="17">
        <v>170</v>
      </c>
    </row>
    <row r="121" spans="1:17">
      <c r="B121" s="15">
        <v>2014</v>
      </c>
      <c r="C121" s="16">
        <v>1391240</v>
      </c>
      <c r="D121" s="16">
        <v>20340</v>
      </c>
      <c r="E121" s="16">
        <v>6190</v>
      </c>
      <c r="F121" s="17">
        <v>41770</v>
      </c>
      <c r="G121" s="16">
        <v>33490</v>
      </c>
      <c r="H121" s="16">
        <v>354810</v>
      </c>
      <c r="I121" s="17">
        <v>538420</v>
      </c>
      <c r="J121" s="16">
        <v>49790</v>
      </c>
      <c r="K121" s="17">
        <v>44480</v>
      </c>
      <c r="L121" s="17">
        <v>112760</v>
      </c>
      <c r="M121" s="17">
        <v>187900</v>
      </c>
      <c r="N121" s="17">
        <v>620</v>
      </c>
      <c r="O121" s="17">
        <v>500</v>
      </c>
      <c r="P121" s="17">
        <v>190</v>
      </c>
    </row>
    <row r="122" spans="1:17">
      <c r="B122" s="15">
        <v>2015</v>
      </c>
      <c r="F122" s="17"/>
      <c r="H122" s="16"/>
      <c r="I122" s="17"/>
      <c r="J122" s="16"/>
      <c r="K122" s="17"/>
      <c r="L122" s="17"/>
      <c r="M122" s="17"/>
      <c r="O122" s="17"/>
    </row>
    <row r="124" spans="1:17" s="14" customFormat="1">
      <c r="A124" s="14" t="s">
        <v>43</v>
      </c>
      <c r="B124" s="14" t="s">
        <v>0</v>
      </c>
      <c r="C124" s="14" t="s">
        <v>49</v>
      </c>
      <c r="D124" s="14" t="s">
        <v>50</v>
      </c>
      <c r="E124" s="14" t="s">
        <v>64</v>
      </c>
      <c r="F124" s="14" t="s">
        <v>87</v>
      </c>
      <c r="G124" s="14" t="s">
        <v>88</v>
      </c>
      <c r="H124" s="14" t="s">
        <v>89</v>
      </c>
      <c r="I124" s="14" t="s">
        <v>90</v>
      </c>
      <c r="J124" s="14" t="s">
        <v>91</v>
      </c>
      <c r="K124" s="14" t="s">
        <v>92</v>
      </c>
      <c r="L124" s="14" t="s">
        <v>93</v>
      </c>
      <c r="M124" s="14" t="s">
        <v>94</v>
      </c>
      <c r="N124" s="14" t="s">
        <v>95</v>
      </c>
      <c r="O124" s="14" t="s">
        <v>96</v>
      </c>
      <c r="P124" s="14" t="s">
        <v>97</v>
      </c>
      <c r="Q124" s="12"/>
    </row>
    <row r="125" spans="1:17">
      <c r="B125" s="15">
        <v>2010</v>
      </c>
      <c r="C125" s="12">
        <f t="shared" ref="C125:P125" si="0">ABS(C61-C93)</f>
        <v>432760</v>
      </c>
      <c r="D125" s="12">
        <f t="shared" si="0"/>
        <v>8850</v>
      </c>
      <c r="E125" s="12">
        <f t="shared" si="0"/>
        <v>1370</v>
      </c>
      <c r="F125" s="12">
        <f t="shared" si="0"/>
        <v>8610</v>
      </c>
      <c r="G125" s="12">
        <f t="shared" si="0"/>
        <v>12540</v>
      </c>
      <c r="H125" s="12">
        <f t="shared" si="0"/>
        <v>124730</v>
      </c>
      <c r="I125" s="12">
        <f t="shared" si="0"/>
        <v>111660</v>
      </c>
      <c r="J125" s="12">
        <f t="shared" si="0"/>
        <v>19140</v>
      </c>
      <c r="K125" s="12">
        <f t="shared" si="0"/>
        <v>19520</v>
      </c>
      <c r="L125" s="12">
        <f t="shared" si="0"/>
        <v>75310</v>
      </c>
      <c r="M125" s="12">
        <f t="shared" si="0"/>
        <v>48820</v>
      </c>
      <c r="N125" s="12">
        <f t="shared" si="0"/>
        <v>590</v>
      </c>
      <c r="O125" s="12">
        <f t="shared" si="0"/>
        <v>1080</v>
      </c>
      <c r="P125" s="12">
        <f t="shared" si="0"/>
        <v>550</v>
      </c>
    </row>
    <row r="126" spans="1:17">
      <c r="B126" s="15">
        <v>2011</v>
      </c>
      <c r="C126" s="12">
        <f t="shared" ref="C126:P126" si="1">ABS(C62-C94)</f>
        <v>446320</v>
      </c>
      <c r="D126" s="12">
        <f t="shared" si="1"/>
        <v>9060</v>
      </c>
      <c r="E126" s="12">
        <f t="shared" si="1"/>
        <v>1310</v>
      </c>
      <c r="F126" s="12">
        <f t="shared" si="1"/>
        <v>8770</v>
      </c>
      <c r="G126" s="12">
        <f t="shared" si="1"/>
        <v>12420</v>
      </c>
      <c r="H126" s="12">
        <f t="shared" si="1"/>
        <v>129010</v>
      </c>
      <c r="I126" s="12">
        <f t="shared" si="1"/>
        <v>106210</v>
      </c>
      <c r="J126" s="12">
        <f t="shared" si="1"/>
        <v>19860</v>
      </c>
      <c r="K126" s="12">
        <f t="shared" si="1"/>
        <v>22110</v>
      </c>
      <c r="L126" s="12">
        <f t="shared" si="1"/>
        <v>82170</v>
      </c>
      <c r="M126" s="12">
        <f t="shared" si="1"/>
        <v>53180</v>
      </c>
      <c r="N126" s="12">
        <f t="shared" si="1"/>
        <v>650</v>
      </c>
      <c r="O126" s="12">
        <f t="shared" si="1"/>
        <v>1110</v>
      </c>
      <c r="P126" s="12">
        <f t="shared" si="1"/>
        <v>490</v>
      </c>
    </row>
    <row r="127" spans="1:17">
      <c r="B127" s="15">
        <v>2012</v>
      </c>
      <c r="C127" s="12">
        <f t="shared" ref="C127:P127" si="2">ABS(C63-C95)</f>
        <v>448730</v>
      </c>
      <c r="D127" s="12">
        <f t="shared" si="2"/>
        <v>9160</v>
      </c>
      <c r="E127" s="12">
        <f t="shared" si="2"/>
        <v>1250</v>
      </c>
      <c r="F127" s="12">
        <f t="shared" si="2"/>
        <v>8210</v>
      </c>
      <c r="G127" s="12">
        <f t="shared" si="2"/>
        <v>11660</v>
      </c>
      <c r="H127" s="12">
        <f t="shared" si="2"/>
        <v>131130</v>
      </c>
      <c r="I127" s="12">
        <f t="shared" si="2"/>
        <v>102040</v>
      </c>
      <c r="J127" s="12">
        <f t="shared" si="2"/>
        <v>19850</v>
      </c>
      <c r="K127" s="12">
        <f t="shared" si="2"/>
        <v>22000</v>
      </c>
      <c r="L127" s="12">
        <f t="shared" si="2"/>
        <v>89970</v>
      </c>
      <c r="M127" s="12">
        <f t="shared" si="2"/>
        <v>51390</v>
      </c>
      <c r="N127" s="12">
        <f t="shared" si="2"/>
        <v>630</v>
      </c>
      <c r="O127" s="12">
        <f t="shared" si="2"/>
        <v>1050</v>
      </c>
      <c r="P127" s="12">
        <f t="shared" si="2"/>
        <v>390</v>
      </c>
    </row>
    <row r="128" spans="1:17">
      <c r="B128" s="15">
        <v>2013</v>
      </c>
      <c r="C128" s="12">
        <f t="shared" ref="C128:P128" si="3">ABS(C64-C96)</f>
        <v>461250</v>
      </c>
      <c r="D128" s="12">
        <f t="shared" si="3"/>
        <v>9130</v>
      </c>
      <c r="E128" s="12">
        <f t="shared" si="3"/>
        <v>1160</v>
      </c>
      <c r="F128" s="12">
        <f t="shared" si="3"/>
        <v>7990</v>
      </c>
      <c r="G128" s="12">
        <f t="shared" si="3"/>
        <v>11420</v>
      </c>
      <c r="H128" s="12">
        <f t="shared" si="3"/>
        <v>133180</v>
      </c>
      <c r="I128" s="12">
        <f t="shared" si="3"/>
        <v>103620</v>
      </c>
      <c r="J128" s="12">
        <f t="shared" si="3"/>
        <v>20200</v>
      </c>
      <c r="K128" s="12">
        <f t="shared" si="3"/>
        <v>22560</v>
      </c>
      <c r="L128" s="12">
        <f t="shared" si="3"/>
        <v>96100</v>
      </c>
      <c r="M128" s="12">
        <f t="shared" si="3"/>
        <v>53910</v>
      </c>
      <c r="N128" s="12">
        <f t="shared" si="3"/>
        <v>490</v>
      </c>
      <c r="O128" s="12">
        <f t="shared" si="3"/>
        <v>1020</v>
      </c>
      <c r="P128" s="12">
        <f t="shared" si="3"/>
        <v>490</v>
      </c>
    </row>
    <row r="129" spans="1:16">
      <c r="B129" s="15">
        <v>2014</v>
      </c>
      <c r="C129" s="12">
        <f t="shared" ref="C129:P129" si="4">ABS(C65-C97)</f>
        <v>473020</v>
      </c>
      <c r="D129" s="12">
        <f t="shared" si="4"/>
        <v>9440</v>
      </c>
      <c r="E129" s="12">
        <f t="shared" si="4"/>
        <v>1000</v>
      </c>
      <c r="F129" s="12">
        <f t="shared" si="4"/>
        <v>7930</v>
      </c>
      <c r="G129" s="12">
        <f t="shared" si="4"/>
        <v>11720</v>
      </c>
      <c r="H129" s="12">
        <f t="shared" si="4"/>
        <v>136520</v>
      </c>
      <c r="I129" s="12">
        <f t="shared" si="4"/>
        <v>108120</v>
      </c>
      <c r="J129" s="12">
        <f t="shared" si="4"/>
        <v>20880</v>
      </c>
      <c r="K129" s="12">
        <f t="shared" si="4"/>
        <v>22160</v>
      </c>
      <c r="L129" s="12">
        <f t="shared" si="4"/>
        <v>98600</v>
      </c>
      <c r="M129" s="12">
        <f t="shared" si="4"/>
        <v>54570</v>
      </c>
      <c r="N129" s="12">
        <f t="shared" si="4"/>
        <v>580</v>
      </c>
      <c r="O129" s="12">
        <f t="shared" si="4"/>
        <v>1010</v>
      </c>
      <c r="P129" s="12">
        <f t="shared" si="4"/>
        <v>490</v>
      </c>
    </row>
    <row r="130" spans="1:16">
      <c r="B130" s="15">
        <v>2015</v>
      </c>
    </row>
    <row r="132" spans="1:16">
      <c r="A132" s="14" t="s">
        <v>44</v>
      </c>
      <c r="B132" s="14" t="s">
        <v>0</v>
      </c>
      <c r="C132" s="14" t="s">
        <v>49</v>
      </c>
      <c r="D132" s="14" t="s">
        <v>50</v>
      </c>
      <c r="E132" s="14" t="s">
        <v>64</v>
      </c>
      <c r="F132" s="14" t="s">
        <v>87</v>
      </c>
      <c r="G132" s="14" t="s">
        <v>88</v>
      </c>
      <c r="H132" s="14" t="s">
        <v>89</v>
      </c>
      <c r="I132" s="14" t="s">
        <v>90</v>
      </c>
      <c r="J132" s="14" t="s">
        <v>91</v>
      </c>
      <c r="K132" s="14" t="s">
        <v>92</v>
      </c>
      <c r="L132" s="14" t="s">
        <v>93</v>
      </c>
      <c r="M132" s="14" t="s">
        <v>94</v>
      </c>
      <c r="N132" s="14" t="s">
        <v>95</v>
      </c>
      <c r="O132" s="14" t="s">
        <v>96</v>
      </c>
      <c r="P132" s="14" t="s">
        <v>97</v>
      </c>
    </row>
    <row r="133" spans="1:16">
      <c r="B133" s="15">
        <v>2010</v>
      </c>
      <c r="C133" s="12">
        <f t="shared" ref="C133:P133" si="5">ABS(C69-C101)</f>
        <v>2360</v>
      </c>
      <c r="D133" s="12">
        <f t="shared" si="5"/>
        <v>130</v>
      </c>
      <c r="E133" s="12">
        <f t="shared" si="5"/>
        <v>10</v>
      </c>
      <c r="F133" s="12">
        <f t="shared" si="5"/>
        <v>300</v>
      </c>
      <c r="G133" s="12">
        <f t="shared" si="5"/>
        <v>210</v>
      </c>
      <c r="H133" s="12">
        <f t="shared" si="5"/>
        <v>800</v>
      </c>
      <c r="I133" s="12">
        <f t="shared" si="5"/>
        <v>2120</v>
      </c>
      <c r="J133" s="12">
        <f t="shared" si="5"/>
        <v>190</v>
      </c>
      <c r="K133" s="12">
        <f t="shared" si="5"/>
        <v>200</v>
      </c>
      <c r="L133" s="12">
        <f t="shared" si="5"/>
        <v>520</v>
      </c>
      <c r="M133" s="12">
        <f t="shared" si="5"/>
        <v>30</v>
      </c>
      <c r="N133" s="12">
        <f t="shared" si="5"/>
        <v>20</v>
      </c>
      <c r="O133" s="12">
        <f t="shared" si="5"/>
        <v>30</v>
      </c>
      <c r="P133" s="12">
        <f t="shared" si="5"/>
        <v>20</v>
      </c>
    </row>
    <row r="134" spans="1:16">
      <c r="B134" s="15">
        <v>2011</v>
      </c>
      <c r="C134" s="12">
        <f t="shared" ref="C134:P134" si="6">ABS(C70-C102)</f>
        <v>620</v>
      </c>
      <c r="D134" s="12">
        <f t="shared" si="6"/>
        <v>170</v>
      </c>
      <c r="E134" s="12">
        <f t="shared" si="6"/>
        <v>40</v>
      </c>
      <c r="F134" s="12">
        <f t="shared" si="6"/>
        <v>410</v>
      </c>
      <c r="G134" s="12">
        <f t="shared" si="6"/>
        <v>280</v>
      </c>
      <c r="H134" s="12">
        <f t="shared" si="6"/>
        <v>550</v>
      </c>
      <c r="I134" s="12">
        <f t="shared" si="6"/>
        <v>1480</v>
      </c>
      <c r="J134" s="12">
        <f t="shared" si="6"/>
        <v>160</v>
      </c>
      <c r="K134" s="12">
        <f t="shared" si="6"/>
        <v>220</v>
      </c>
      <c r="L134" s="12">
        <f t="shared" si="6"/>
        <v>110</v>
      </c>
      <c r="M134" s="12">
        <f t="shared" si="6"/>
        <v>180</v>
      </c>
      <c r="N134" s="12">
        <f t="shared" si="6"/>
        <v>20</v>
      </c>
      <c r="O134" s="12">
        <f t="shared" si="6"/>
        <v>20</v>
      </c>
      <c r="P134" s="12">
        <f t="shared" si="6"/>
        <v>30</v>
      </c>
    </row>
    <row r="135" spans="1:16">
      <c r="B135" s="15">
        <v>2012</v>
      </c>
      <c r="C135" s="12">
        <f t="shared" ref="C135:P135" si="7">ABS(C71-C103)</f>
        <v>1100</v>
      </c>
      <c r="D135" s="12">
        <f t="shared" si="7"/>
        <v>140</v>
      </c>
      <c r="E135" s="12">
        <f t="shared" si="7"/>
        <v>50</v>
      </c>
      <c r="F135" s="12">
        <f t="shared" si="7"/>
        <v>410</v>
      </c>
      <c r="G135" s="12">
        <f t="shared" si="7"/>
        <v>270</v>
      </c>
      <c r="H135" s="12">
        <f t="shared" si="7"/>
        <v>570</v>
      </c>
      <c r="I135" s="12">
        <f t="shared" si="7"/>
        <v>1830</v>
      </c>
      <c r="J135" s="12">
        <f t="shared" si="7"/>
        <v>240</v>
      </c>
      <c r="K135" s="12">
        <f t="shared" si="7"/>
        <v>190</v>
      </c>
      <c r="L135" s="12">
        <f t="shared" si="7"/>
        <v>330</v>
      </c>
      <c r="M135" s="12">
        <f t="shared" si="7"/>
        <v>250</v>
      </c>
      <c r="N135" s="12">
        <f t="shared" si="7"/>
        <v>20</v>
      </c>
      <c r="O135" s="12">
        <f t="shared" si="7"/>
        <v>50</v>
      </c>
      <c r="P135" s="12">
        <f t="shared" si="7"/>
        <v>10</v>
      </c>
    </row>
    <row r="136" spans="1:16">
      <c r="B136" s="15">
        <v>2013</v>
      </c>
      <c r="C136" s="12">
        <f t="shared" ref="C136:P136" si="8">ABS(C72-C104)</f>
        <v>990</v>
      </c>
      <c r="D136" s="12">
        <f t="shared" si="8"/>
        <v>130</v>
      </c>
      <c r="E136" s="12">
        <f t="shared" si="8"/>
        <v>60</v>
      </c>
      <c r="F136" s="12">
        <f t="shared" si="8"/>
        <v>310</v>
      </c>
      <c r="G136" s="12">
        <f t="shared" si="8"/>
        <v>310</v>
      </c>
      <c r="H136" s="12">
        <f t="shared" si="8"/>
        <v>670</v>
      </c>
      <c r="I136" s="12">
        <f t="shared" si="8"/>
        <v>1550</v>
      </c>
      <c r="J136" s="12">
        <f t="shared" si="8"/>
        <v>170</v>
      </c>
      <c r="K136" s="12">
        <f t="shared" si="8"/>
        <v>120</v>
      </c>
      <c r="L136" s="12">
        <f t="shared" si="8"/>
        <v>290</v>
      </c>
      <c r="M136" s="12">
        <f t="shared" si="8"/>
        <v>320</v>
      </c>
      <c r="N136" s="12">
        <f t="shared" si="8"/>
        <v>30</v>
      </c>
      <c r="O136" s="12">
        <f t="shared" si="8"/>
        <v>40</v>
      </c>
      <c r="P136" s="12">
        <f t="shared" si="8"/>
        <v>20</v>
      </c>
    </row>
    <row r="137" spans="1:16">
      <c r="B137" s="15">
        <v>2014</v>
      </c>
      <c r="C137" s="12">
        <f t="shared" ref="C137:P137" si="9">ABS(C73-C105)</f>
        <v>160</v>
      </c>
      <c r="D137" s="12">
        <f t="shared" si="9"/>
        <v>160</v>
      </c>
      <c r="E137" s="12">
        <f t="shared" si="9"/>
        <v>40</v>
      </c>
      <c r="F137" s="12">
        <f t="shared" si="9"/>
        <v>420</v>
      </c>
      <c r="G137" s="12">
        <f t="shared" si="9"/>
        <v>300</v>
      </c>
      <c r="H137" s="12">
        <f t="shared" si="9"/>
        <v>590</v>
      </c>
      <c r="I137" s="12">
        <f t="shared" si="9"/>
        <v>960</v>
      </c>
      <c r="J137" s="12">
        <f t="shared" si="9"/>
        <v>150</v>
      </c>
      <c r="K137" s="12">
        <f t="shared" si="9"/>
        <v>150</v>
      </c>
      <c r="L137" s="12">
        <f t="shared" si="9"/>
        <v>210</v>
      </c>
      <c r="M137" s="12">
        <f t="shared" si="9"/>
        <v>250</v>
      </c>
      <c r="N137" s="12">
        <f t="shared" si="9"/>
        <v>50</v>
      </c>
      <c r="O137" s="12">
        <f t="shared" si="9"/>
        <v>70</v>
      </c>
      <c r="P137" s="12">
        <f t="shared" si="9"/>
        <v>20</v>
      </c>
    </row>
    <row r="138" spans="1:16">
      <c r="B138" s="15">
        <v>2015</v>
      </c>
    </row>
    <row r="140" spans="1:16">
      <c r="A140" s="14" t="s">
        <v>45</v>
      </c>
      <c r="B140" s="14" t="s">
        <v>0</v>
      </c>
      <c r="C140" s="14" t="s">
        <v>49</v>
      </c>
      <c r="D140" s="14" t="s">
        <v>50</v>
      </c>
      <c r="E140" s="14" t="s">
        <v>64</v>
      </c>
      <c r="F140" s="14" t="s">
        <v>87</v>
      </c>
      <c r="G140" s="14" t="s">
        <v>88</v>
      </c>
      <c r="H140" s="14" t="s">
        <v>89</v>
      </c>
      <c r="I140" s="14" t="s">
        <v>90</v>
      </c>
      <c r="J140" s="14" t="s">
        <v>91</v>
      </c>
      <c r="K140" s="14" t="s">
        <v>92</v>
      </c>
      <c r="L140" s="14" t="s">
        <v>93</v>
      </c>
      <c r="M140" s="14" t="s">
        <v>94</v>
      </c>
      <c r="N140" s="14" t="s">
        <v>95</v>
      </c>
      <c r="O140" s="14" t="s">
        <v>96</v>
      </c>
      <c r="P140" s="14" t="s">
        <v>97</v>
      </c>
    </row>
    <row r="141" spans="1:16">
      <c r="B141" s="15">
        <v>2010</v>
      </c>
      <c r="C141" s="12">
        <f t="shared" ref="C141:P141" si="10">ABS(C77-C109)</f>
        <v>17500</v>
      </c>
      <c r="D141" s="12">
        <f t="shared" si="10"/>
        <v>430</v>
      </c>
      <c r="E141" s="12">
        <f t="shared" si="10"/>
        <v>130</v>
      </c>
      <c r="F141" s="12">
        <f t="shared" si="10"/>
        <v>920</v>
      </c>
      <c r="G141" s="12">
        <f t="shared" si="10"/>
        <v>40</v>
      </c>
      <c r="H141" s="12">
        <f t="shared" si="10"/>
        <v>3370</v>
      </c>
      <c r="I141" s="12">
        <f t="shared" si="10"/>
        <v>5320</v>
      </c>
      <c r="J141" s="12">
        <f t="shared" si="10"/>
        <v>440</v>
      </c>
      <c r="K141" s="12">
        <f t="shared" si="10"/>
        <v>260</v>
      </c>
      <c r="L141" s="12">
        <f t="shared" si="10"/>
        <v>2360</v>
      </c>
      <c r="M141" s="12">
        <f t="shared" si="10"/>
        <v>4230</v>
      </c>
      <c r="N141" s="12">
        <f t="shared" si="10"/>
        <v>30</v>
      </c>
      <c r="O141" s="12">
        <f t="shared" si="10"/>
        <v>0</v>
      </c>
      <c r="P141" s="12">
        <f t="shared" si="10"/>
        <v>30</v>
      </c>
    </row>
    <row r="142" spans="1:16">
      <c r="B142" s="15">
        <v>2011</v>
      </c>
      <c r="C142" s="12">
        <f t="shared" ref="C142:P142" si="11">ABS(C78-C110)</f>
        <v>13250</v>
      </c>
      <c r="D142" s="12">
        <f t="shared" si="11"/>
        <v>310</v>
      </c>
      <c r="E142" s="12">
        <f t="shared" si="11"/>
        <v>220</v>
      </c>
      <c r="F142" s="12">
        <f t="shared" si="11"/>
        <v>660</v>
      </c>
      <c r="G142" s="12">
        <f t="shared" si="11"/>
        <v>180</v>
      </c>
      <c r="H142" s="12">
        <f t="shared" si="11"/>
        <v>2800</v>
      </c>
      <c r="I142" s="12">
        <f t="shared" si="11"/>
        <v>5570</v>
      </c>
      <c r="J142" s="12">
        <f t="shared" si="11"/>
        <v>260</v>
      </c>
      <c r="K142" s="12">
        <f t="shared" si="11"/>
        <v>280</v>
      </c>
      <c r="L142" s="12">
        <f t="shared" si="11"/>
        <v>870</v>
      </c>
      <c r="M142" s="12">
        <f t="shared" si="11"/>
        <v>3000</v>
      </c>
      <c r="N142" s="12">
        <f t="shared" si="11"/>
        <v>80</v>
      </c>
      <c r="O142" s="12">
        <f t="shared" si="11"/>
        <v>40</v>
      </c>
      <c r="P142" s="12">
        <f t="shared" si="11"/>
        <v>90</v>
      </c>
    </row>
    <row r="143" spans="1:16">
      <c r="B143" s="15">
        <v>2012</v>
      </c>
      <c r="C143" s="12">
        <f t="shared" ref="C143:P143" si="12">ABS(C79-C111)</f>
        <v>9810</v>
      </c>
      <c r="D143" s="12">
        <f t="shared" si="12"/>
        <v>110</v>
      </c>
      <c r="E143" s="12">
        <f t="shared" si="12"/>
        <v>60</v>
      </c>
      <c r="F143" s="12">
        <f t="shared" si="12"/>
        <v>630</v>
      </c>
      <c r="G143" s="12">
        <f t="shared" si="12"/>
        <v>40</v>
      </c>
      <c r="H143" s="12">
        <f t="shared" si="12"/>
        <v>2320</v>
      </c>
      <c r="I143" s="12">
        <f t="shared" si="12"/>
        <v>4950</v>
      </c>
      <c r="J143" s="12">
        <f t="shared" si="12"/>
        <v>280</v>
      </c>
      <c r="K143" s="12">
        <f t="shared" si="12"/>
        <v>280</v>
      </c>
      <c r="L143" s="12">
        <f t="shared" si="12"/>
        <v>170</v>
      </c>
      <c r="M143" s="12">
        <f t="shared" si="12"/>
        <v>1880</v>
      </c>
      <c r="N143" s="12">
        <f t="shared" si="12"/>
        <v>100</v>
      </c>
      <c r="O143" s="12">
        <f t="shared" si="12"/>
        <v>40</v>
      </c>
      <c r="P143" s="12">
        <f t="shared" si="12"/>
        <v>60</v>
      </c>
    </row>
    <row r="144" spans="1:16">
      <c r="B144" s="15">
        <v>2013</v>
      </c>
      <c r="C144" s="12">
        <f t="shared" ref="C144:P144" si="13">ABS(C80-C112)</f>
        <v>4480</v>
      </c>
      <c r="D144" s="12">
        <f t="shared" si="13"/>
        <v>160</v>
      </c>
      <c r="E144" s="12">
        <f t="shared" si="13"/>
        <v>50</v>
      </c>
      <c r="F144" s="12">
        <f t="shared" si="13"/>
        <v>930</v>
      </c>
      <c r="G144" s="12">
        <f t="shared" si="13"/>
        <v>110</v>
      </c>
      <c r="H144" s="12">
        <f t="shared" si="13"/>
        <v>1830</v>
      </c>
      <c r="I144" s="12">
        <f t="shared" si="13"/>
        <v>3090</v>
      </c>
      <c r="J144" s="12">
        <f t="shared" si="13"/>
        <v>80</v>
      </c>
      <c r="K144" s="12">
        <f t="shared" si="13"/>
        <v>400</v>
      </c>
      <c r="L144" s="12">
        <f t="shared" si="13"/>
        <v>2200</v>
      </c>
      <c r="M144" s="12">
        <f t="shared" si="13"/>
        <v>1010</v>
      </c>
      <c r="N144" s="12">
        <f t="shared" si="13"/>
        <v>80</v>
      </c>
      <c r="O144" s="12">
        <f t="shared" si="13"/>
        <v>20</v>
      </c>
      <c r="P144" s="12">
        <f t="shared" si="13"/>
        <v>80</v>
      </c>
    </row>
    <row r="145" spans="1:16">
      <c r="B145" s="15">
        <v>2014</v>
      </c>
      <c r="C145" s="12">
        <f t="shared" ref="C145:P145" si="14">ABS(C81-C113)</f>
        <v>700</v>
      </c>
      <c r="D145" s="12">
        <f t="shared" si="14"/>
        <v>10</v>
      </c>
      <c r="E145" s="12">
        <f t="shared" si="14"/>
        <v>140</v>
      </c>
      <c r="F145" s="12">
        <f t="shared" si="14"/>
        <v>810</v>
      </c>
      <c r="G145" s="12">
        <f t="shared" si="14"/>
        <v>130</v>
      </c>
      <c r="H145" s="12">
        <f t="shared" si="14"/>
        <v>1780</v>
      </c>
      <c r="I145" s="12">
        <f t="shared" si="14"/>
        <v>100</v>
      </c>
      <c r="J145" s="12">
        <f t="shared" si="14"/>
        <v>260</v>
      </c>
      <c r="K145" s="12">
        <f t="shared" si="14"/>
        <v>160</v>
      </c>
      <c r="L145" s="12">
        <f t="shared" si="14"/>
        <v>3090</v>
      </c>
      <c r="M145" s="12">
        <f t="shared" si="14"/>
        <v>90</v>
      </c>
      <c r="N145" s="12">
        <f t="shared" si="14"/>
        <v>40</v>
      </c>
      <c r="O145" s="12">
        <f t="shared" si="14"/>
        <v>40</v>
      </c>
      <c r="P145" s="12">
        <f t="shared" si="14"/>
        <v>50</v>
      </c>
    </row>
    <row r="146" spans="1:16">
      <c r="B146" s="15">
        <v>2015</v>
      </c>
    </row>
    <row r="148" spans="1:16">
      <c r="A148" s="14" t="s">
        <v>46</v>
      </c>
      <c r="B148" s="14" t="s">
        <v>0</v>
      </c>
      <c r="C148" s="14" t="s">
        <v>49</v>
      </c>
      <c r="D148" s="14" t="s">
        <v>50</v>
      </c>
      <c r="E148" s="14" t="s">
        <v>64</v>
      </c>
      <c r="F148" s="14" t="s">
        <v>87</v>
      </c>
      <c r="G148" s="14" t="s">
        <v>88</v>
      </c>
      <c r="H148" s="14" t="s">
        <v>89</v>
      </c>
      <c r="I148" s="14" t="s">
        <v>90</v>
      </c>
      <c r="J148" s="14" t="s">
        <v>91</v>
      </c>
      <c r="K148" s="14" t="s">
        <v>92</v>
      </c>
      <c r="L148" s="14" t="s">
        <v>93</v>
      </c>
      <c r="M148" s="14" t="s">
        <v>94</v>
      </c>
      <c r="N148" s="14" t="s">
        <v>95</v>
      </c>
      <c r="O148" s="14" t="s">
        <v>96</v>
      </c>
      <c r="P148" s="14" t="s">
        <v>97</v>
      </c>
    </row>
    <row r="149" spans="1:16">
      <c r="B149" s="15">
        <v>2010</v>
      </c>
      <c r="C149" s="12">
        <f t="shared" ref="C149:P149" si="15">ABS(C85-C117)</f>
        <v>416410</v>
      </c>
      <c r="D149" s="12">
        <f t="shared" si="15"/>
        <v>5570</v>
      </c>
      <c r="E149" s="12">
        <f t="shared" si="15"/>
        <v>2090</v>
      </c>
      <c r="F149" s="12">
        <f t="shared" si="15"/>
        <v>13950</v>
      </c>
      <c r="G149" s="12">
        <f t="shared" si="15"/>
        <v>11150</v>
      </c>
      <c r="H149" s="12">
        <f t="shared" si="15"/>
        <v>122980</v>
      </c>
      <c r="I149" s="12">
        <f t="shared" si="15"/>
        <v>155180</v>
      </c>
      <c r="J149" s="12">
        <f t="shared" si="15"/>
        <v>17500</v>
      </c>
      <c r="K149" s="12">
        <f t="shared" si="15"/>
        <v>14360</v>
      </c>
      <c r="L149" s="12">
        <f t="shared" si="15"/>
        <v>29550</v>
      </c>
      <c r="M149" s="12">
        <f t="shared" si="15"/>
        <v>43930</v>
      </c>
      <c r="N149" s="12">
        <f t="shared" si="15"/>
        <v>70</v>
      </c>
      <c r="O149" s="12">
        <f t="shared" si="15"/>
        <v>50</v>
      </c>
      <c r="P149" s="12">
        <f t="shared" si="15"/>
        <v>50</v>
      </c>
    </row>
    <row r="150" spans="1:16">
      <c r="B150" s="15">
        <v>2011</v>
      </c>
      <c r="C150" s="12">
        <f t="shared" ref="C150:P150" si="16">ABS(C86-C118)</f>
        <v>412420</v>
      </c>
      <c r="D150" s="12">
        <f t="shared" si="16"/>
        <v>5490</v>
      </c>
      <c r="E150" s="12">
        <f t="shared" si="16"/>
        <v>2050</v>
      </c>
      <c r="F150" s="12">
        <f t="shared" si="16"/>
        <v>13580</v>
      </c>
      <c r="G150" s="12">
        <f t="shared" si="16"/>
        <v>10860</v>
      </c>
      <c r="H150" s="12">
        <f t="shared" si="16"/>
        <v>122310</v>
      </c>
      <c r="I150" s="12">
        <f t="shared" si="16"/>
        <v>154160</v>
      </c>
      <c r="J150" s="12">
        <f t="shared" si="16"/>
        <v>17080</v>
      </c>
      <c r="K150" s="12">
        <f t="shared" si="16"/>
        <v>13990</v>
      </c>
      <c r="L150" s="12">
        <f t="shared" si="16"/>
        <v>29230</v>
      </c>
      <c r="M150" s="12">
        <f t="shared" si="16"/>
        <v>43520</v>
      </c>
      <c r="N150" s="12">
        <f t="shared" si="16"/>
        <v>80</v>
      </c>
      <c r="O150" s="12">
        <f t="shared" si="16"/>
        <v>50</v>
      </c>
      <c r="P150" s="12">
        <f t="shared" si="16"/>
        <v>30</v>
      </c>
    </row>
    <row r="151" spans="1:16">
      <c r="B151" s="15">
        <v>2012</v>
      </c>
      <c r="C151" s="12">
        <f t="shared" ref="C151:P151" si="17">ABS(C87-C119)</f>
        <v>408600</v>
      </c>
      <c r="D151" s="12">
        <f t="shared" si="17"/>
        <v>5450</v>
      </c>
      <c r="E151" s="12">
        <f t="shared" si="17"/>
        <v>1940</v>
      </c>
      <c r="F151" s="12">
        <f t="shared" si="17"/>
        <v>13250</v>
      </c>
      <c r="G151" s="12">
        <f t="shared" si="17"/>
        <v>10670</v>
      </c>
      <c r="H151" s="12">
        <f t="shared" si="17"/>
        <v>121190</v>
      </c>
      <c r="I151" s="12">
        <f t="shared" si="17"/>
        <v>153180</v>
      </c>
      <c r="J151" s="12">
        <f t="shared" si="17"/>
        <v>16750</v>
      </c>
      <c r="K151" s="12">
        <f t="shared" si="17"/>
        <v>13870</v>
      </c>
      <c r="L151" s="12">
        <f t="shared" si="17"/>
        <v>29130</v>
      </c>
      <c r="M151" s="12">
        <f t="shared" si="17"/>
        <v>43030</v>
      </c>
      <c r="N151" s="12">
        <f t="shared" si="17"/>
        <v>60</v>
      </c>
      <c r="O151" s="12">
        <f t="shared" si="17"/>
        <v>50</v>
      </c>
      <c r="P151" s="12">
        <f t="shared" si="17"/>
        <v>20</v>
      </c>
    </row>
    <row r="152" spans="1:16">
      <c r="B152" s="15">
        <v>2013</v>
      </c>
      <c r="C152" s="12">
        <f t="shared" ref="C152:P152" si="18">ABS(C88-C120)</f>
        <v>404270</v>
      </c>
      <c r="D152" s="12">
        <f t="shared" si="18"/>
        <v>5320</v>
      </c>
      <c r="E152" s="12">
        <f t="shared" si="18"/>
        <v>1940</v>
      </c>
      <c r="F152" s="12">
        <f t="shared" si="18"/>
        <v>13000</v>
      </c>
      <c r="G152" s="12">
        <f t="shared" si="18"/>
        <v>10300</v>
      </c>
      <c r="H152" s="12">
        <f t="shared" si="18"/>
        <v>119460</v>
      </c>
      <c r="I152" s="12">
        <f t="shared" si="18"/>
        <v>152710</v>
      </c>
      <c r="J152" s="12">
        <f t="shared" si="18"/>
        <v>16300</v>
      </c>
      <c r="K152" s="12">
        <f t="shared" si="18"/>
        <v>13590</v>
      </c>
      <c r="L152" s="12">
        <f t="shared" si="18"/>
        <v>28890</v>
      </c>
      <c r="M152" s="12">
        <f t="shared" si="18"/>
        <v>42660</v>
      </c>
      <c r="N152" s="12">
        <f t="shared" si="18"/>
        <v>60</v>
      </c>
      <c r="O152" s="12">
        <f t="shared" si="18"/>
        <v>50</v>
      </c>
      <c r="P152" s="12">
        <f t="shared" si="18"/>
        <v>20</v>
      </c>
    </row>
    <row r="153" spans="1:16">
      <c r="B153" s="15">
        <v>2014</v>
      </c>
      <c r="C153" s="12">
        <f t="shared" ref="C153:P153" si="19">ABS(C89-C121)</f>
        <v>400830</v>
      </c>
      <c r="D153" s="12">
        <f t="shared" si="19"/>
        <v>5170</v>
      </c>
      <c r="E153" s="12">
        <f t="shared" si="19"/>
        <v>1850</v>
      </c>
      <c r="F153" s="12">
        <f t="shared" si="19"/>
        <v>12770</v>
      </c>
      <c r="G153" s="12">
        <f t="shared" si="19"/>
        <v>10040</v>
      </c>
      <c r="H153" s="12">
        <f t="shared" si="19"/>
        <v>118590</v>
      </c>
      <c r="I153" s="12">
        <f t="shared" si="19"/>
        <v>152440</v>
      </c>
      <c r="J153" s="12">
        <f t="shared" si="19"/>
        <v>16040</v>
      </c>
      <c r="K153" s="12">
        <f t="shared" si="19"/>
        <v>13300</v>
      </c>
      <c r="L153" s="12">
        <f t="shared" si="19"/>
        <v>28680</v>
      </c>
      <c r="M153" s="12">
        <f t="shared" si="19"/>
        <v>41820</v>
      </c>
      <c r="N153" s="12">
        <f t="shared" si="19"/>
        <v>50</v>
      </c>
      <c r="O153" s="12">
        <f t="shared" si="19"/>
        <v>60</v>
      </c>
      <c r="P153" s="12">
        <f t="shared" si="19"/>
        <v>40</v>
      </c>
    </row>
    <row r="154" spans="1:16">
      <c r="B154" s="15">
        <v>2015</v>
      </c>
    </row>
    <row r="155" spans="1:16">
      <c r="B155" s="15"/>
      <c r="C155" s="16"/>
      <c r="D155" s="17"/>
      <c r="E155" s="17"/>
      <c r="F155" s="17"/>
      <c r="G155" s="17"/>
      <c r="H155" s="17"/>
      <c r="I155" s="17"/>
      <c r="K155" s="17"/>
      <c r="L155" s="17"/>
      <c r="N155" s="17"/>
      <c r="O155" s="17"/>
      <c r="P155" s="17"/>
    </row>
    <row r="156" spans="1:16">
      <c r="A156" s="31" t="s">
        <v>98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</row>
    <row r="158" spans="1:16" s="20" customFormat="1">
      <c r="A158" s="18" t="s">
        <v>340</v>
      </c>
      <c r="B158" s="18" t="s">
        <v>0</v>
      </c>
      <c r="C158" s="18" t="s">
        <v>344</v>
      </c>
      <c r="D158" s="19" t="s">
        <v>345</v>
      </c>
      <c r="E158" s="18">
        <v>24</v>
      </c>
      <c r="F158" s="18">
        <v>75</v>
      </c>
    </row>
    <row r="159" spans="1:16">
      <c r="B159" s="15">
        <v>2010</v>
      </c>
      <c r="C159" s="17">
        <f>C21</f>
        <v>14236880</v>
      </c>
      <c r="D159" s="12">
        <f>C29</f>
        <v>12747920</v>
      </c>
      <c r="E159" s="12">
        <f>C37</f>
        <v>2026310</v>
      </c>
      <c r="F159" s="12">
        <f>C45</f>
        <v>2173790</v>
      </c>
      <c r="H159" s="21" t="s">
        <v>49</v>
      </c>
      <c r="I159" s="12">
        <v>21</v>
      </c>
      <c r="J159" s="12">
        <f>I159+8</f>
        <v>29</v>
      </c>
      <c r="K159" s="12">
        <f>J159+8</f>
        <v>37</v>
      </c>
      <c r="L159" s="12">
        <f>K159+8</f>
        <v>45</v>
      </c>
    </row>
    <row r="160" spans="1:16">
      <c r="B160" s="15">
        <v>2011</v>
      </c>
      <c r="C160" s="17">
        <f>$C22</f>
        <v>14416150</v>
      </c>
      <c r="D160" s="12">
        <f>$C30</f>
        <v>12849240</v>
      </c>
      <c r="E160" s="12">
        <f>$C38</f>
        <v>2061230</v>
      </c>
      <c r="F160" s="12">
        <f>$C46</f>
        <v>2222820</v>
      </c>
      <c r="H160" s="21"/>
    </row>
    <row r="161" spans="1:12">
      <c r="B161" s="15">
        <v>2012</v>
      </c>
      <c r="C161" s="17">
        <f>$C23</f>
        <v>14573530</v>
      </c>
      <c r="D161" s="12">
        <f>$C31</f>
        <v>12948940</v>
      </c>
      <c r="E161" s="12">
        <f>$C39</f>
        <v>2085710</v>
      </c>
      <c r="F161" s="12">
        <f>$C47</f>
        <v>2268780</v>
      </c>
      <c r="H161" s="21"/>
    </row>
    <row r="162" spans="1:12">
      <c r="B162" s="15">
        <v>2013</v>
      </c>
      <c r="C162" s="17">
        <f>$C24</f>
        <v>14749470</v>
      </c>
      <c r="D162" s="12">
        <f>$C32</f>
        <v>13053370</v>
      </c>
      <c r="E162" s="12">
        <f>$C40</f>
        <v>2103860</v>
      </c>
      <c r="F162" s="12">
        <f>$C48</f>
        <v>2324870</v>
      </c>
      <c r="H162" s="21"/>
    </row>
    <row r="163" spans="1:12">
      <c r="B163" s="15">
        <v>2014</v>
      </c>
      <c r="C163" s="17">
        <f>$C25</f>
        <v>14922630</v>
      </c>
      <c r="D163" s="12">
        <f>$C33</f>
        <v>13163280</v>
      </c>
      <c r="E163" s="12">
        <f>$C41</f>
        <v>2112200</v>
      </c>
      <c r="F163" s="12">
        <f>$C49</f>
        <v>2381640</v>
      </c>
      <c r="H163" s="21"/>
    </row>
    <row r="164" spans="1:12">
      <c r="B164" s="15">
        <v>2015</v>
      </c>
      <c r="C164" s="17"/>
      <c r="H164" s="21"/>
    </row>
    <row r="165" spans="1:12">
      <c r="H165" s="21"/>
    </row>
    <row r="166" spans="1:12" s="14" customFormat="1">
      <c r="A166" s="14" t="s">
        <v>341</v>
      </c>
      <c r="B166" s="14" t="s">
        <v>0</v>
      </c>
      <c r="C166" s="14" t="s">
        <v>344</v>
      </c>
      <c r="D166" s="15" t="s">
        <v>345</v>
      </c>
      <c r="E166" s="14">
        <v>24</v>
      </c>
      <c r="F166" s="14">
        <v>75</v>
      </c>
      <c r="H166" s="22"/>
    </row>
    <row r="167" spans="1:12">
      <c r="B167" s="15">
        <v>2010</v>
      </c>
      <c r="C167" s="12">
        <f>C61</f>
        <v>7334820</v>
      </c>
      <c r="D167" s="12">
        <f>C69</f>
        <v>6375140</v>
      </c>
      <c r="E167" s="12">
        <f>C77</f>
        <v>1004410</v>
      </c>
      <c r="F167" s="12">
        <f>C85</f>
        <v>878690</v>
      </c>
      <c r="H167" s="21"/>
      <c r="I167" s="12">
        <v>61</v>
      </c>
      <c r="J167" s="12">
        <f>I167+8</f>
        <v>69</v>
      </c>
      <c r="K167" s="12">
        <f>J167+8</f>
        <v>77</v>
      </c>
      <c r="L167" s="12">
        <f>K167+8</f>
        <v>85</v>
      </c>
    </row>
    <row r="168" spans="1:12">
      <c r="B168" s="15">
        <v>2011</v>
      </c>
      <c r="C168" s="12">
        <f>C62</f>
        <v>7431240</v>
      </c>
      <c r="D168" s="12">
        <f>C70</f>
        <v>6424930</v>
      </c>
      <c r="E168" s="12">
        <f>C78</f>
        <v>1023990</v>
      </c>
      <c r="F168" s="12">
        <f>C86</f>
        <v>905200</v>
      </c>
      <c r="H168" s="21"/>
    </row>
    <row r="169" spans="1:12">
      <c r="B169" s="15">
        <v>2012</v>
      </c>
      <c r="C169" s="12">
        <f>C63</f>
        <v>7511130</v>
      </c>
      <c r="D169" s="12">
        <f>C71</f>
        <v>6475020</v>
      </c>
      <c r="E169" s="12">
        <f>C79</f>
        <v>1037950</v>
      </c>
      <c r="F169" s="12">
        <f>C87</f>
        <v>930090</v>
      </c>
      <c r="H169" s="21"/>
    </row>
    <row r="170" spans="1:12">
      <c r="B170" s="15">
        <v>2013</v>
      </c>
      <c r="C170" s="12">
        <f>C64</f>
        <v>7605360</v>
      </c>
      <c r="D170" s="12">
        <f>C72</f>
        <v>6527180</v>
      </c>
      <c r="E170" s="12">
        <f>C80</f>
        <v>1049690</v>
      </c>
      <c r="F170" s="12">
        <f>C88</f>
        <v>960300</v>
      </c>
      <c r="H170" s="21"/>
    </row>
    <row r="171" spans="1:12">
      <c r="B171" s="15">
        <v>2014</v>
      </c>
      <c r="C171" s="12">
        <f>C65</f>
        <v>7697830</v>
      </c>
      <c r="D171" s="12">
        <f>C73</f>
        <v>6581720</v>
      </c>
      <c r="E171" s="12">
        <f>C81</f>
        <v>1056450</v>
      </c>
      <c r="F171" s="12">
        <f>C89</f>
        <v>990410</v>
      </c>
      <c r="H171" s="21"/>
    </row>
    <row r="172" spans="1:12">
      <c r="B172" s="15">
        <v>2015</v>
      </c>
      <c r="H172" s="21"/>
    </row>
    <row r="173" spans="1:12">
      <c r="H173" s="21"/>
    </row>
    <row r="174" spans="1:12">
      <c r="A174" s="14" t="s">
        <v>342</v>
      </c>
      <c r="B174" s="14" t="s">
        <v>0</v>
      </c>
      <c r="C174" s="14" t="s">
        <v>344</v>
      </c>
      <c r="D174" s="15" t="s">
        <v>345</v>
      </c>
      <c r="E174" s="14">
        <v>24</v>
      </c>
      <c r="F174" s="14">
        <v>75</v>
      </c>
      <c r="G174" s="14"/>
      <c r="H174" s="21"/>
    </row>
    <row r="175" spans="1:12">
      <c r="B175" s="15">
        <v>2010</v>
      </c>
      <c r="C175" s="12">
        <f>C93</f>
        <v>6902060</v>
      </c>
      <c r="D175" s="12">
        <f>C101</f>
        <v>6372780</v>
      </c>
      <c r="E175" s="12">
        <f>C109</f>
        <v>1021910</v>
      </c>
      <c r="F175" s="12">
        <f>C117</f>
        <v>1295100</v>
      </c>
      <c r="H175" s="21"/>
      <c r="I175" s="12">
        <f>L167+8</f>
        <v>93</v>
      </c>
      <c r="J175" s="12">
        <f>I175+8</f>
        <v>101</v>
      </c>
      <c r="K175" s="12">
        <f>J175+8</f>
        <v>109</v>
      </c>
      <c r="L175" s="12">
        <f>K175+8</f>
        <v>117</v>
      </c>
    </row>
    <row r="176" spans="1:12">
      <c r="B176" s="15">
        <v>2011</v>
      </c>
      <c r="C176" s="12">
        <f t="shared" ref="C176:C179" si="20">C94</f>
        <v>6984920</v>
      </c>
      <c r="D176" s="12">
        <f t="shared" ref="D176:D179" si="21">C102</f>
        <v>6424310</v>
      </c>
      <c r="E176" s="12">
        <f t="shared" ref="E176:E179" si="22">C110</f>
        <v>1037240</v>
      </c>
      <c r="F176" s="12">
        <f t="shared" ref="F176:F179" si="23">C118</f>
        <v>1317620</v>
      </c>
      <c r="H176" s="21"/>
    </row>
    <row r="177" spans="1:12">
      <c r="B177" s="15">
        <v>2012</v>
      </c>
      <c r="C177" s="12">
        <f t="shared" si="20"/>
        <v>7062400</v>
      </c>
      <c r="D177" s="12">
        <f t="shared" si="21"/>
        <v>6473920</v>
      </c>
      <c r="E177" s="12">
        <f t="shared" si="22"/>
        <v>1047760</v>
      </c>
      <c r="F177" s="12">
        <f t="shared" si="23"/>
        <v>1338690</v>
      </c>
      <c r="H177" s="21"/>
    </row>
    <row r="178" spans="1:12">
      <c r="B178" s="15">
        <v>2013</v>
      </c>
      <c r="C178" s="12">
        <f t="shared" si="20"/>
        <v>7144110</v>
      </c>
      <c r="D178" s="12">
        <f t="shared" si="21"/>
        <v>6526190</v>
      </c>
      <c r="E178" s="12">
        <f t="shared" si="22"/>
        <v>1054170</v>
      </c>
      <c r="F178" s="12">
        <f t="shared" si="23"/>
        <v>1364570</v>
      </c>
      <c r="H178" s="21"/>
    </row>
    <row r="179" spans="1:12">
      <c r="B179" s="15">
        <v>2014</v>
      </c>
      <c r="C179" s="12">
        <f t="shared" si="20"/>
        <v>7224810</v>
      </c>
      <c r="D179" s="12">
        <f t="shared" si="21"/>
        <v>6581560</v>
      </c>
      <c r="E179" s="12">
        <f t="shared" si="22"/>
        <v>1055750</v>
      </c>
      <c r="F179" s="12">
        <f t="shared" si="23"/>
        <v>1391240</v>
      </c>
      <c r="H179" s="21"/>
    </row>
    <row r="180" spans="1:12">
      <c r="B180" s="15">
        <v>2015</v>
      </c>
      <c r="H180" s="21"/>
    </row>
    <row r="181" spans="1:12">
      <c r="H181" s="21"/>
    </row>
    <row r="182" spans="1:12">
      <c r="A182" s="14" t="s">
        <v>343</v>
      </c>
      <c r="B182" s="14" t="s">
        <v>0</v>
      </c>
      <c r="C182" s="14" t="s">
        <v>344</v>
      </c>
      <c r="D182" s="15" t="s">
        <v>345</v>
      </c>
      <c r="E182" s="14">
        <v>24</v>
      </c>
      <c r="F182" s="14">
        <v>75</v>
      </c>
      <c r="G182" s="14"/>
      <c r="H182" s="21"/>
    </row>
    <row r="183" spans="1:12">
      <c r="B183" s="15">
        <v>2010</v>
      </c>
      <c r="C183" s="12">
        <f>C125</f>
        <v>432760</v>
      </c>
      <c r="D183" s="12">
        <f>C133</f>
        <v>2360</v>
      </c>
      <c r="E183" s="12">
        <f>C141</f>
        <v>17500</v>
      </c>
      <c r="F183" s="12">
        <f>C149</f>
        <v>416410</v>
      </c>
      <c r="H183" s="21"/>
      <c r="I183" s="12">
        <f>L175+8</f>
        <v>125</v>
      </c>
      <c r="J183" s="12">
        <f>I183+8</f>
        <v>133</v>
      </c>
      <c r="K183" s="12">
        <f>J183+8</f>
        <v>141</v>
      </c>
      <c r="L183" s="12">
        <f>K183+8</f>
        <v>149</v>
      </c>
    </row>
    <row r="184" spans="1:12">
      <c r="B184" s="15">
        <v>2011</v>
      </c>
      <c r="C184" s="12">
        <f t="shared" ref="C184:C187" si="24">C126</f>
        <v>446320</v>
      </c>
      <c r="D184" s="12">
        <f t="shared" ref="D184:D187" si="25">C134</f>
        <v>620</v>
      </c>
      <c r="E184" s="12">
        <f t="shared" ref="E184:E187" si="26">C142</f>
        <v>13250</v>
      </c>
      <c r="F184" s="12">
        <f t="shared" ref="F184:F187" si="27">C150</f>
        <v>412420</v>
      </c>
      <c r="H184" s="21"/>
    </row>
    <row r="185" spans="1:12">
      <c r="B185" s="15">
        <v>2012</v>
      </c>
      <c r="C185" s="12">
        <f t="shared" si="24"/>
        <v>448730</v>
      </c>
      <c r="D185" s="12">
        <f t="shared" si="25"/>
        <v>1100</v>
      </c>
      <c r="E185" s="12">
        <f t="shared" si="26"/>
        <v>9810</v>
      </c>
      <c r="F185" s="12">
        <f t="shared" si="27"/>
        <v>408600</v>
      </c>
      <c r="H185" s="21"/>
    </row>
    <row r="186" spans="1:12">
      <c r="B186" s="15">
        <v>2013</v>
      </c>
      <c r="C186" s="12">
        <f t="shared" si="24"/>
        <v>461250</v>
      </c>
      <c r="D186" s="12">
        <f t="shared" si="25"/>
        <v>990</v>
      </c>
      <c r="E186" s="12">
        <f t="shared" si="26"/>
        <v>4480</v>
      </c>
      <c r="F186" s="12">
        <f t="shared" si="27"/>
        <v>404270</v>
      </c>
      <c r="H186" s="21"/>
    </row>
    <row r="187" spans="1:12">
      <c r="B187" s="15">
        <v>2014</v>
      </c>
      <c r="C187" s="12">
        <f t="shared" si="24"/>
        <v>473020</v>
      </c>
      <c r="D187" s="12">
        <f t="shared" si="25"/>
        <v>160</v>
      </c>
      <c r="E187" s="12">
        <f t="shared" si="26"/>
        <v>700</v>
      </c>
      <c r="F187" s="12">
        <f t="shared" si="27"/>
        <v>400830</v>
      </c>
      <c r="H187" s="21"/>
    </row>
    <row r="188" spans="1:12">
      <c r="B188" s="15">
        <v>2015</v>
      </c>
      <c r="H188" s="21"/>
    </row>
    <row r="189" spans="1:12">
      <c r="H189" s="21"/>
    </row>
    <row r="190" spans="1:12">
      <c r="A190" s="14" t="s">
        <v>346</v>
      </c>
      <c r="B190" s="14" t="s">
        <v>0</v>
      </c>
      <c r="C190" s="14" t="s">
        <v>344</v>
      </c>
      <c r="D190" s="15" t="s">
        <v>345</v>
      </c>
      <c r="E190" s="14">
        <v>24</v>
      </c>
      <c r="F190" s="14">
        <v>75</v>
      </c>
      <c r="G190" s="14"/>
      <c r="H190" s="21"/>
      <c r="I190" s="20"/>
      <c r="J190" s="20"/>
      <c r="K190" s="20"/>
      <c r="L190" s="20"/>
    </row>
    <row r="191" spans="1:12">
      <c r="B191" s="15">
        <v>2010</v>
      </c>
      <c r="C191" s="17">
        <f>D21</f>
        <v>205830</v>
      </c>
      <c r="D191" s="12">
        <f>D29</f>
        <v>225350</v>
      </c>
      <c r="E191" s="12">
        <f>D37</f>
        <v>29470</v>
      </c>
      <c r="F191" s="12">
        <f>D45</f>
        <v>32270</v>
      </c>
      <c r="H191" s="21" t="s">
        <v>406</v>
      </c>
      <c r="I191" s="12">
        <v>21</v>
      </c>
      <c r="J191" s="12">
        <f>I191+8</f>
        <v>29</v>
      </c>
      <c r="K191" s="12">
        <f>J191+8</f>
        <v>37</v>
      </c>
      <c r="L191" s="12">
        <f>K191+8</f>
        <v>45</v>
      </c>
    </row>
    <row r="192" spans="1:12">
      <c r="B192" s="15">
        <v>2011</v>
      </c>
      <c r="C192" s="17">
        <f>D22</f>
        <v>206740</v>
      </c>
      <c r="D192" s="12">
        <f>D30</f>
        <v>225910</v>
      </c>
      <c r="E192" s="12">
        <f>D38</f>
        <v>29450</v>
      </c>
      <c r="F192" s="12">
        <f>D46</f>
        <v>33090</v>
      </c>
      <c r="H192" s="21"/>
    </row>
    <row r="193" spans="1:12">
      <c r="B193" s="15">
        <v>2012</v>
      </c>
      <c r="C193" s="17">
        <f>D23</f>
        <v>207080</v>
      </c>
      <c r="D193" s="12">
        <f>D31</f>
        <v>225760</v>
      </c>
      <c r="E193" s="12">
        <f>D39</f>
        <v>29120</v>
      </c>
      <c r="F193" s="12">
        <f>D47</f>
        <v>33770</v>
      </c>
      <c r="H193" s="21"/>
    </row>
    <row r="194" spans="1:12">
      <c r="B194" s="15">
        <v>2013</v>
      </c>
      <c r="C194" s="17">
        <f>D24</f>
        <v>207310</v>
      </c>
      <c r="D194" s="12">
        <f>D32</f>
        <v>225990</v>
      </c>
      <c r="E194" s="12">
        <f>D40</f>
        <v>28650</v>
      </c>
      <c r="F194" s="12">
        <f>D48</f>
        <v>34570</v>
      </c>
      <c r="H194" s="21"/>
    </row>
    <row r="195" spans="1:12">
      <c r="B195" s="15">
        <v>2014</v>
      </c>
      <c r="C195" s="17">
        <f>D25</f>
        <v>208650</v>
      </c>
      <c r="D195" s="12">
        <f>D33</f>
        <v>226490</v>
      </c>
      <c r="E195" s="12">
        <f>D41</f>
        <v>28240</v>
      </c>
      <c r="F195" s="12">
        <f>D49</f>
        <v>35500</v>
      </c>
      <c r="H195" s="21"/>
    </row>
    <row r="196" spans="1:12">
      <c r="B196" s="15">
        <v>2015</v>
      </c>
      <c r="C196" s="17"/>
      <c r="H196" s="21"/>
    </row>
    <row r="197" spans="1:12">
      <c r="H197" s="21"/>
    </row>
    <row r="198" spans="1:12">
      <c r="A198" s="14" t="s">
        <v>347</v>
      </c>
      <c r="B198" s="14" t="s">
        <v>0</v>
      </c>
      <c r="C198" s="14" t="s">
        <v>344</v>
      </c>
      <c r="D198" s="15" t="s">
        <v>345</v>
      </c>
      <c r="E198" s="14">
        <v>24</v>
      </c>
      <c r="F198" s="14">
        <v>75</v>
      </c>
      <c r="G198" s="14"/>
      <c r="H198" s="21"/>
      <c r="I198" s="14"/>
      <c r="J198" s="14"/>
      <c r="K198" s="14"/>
      <c r="L198" s="14"/>
    </row>
    <row r="199" spans="1:12">
      <c r="B199" s="15">
        <v>2010</v>
      </c>
      <c r="C199" s="12">
        <f>D61</f>
        <v>107340</v>
      </c>
      <c r="D199" s="12">
        <f>D69</f>
        <v>112610</v>
      </c>
      <c r="E199" s="12">
        <f>D77</f>
        <v>14520</v>
      </c>
      <c r="F199" s="12">
        <f>D85</f>
        <v>13350</v>
      </c>
      <c r="H199" s="21"/>
      <c r="I199" s="12">
        <v>61</v>
      </c>
      <c r="J199" s="12">
        <f>I199+8</f>
        <v>69</v>
      </c>
      <c r="K199" s="12">
        <f>J199+8</f>
        <v>77</v>
      </c>
      <c r="L199" s="12">
        <f>K199+8</f>
        <v>85</v>
      </c>
    </row>
    <row r="200" spans="1:12">
      <c r="B200" s="15">
        <v>2011</v>
      </c>
      <c r="C200" s="12">
        <f>D62</f>
        <v>107900</v>
      </c>
      <c r="D200" s="12">
        <f>D70</f>
        <v>112870</v>
      </c>
      <c r="E200" s="12">
        <f>D78</f>
        <v>14570</v>
      </c>
      <c r="F200" s="12">
        <f>D86</f>
        <v>13800</v>
      </c>
      <c r="H200" s="21"/>
    </row>
    <row r="201" spans="1:12">
      <c r="B201" s="15">
        <v>2012</v>
      </c>
      <c r="C201" s="12">
        <f>D63</f>
        <v>108120</v>
      </c>
      <c r="D201" s="12">
        <f>D71</f>
        <v>112810</v>
      </c>
      <c r="E201" s="12">
        <f>D79</f>
        <v>14510</v>
      </c>
      <c r="F201" s="12">
        <f>D87</f>
        <v>14160</v>
      </c>
      <c r="H201" s="21"/>
    </row>
    <row r="202" spans="1:12">
      <c r="B202" s="15">
        <v>2013</v>
      </c>
      <c r="C202" s="12">
        <f>D64</f>
        <v>108220</v>
      </c>
      <c r="D202" s="12">
        <f>D72</f>
        <v>112930</v>
      </c>
      <c r="E202" s="12">
        <f>D80</f>
        <v>14240</v>
      </c>
      <c r="F202" s="12">
        <f>D88</f>
        <v>14630</v>
      </c>
      <c r="H202" s="21"/>
    </row>
    <row r="203" spans="1:12">
      <c r="B203" s="15">
        <v>2014</v>
      </c>
      <c r="C203" s="12">
        <f>D65</f>
        <v>109050</v>
      </c>
      <c r="D203" s="12">
        <f>D73</f>
        <v>113170</v>
      </c>
      <c r="E203" s="12">
        <f>D81</f>
        <v>14120</v>
      </c>
      <c r="F203" s="12">
        <f>D89</f>
        <v>15170</v>
      </c>
      <c r="H203" s="21"/>
    </row>
    <row r="204" spans="1:12">
      <c r="B204" s="15">
        <v>2015</v>
      </c>
      <c r="H204" s="21"/>
    </row>
    <row r="205" spans="1:12">
      <c r="H205" s="21"/>
    </row>
    <row r="206" spans="1:12">
      <c r="A206" s="14" t="s">
        <v>348</v>
      </c>
      <c r="B206" s="14" t="s">
        <v>0</v>
      </c>
      <c r="C206" s="14" t="s">
        <v>344</v>
      </c>
      <c r="D206" s="15" t="s">
        <v>345</v>
      </c>
      <c r="E206" s="14">
        <v>24</v>
      </c>
      <c r="F206" s="14">
        <v>75</v>
      </c>
      <c r="G206" s="14"/>
      <c r="H206" s="21"/>
    </row>
    <row r="207" spans="1:12">
      <c r="B207" s="15">
        <v>2010</v>
      </c>
      <c r="C207" s="12">
        <f>D93</f>
        <v>98490</v>
      </c>
      <c r="D207" s="12">
        <f>D101</f>
        <v>112740</v>
      </c>
      <c r="E207" s="12">
        <f>D109</f>
        <v>14950</v>
      </c>
      <c r="F207" s="12">
        <f>D117</f>
        <v>18920</v>
      </c>
      <c r="H207" s="21"/>
      <c r="I207" s="12">
        <f>L199+8</f>
        <v>93</v>
      </c>
      <c r="J207" s="12">
        <f>I207+8</f>
        <v>101</v>
      </c>
      <c r="K207" s="12">
        <f>J207+8</f>
        <v>109</v>
      </c>
      <c r="L207" s="12">
        <f>K207+8</f>
        <v>117</v>
      </c>
    </row>
    <row r="208" spans="1:12">
      <c r="B208" s="15">
        <v>2011</v>
      </c>
      <c r="C208" s="12">
        <f t="shared" ref="C208:C211" si="28">D94</f>
        <v>98840</v>
      </c>
      <c r="D208" s="12">
        <f t="shared" ref="D208:D211" si="29">D102</f>
        <v>113040</v>
      </c>
      <c r="E208" s="12">
        <f t="shared" ref="E208:E211" si="30">D110</f>
        <v>14880</v>
      </c>
      <c r="F208" s="12">
        <f t="shared" ref="F208:F211" si="31">D118</f>
        <v>19290</v>
      </c>
      <c r="H208" s="21"/>
    </row>
    <row r="209" spans="1:12">
      <c r="B209" s="15">
        <v>2012</v>
      </c>
      <c r="C209" s="12">
        <f t="shared" si="28"/>
        <v>98960</v>
      </c>
      <c r="D209" s="12">
        <f t="shared" si="29"/>
        <v>112950</v>
      </c>
      <c r="E209" s="12">
        <f t="shared" si="30"/>
        <v>14620</v>
      </c>
      <c r="F209" s="12">
        <f t="shared" si="31"/>
        <v>19610</v>
      </c>
      <c r="H209" s="21"/>
    </row>
    <row r="210" spans="1:12">
      <c r="B210" s="15">
        <v>2013</v>
      </c>
      <c r="C210" s="12">
        <f t="shared" si="28"/>
        <v>99090</v>
      </c>
      <c r="D210" s="12">
        <f t="shared" si="29"/>
        <v>113060</v>
      </c>
      <c r="E210" s="12">
        <f t="shared" si="30"/>
        <v>14400</v>
      </c>
      <c r="F210" s="12">
        <f t="shared" si="31"/>
        <v>19950</v>
      </c>
      <c r="H210" s="21"/>
    </row>
    <row r="211" spans="1:12">
      <c r="B211" s="15">
        <v>2014</v>
      </c>
      <c r="C211" s="12">
        <f t="shared" si="28"/>
        <v>99610</v>
      </c>
      <c r="D211" s="12">
        <f t="shared" si="29"/>
        <v>113330</v>
      </c>
      <c r="E211" s="12">
        <f t="shared" si="30"/>
        <v>14130</v>
      </c>
      <c r="F211" s="12">
        <f t="shared" si="31"/>
        <v>20340</v>
      </c>
      <c r="H211" s="21"/>
    </row>
    <row r="212" spans="1:12">
      <c r="B212" s="15">
        <v>2015</v>
      </c>
      <c r="H212" s="21"/>
    </row>
    <row r="213" spans="1:12">
      <c r="H213" s="21"/>
    </row>
    <row r="214" spans="1:12">
      <c r="A214" s="14" t="s">
        <v>349</v>
      </c>
      <c r="B214" s="14" t="s">
        <v>0</v>
      </c>
      <c r="C214" s="14" t="s">
        <v>344</v>
      </c>
      <c r="D214" s="15" t="s">
        <v>345</v>
      </c>
      <c r="E214" s="14">
        <v>24</v>
      </c>
      <c r="F214" s="14">
        <v>75</v>
      </c>
      <c r="G214" s="14"/>
      <c r="H214" s="21"/>
    </row>
    <row r="215" spans="1:12">
      <c r="B215" s="15">
        <v>2010</v>
      </c>
      <c r="C215" s="12">
        <f>D125</f>
        <v>8850</v>
      </c>
      <c r="D215" s="12">
        <f>D133</f>
        <v>130</v>
      </c>
      <c r="E215" s="12">
        <f>D141</f>
        <v>430</v>
      </c>
      <c r="F215" s="12">
        <f>D149</f>
        <v>5570</v>
      </c>
      <c r="H215" s="21"/>
      <c r="I215" s="12">
        <f>L207+8</f>
        <v>125</v>
      </c>
      <c r="J215" s="12">
        <f>I215+8</f>
        <v>133</v>
      </c>
      <c r="K215" s="12">
        <f>J215+8</f>
        <v>141</v>
      </c>
      <c r="L215" s="12">
        <f>K215+8</f>
        <v>149</v>
      </c>
    </row>
    <row r="216" spans="1:12">
      <c r="B216" s="15">
        <v>2011</v>
      </c>
      <c r="C216" s="12">
        <f t="shared" ref="C216:C219" si="32">D126</f>
        <v>9060</v>
      </c>
      <c r="D216" s="12">
        <f t="shared" ref="D216:D219" si="33">D134</f>
        <v>170</v>
      </c>
      <c r="E216" s="12">
        <f t="shared" ref="E216:E219" si="34">D142</f>
        <v>310</v>
      </c>
      <c r="F216" s="12">
        <f t="shared" ref="F216:F219" si="35">D150</f>
        <v>5490</v>
      </c>
      <c r="H216" s="21"/>
    </row>
    <row r="217" spans="1:12">
      <c r="B217" s="15">
        <v>2012</v>
      </c>
      <c r="C217" s="12">
        <f t="shared" si="32"/>
        <v>9160</v>
      </c>
      <c r="D217" s="12">
        <f t="shared" si="33"/>
        <v>140</v>
      </c>
      <c r="E217" s="12">
        <f t="shared" si="34"/>
        <v>110</v>
      </c>
      <c r="F217" s="12">
        <f t="shared" si="35"/>
        <v>5450</v>
      </c>
      <c r="H217" s="21"/>
    </row>
    <row r="218" spans="1:12">
      <c r="B218" s="15">
        <v>2013</v>
      </c>
      <c r="C218" s="12">
        <f t="shared" si="32"/>
        <v>9130</v>
      </c>
      <c r="D218" s="12">
        <f t="shared" si="33"/>
        <v>130</v>
      </c>
      <c r="E218" s="12">
        <f t="shared" si="34"/>
        <v>160</v>
      </c>
      <c r="F218" s="12">
        <f t="shared" si="35"/>
        <v>5320</v>
      </c>
      <c r="H218" s="21"/>
    </row>
    <row r="219" spans="1:12">
      <c r="B219" s="15">
        <v>2014</v>
      </c>
      <c r="C219" s="12">
        <f t="shared" si="32"/>
        <v>9440</v>
      </c>
      <c r="D219" s="12">
        <f t="shared" si="33"/>
        <v>160</v>
      </c>
      <c r="E219" s="12">
        <f t="shared" si="34"/>
        <v>10</v>
      </c>
      <c r="F219" s="12">
        <f t="shared" si="35"/>
        <v>5170</v>
      </c>
      <c r="H219" s="21"/>
    </row>
    <row r="220" spans="1:12">
      <c r="B220" s="15">
        <v>2015</v>
      </c>
      <c r="H220" s="21"/>
    </row>
    <row r="221" spans="1:12">
      <c r="H221" s="21"/>
    </row>
    <row r="222" spans="1:12">
      <c r="A222" s="14" t="s">
        <v>351</v>
      </c>
      <c r="B222" s="14" t="s">
        <v>0</v>
      </c>
      <c r="C222" s="14" t="s">
        <v>344</v>
      </c>
      <c r="D222" s="15" t="s">
        <v>345</v>
      </c>
      <c r="E222" s="14">
        <v>24</v>
      </c>
      <c r="F222" s="14">
        <v>75</v>
      </c>
      <c r="G222" s="14"/>
      <c r="H222" s="21"/>
      <c r="I222" s="20"/>
      <c r="J222" s="20"/>
      <c r="K222" s="20"/>
      <c r="L222" s="20"/>
    </row>
    <row r="223" spans="1:12">
      <c r="B223" s="15">
        <v>2010</v>
      </c>
      <c r="C223" s="17">
        <f>E21</f>
        <v>58930</v>
      </c>
      <c r="D223" s="12">
        <f>E29</f>
        <v>58960</v>
      </c>
      <c r="E223" s="12">
        <f>E37</f>
        <v>8810</v>
      </c>
      <c r="F223" s="12">
        <f>E45</f>
        <v>9830</v>
      </c>
      <c r="H223" s="21" t="s">
        <v>407</v>
      </c>
      <c r="I223" s="12">
        <v>21</v>
      </c>
      <c r="J223" s="12">
        <f>I223+8</f>
        <v>29</v>
      </c>
      <c r="K223" s="12">
        <f>J223+8</f>
        <v>37</v>
      </c>
      <c r="L223" s="12">
        <f>K223+8</f>
        <v>45</v>
      </c>
    </row>
    <row r="224" spans="1:12">
      <c r="B224" s="15">
        <v>2011</v>
      </c>
      <c r="C224" s="17">
        <f>E22</f>
        <v>59070</v>
      </c>
      <c r="D224" s="12">
        <f>E30</f>
        <v>59170</v>
      </c>
      <c r="E224" s="12">
        <f>E38</f>
        <v>8890</v>
      </c>
      <c r="F224" s="12">
        <f>E46</f>
        <v>10020</v>
      </c>
      <c r="H224" s="21"/>
    </row>
    <row r="225" spans="1:12">
      <c r="B225" s="15">
        <v>2012</v>
      </c>
      <c r="C225" s="17">
        <f>E23</f>
        <v>58630</v>
      </c>
      <c r="D225" s="12">
        <f>E31</f>
        <v>59190</v>
      </c>
      <c r="E225" s="12">
        <f>E39</f>
        <v>8840</v>
      </c>
      <c r="F225" s="12">
        <f>E47</f>
        <v>10180</v>
      </c>
      <c r="H225" s="21"/>
    </row>
    <row r="226" spans="1:12">
      <c r="B226" s="15">
        <v>2013</v>
      </c>
      <c r="C226" s="17">
        <f>E24</f>
        <v>58480</v>
      </c>
      <c r="D226" s="12">
        <f>E32</f>
        <v>59020</v>
      </c>
      <c r="E226" s="12">
        <f>E40</f>
        <v>8650</v>
      </c>
      <c r="F226" s="12">
        <f>E48</f>
        <v>10340</v>
      </c>
      <c r="H226" s="21"/>
    </row>
    <row r="227" spans="1:12">
      <c r="B227" s="15">
        <v>2014</v>
      </c>
      <c r="C227" s="17">
        <f>E25</f>
        <v>58720</v>
      </c>
      <c r="D227" s="12">
        <f>E33</f>
        <v>59240</v>
      </c>
      <c r="E227" s="12">
        <f>E41</f>
        <v>8520</v>
      </c>
      <c r="F227" s="12">
        <f>E49</f>
        <v>10520</v>
      </c>
      <c r="H227" s="21"/>
    </row>
    <row r="228" spans="1:12">
      <c r="B228" s="15">
        <v>2015</v>
      </c>
      <c r="C228" s="17"/>
      <c r="H228" s="21"/>
    </row>
    <row r="229" spans="1:12">
      <c r="H229" s="21"/>
    </row>
    <row r="230" spans="1:12">
      <c r="A230" s="14" t="s">
        <v>350</v>
      </c>
      <c r="B230" s="14" t="s">
        <v>0</v>
      </c>
      <c r="C230" s="14" t="s">
        <v>344</v>
      </c>
      <c r="D230" s="15" t="s">
        <v>345</v>
      </c>
      <c r="E230" s="14">
        <v>24</v>
      </c>
      <c r="F230" s="14">
        <v>75</v>
      </c>
      <c r="G230" s="14"/>
      <c r="H230" s="21"/>
      <c r="I230" s="14"/>
      <c r="J230" s="14"/>
      <c r="K230" s="14"/>
      <c r="L230" s="14"/>
    </row>
    <row r="231" spans="1:12">
      <c r="B231" s="15">
        <v>2010</v>
      </c>
      <c r="C231" s="12">
        <f>E61</f>
        <v>30150</v>
      </c>
      <c r="D231" s="12">
        <f>E69</f>
        <v>29470</v>
      </c>
      <c r="E231" s="12">
        <f>E77</f>
        <v>4340</v>
      </c>
      <c r="F231" s="12">
        <f>E85</f>
        <v>3870</v>
      </c>
      <c r="H231" s="21"/>
      <c r="I231" s="12">
        <v>61</v>
      </c>
      <c r="J231" s="12">
        <f>I231+8</f>
        <v>69</v>
      </c>
      <c r="K231" s="12">
        <f>J231+8</f>
        <v>77</v>
      </c>
      <c r="L231" s="12">
        <f>K231+8</f>
        <v>85</v>
      </c>
    </row>
    <row r="232" spans="1:12">
      <c r="B232" s="15">
        <v>2011</v>
      </c>
      <c r="C232" s="12">
        <f t="shared" ref="C232:C235" si="36">D94</f>
        <v>98840</v>
      </c>
      <c r="D232" s="12">
        <f t="shared" ref="D232:D235" si="37">D102</f>
        <v>113040</v>
      </c>
      <c r="E232" s="12">
        <f t="shared" ref="E232:E235" si="38">D110</f>
        <v>14880</v>
      </c>
      <c r="F232" s="12">
        <f t="shared" ref="F232:F235" si="39">D118</f>
        <v>19290</v>
      </c>
      <c r="H232" s="21"/>
    </row>
    <row r="233" spans="1:12">
      <c r="B233" s="15">
        <v>2012</v>
      </c>
      <c r="C233" s="12">
        <f t="shared" si="36"/>
        <v>98960</v>
      </c>
      <c r="D233" s="12">
        <f t="shared" si="37"/>
        <v>112950</v>
      </c>
      <c r="E233" s="12">
        <f t="shared" si="38"/>
        <v>14620</v>
      </c>
      <c r="F233" s="12">
        <f t="shared" si="39"/>
        <v>19610</v>
      </c>
      <c r="H233" s="21"/>
    </row>
    <row r="234" spans="1:12">
      <c r="B234" s="15">
        <v>2013</v>
      </c>
      <c r="C234" s="12">
        <f t="shared" si="36"/>
        <v>99090</v>
      </c>
      <c r="D234" s="12">
        <f t="shared" si="37"/>
        <v>113060</v>
      </c>
      <c r="E234" s="12">
        <f t="shared" si="38"/>
        <v>14400</v>
      </c>
      <c r="F234" s="12">
        <f t="shared" si="39"/>
        <v>19950</v>
      </c>
      <c r="H234" s="21"/>
    </row>
    <row r="235" spans="1:12">
      <c r="B235" s="15">
        <v>2014</v>
      </c>
      <c r="C235" s="12">
        <f t="shared" si="36"/>
        <v>99610</v>
      </c>
      <c r="D235" s="12">
        <f t="shared" si="37"/>
        <v>113330</v>
      </c>
      <c r="E235" s="12">
        <f t="shared" si="38"/>
        <v>14130</v>
      </c>
      <c r="F235" s="12">
        <f t="shared" si="39"/>
        <v>20340</v>
      </c>
      <c r="H235" s="21"/>
    </row>
    <row r="236" spans="1:12">
      <c r="B236" s="15">
        <v>2015</v>
      </c>
      <c r="H236" s="21"/>
    </row>
    <row r="237" spans="1:12">
      <c r="H237" s="21"/>
    </row>
    <row r="238" spans="1:12">
      <c r="A238" s="14" t="s">
        <v>352</v>
      </c>
      <c r="B238" s="14" t="s">
        <v>0</v>
      </c>
      <c r="C238" s="14" t="s">
        <v>344</v>
      </c>
      <c r="D238" s="15" t="s">
        <v>345</v>
      </c>
      <c r="E238" s="14">
        <v>24</v>
      </c>
      <c r="F238" s="14">
        <v>75</v>
      </c>
      <c r="G238" s="14"/>
      <c r="H238" s="21"/>
    </row>
    <row r="239" spans="1:12">
      <c r="B239" s="15">
        <v>2010</v>
      </c>
      <c r="C239" s="12">
        <f>E93</f>
        <v>28780</v>
      </c>
      <c r="D239" s="12">
        <f>E101</f>
        <v>29480</v>
      </c>
      <c r="E239" s="12">
        <f>E109</f>
        <v>4470</v>
      </c>
      <c r="F239" s="12">
        <f>E117</f>
        <v>5960</v>
      </c>
      <c r="H239" s="21"/>
      <c r="I239" s="12">
        <f>L231+8</f>
        <v>93</v>
      </c>
      <c r="J239" s="12">
        <f>I239+8</f>
        <v>101</v>
      </c>
      <c r="K239" s="12">
        <f>J239+8</f>
        <v>109</v>
      </c>
      <c r="L239" s="12">
        <f>K239+8</f>
        <v>117</v>
      </c>
    </row>
    <row r="240" spans="1:12">
      <c r="B240" s="15">
        <v>2011</v>
      </c>
      <c r="C240" s="12">
        <f t="shared" ref="C240:C243" si="40">E94</f>
        <v>28880</v>
      </c>
      <c r="D240" s="12">
        <f t="shared" ref="D240:D243" si="41">E102</f>
        <v>29610</v>
      </c>
      <c r="E240" s="12">
        <f t="shared" ref="E240:E243" si="42">E110</f>
        <v>4560</v>
      </c>
      <c r="F240" s="12">
        <f t="shared" ref="F240:F243" si="43">E118</f>
        <v>6040</v>
      </c>
      <c r="H240" s="21"/>
    </row>
    <row r="241" spans="1:12">
      <c r="B241" s="15">
        <v>2012</v>
      </c>
      <c r="C241" s="12">
        <f>E95</f>
        <v>28690</v>
      </c>
      <c r="D241" s="12">
        <f t="shared" si="41"/>
        <v>29620</v>
      </c>
      <c r="E241" s="12">
        <f t="shared" si="42"/>
        <v>4450</v>
      </c>
      <c r="F241" s="12">
        <f t="shared" si="43"/>
        <v>6060</v>
      </c>
      <c r="H241" s="21"/>
    </row>
    <row r="242" spans="1:12">
      <c r="B242" s="15">
        <v>2013</v>
      </c>
      <c r="C242" s="12">
        <f t="shared" si="40"/>
        <v>28660</v>
      </c>
      <c r="D242" s="12">
        <f t="shared" si="41"/>
        <v>29540</v>
      </c>
      <c r="E242" s="12">
        <f t="shared" si="42"/>
        <v>4350</v>
      </c>
      <c r="F242" s="12">
        <f t="shared" si="43"/>
        <v>6140</v>
      </c>
      <c r="H242" s="21"/>
    </row>
    <row r="243" spans="1:12">
      <c r="B243" s="15">
        <v>2014</v>
      </c>
      <c r="C243" s="12">
        <f t="shared" si="40"/>
        <v>28860</v>
      </c>
      <c r="D243" s="12">
        <f t="shared" si="41"/>
        <v>29640</v>
      </c>
      <c r="E243" s="12">
        <f t="shared" si="42"/>
        <v>4330</v>
      </c>
      <c r="F243" s="12">
        <f t="shared" si="43"/>
        <v>6190</v>
      </c>
      <c r="H243" s="21"/>
    </row>
    <row r="244" spans="1:12">
      <c r="B244" s="15">
        <v>2015</v>
      </c>
      <c r="H244" s="21"/>
    </row>
    <row r="245" spans="1:12">
      <c r="H245" s="21"/>
    </row>
    <row r="246" spans="1:12">
      <c r="A246" s="14" t="s">
        <v>353</v>
      </c>
      <c r="B246" s="14" t="s">
        <v>0</v>
      </c>
      <c r="C246" s="14" t="s">
        <v>344</v>
      </c>
      <c r="D246" s="15" t="s">
        <v>345</v>
      </c>
      <c r="E246" s="14">
        <v>24</v>
      </c>
      <c r="F246" s="14">
        <v>75</v>
      </c>
      <c r="G246" s="14"/>
      <c r="H246" s="21"/>
    </row>
    <row r="247" spans="1:12">
      <c r="B247" s="15">
        <v>2010</v>
      </c>
      <c r="C247" s="12">
        <f>E125</f>
        <v>1370</v>
      </c>
      <c r="D247" s="12">
        <f>E133</f>
        <v>10</v>
      </c>
      <c r="E247" s="12">
        <f>E141</f>
        <v>130</v>
      </c>
      <c r="F247" s="12">
        <f>E149</f>
        <v>2090</v>
      </c>
      <c r="H247" s="21"/>
      <c r="I247" s="12">
        <f>L239+8</f>
        <v>125</v>
      </c>
      <c r="J247" s="12">
        <f>I247+8</f>
        <v>133</v>
      </c>
      <c r="K247" s="12">
        <f>J247+8</f>
        <v>141</v>
      </c>
      <c r="L247" s="12">
        <f>K247+8</f>
        <v>149</v>
      </c>
    </row>
    <row r="248" spans="1:12">
      <c r="B248" s="15">
        <v>2011</v>
      </c>
      <c r="C248" s="12">
        <f t="shared" ref="C248:C251" si="44">E126</f>
        <v>1310</v>
      </c>
      <c r="D248" s="12">
        <f t="shared" ref="D248:D251" si="45">E134</f>
        <v>40</v>
      </c>
      <c r="E248" s="12">
        <f t="shared" ref="E248:E251" si="46">E142</f>
        <v>220</v>
      </c>
      <c r="F248" s="12">
        <f t="shared" ref="F248:F251" si="47">E150</f>
        <v>2050</v>
      </c>
      <c r="H248" s="21"/>
    </row>
    <row r="249" spans="1:12">
      <c r="B249" s="15">
        <v>2012</v>
      </c>
      <c r="C249" s="12">
        <f t="shared" si="44"/>
        <v>1250</v>
      </c>
      <c r="D249" s="12">
        <f t="shared" si="45"/>
        <v>50</v>
      </c>
      <c r="E249" s="12">
        <f t="shared" si="46"/>
        <v>60</v>
      </c>
      <c r="F249" s="12">
        <f t="shared" si="47"/>
        <v>1940</v>
      </c>
      <c r="H249" s="21"/>
    </row>
    <row r="250" spans="1:12">
      <c r="B250" s="15">
        <v>2013</v>
      </c>
      <c r="C250" s="12">
        <f t="shared" si="44"/>
        <v>1160</v>
      </c>
      <c r="D250" s="12">
        <f t="shared" si="45"/>
        <v>60</v>
      </c>
      <c r="E250" s="12">
        <f t="shared" si="46"/>
        <v>50</v>
      </c>
      <c r="F250" s="12">
        <f t="shared" si="47"/>
        <v>1940</v>
      </c>
      <c r="H250" s="21"/>
    </row>
    <row r="251" spans="1:12">
      <c r="B251" s="15">
        <v>2014</v>
      </c>
      <c r="C251" s="12">
        <f t="shared" si="44"/>
        <v>1000</v>
      </c>
      <c r="D251" s="12">
        <f t="shared" si="45"/>
        <v>40</v>
      </c>
      <c r="E251" s="12">
        <f t="shared" si="46"/>
        <v>140</v>
      </c>
      <c r="F251" s="12">
        <f t="shared" si="47"/>
        <v>1850</v>
      </c>
      <c r="H251" s="21"/>
    </row>
    <row r="252" spans="1:12">
      <c r="B252" s="15">
        <v>2015</v>
      </c>
      <c r="H252" s="21"/>
    </row>
    <row r="253" spans="1:12">
      <c r="H253" s="21"/>
    </row>
    <row r="254" spans="1:12">
      <c r="A254" s="14" t="s">
        <v>354</v>
      </c>
      <c r="B254" s="14" t="s">
        <v>0</v>
      </c>
      <c r="C254" s="14" t="s">
        <v>344</v>
      </c>
      <c r="D254" s="15" t="s">
        <v>345</v>
      </c>
      <c r="E254" s="14">
        <v>24</v>
      </c>
      <c r="F254" s="14">
        <v>75</v>
      </c>
      <c r="G254" s="14"/>
      <c r="H254" s="21"/>
      <c r="I254" s="20"/>
      <c r="J254" s="20"/>
      <c r="K254" s="20"/>
      <c r="L254" s="20"/>
    </row>
    <row r="255" spans="1:12">
      <c r="B255" s="15">
        <v>2010</v>
      </c>
      <c r="C255" s="17">
        <f>F21</f>
        <v>382650</v>
      </c>
      <c r="D255" s="12">
        <f>F29</f>
        <v>365010</v>
      </c>
      <c r="E255" s="12">
        <f>F37</f>
        <v>54960</v>
      </c>
      <c r="F255" s="12">
        <f>F45</f>
        <v>65810</v>
      </c>
      <c r="H255" s="21" t="s">
        <v>221</v>
      </c>
      <c r="I255" s="12">
        <v>21</v>
      </c>
      <c r="J255" s="12">
        <f>I255+8</f>
        <v>29</v>
      </c>
      <c r="K255" s="12">
        <f>J255+8</f>
        <v>37</v>
      </c>
      <c r="L255" s="12">
        <f>K255+8</f>
        <v>45</v>
      </c>
    </row>
    <row r="256" spans="1:12">
      <c r="B256" s="15">
        <v>2011</v>
      </c>
      <c r="C256" s="17">
        <f>F22</f>
        <v>383330</v>
      </c>
      <c r="D256" s="12">
        <f>F30</f>
        <v>364550</v>
      </c>
      <c r="E256" s="12">
        <f>F38</f>
        <v>55560</v>
      </c>
      <c r="F256" s="12">
        <f>F46</f>
        <v>66900</v>
      </c>
      <c r="H256" s="21"/>
    </row>
    <row r="257" spans="1:12">
      <c r="B257" s="15">
        <v>2012</v>
      </c>
      <c r="C257" s="17">
        <f>F23</f>
        <v>381040</v>
      </c>
      <c r="D257" s="12">
        <f>F31</f>
        <v>362910</v>
      </c>
      <c r="E257" s="12">
        <f>F39</f>
        <v>54910</v>
      </c>
      <c r="F257" s="12">
        <f>F47</f>
        <v>67970</v>
      </c>
      <c r="H257" s="21"/>
    </row>
    <row r="258" spans="1:12">
      <c r="B258" s="15">
        <v>2013</v>
      </c>
      <c r="C258" s="17">
        <f>F24</f>
        <v>381010</v>
      </c>
      <c r="D258" s="12">
        <f>F32</f>
        <v>361150</v>
      </c>
      <c r="E258" s="12">
        <f>F40</f>
        <v>54470</v>
      </c>
      <c r="F258" s="12">
        <f>F48</f>
        <v>69400</v>
      </c>
      <c r="H258" s="21"/>
    </row>
    <row r="259" spans="1:12">
      <c r="B259" s="15">
        <v>2014</v>
      </c>
      <c r="C259" s="17">
        <f>F25</f>
        <v>381540</v>
      </c>
      <c r="D259" s="12">
        <f>F33</f>
        <v>360140</v>
      </c>
      <c r="E259" s="12">
        <f>F41</f>
        <v>53570</v>
      </c>
      <c r="F259" s="12">
        <f>F49</f>
        <v>70770</v>
      </c>
      <c r="H259" s="21"/>
    </row>
    <row r="260" spans="1:12">
      <c r="B260" s="15">
        <v>2015</v>
      </c>
      <c r="C260" s="17"/>
      <c r="H260" s="21"/>
    </row>
    <row r="261" spans="1:12">
      <c r="H261" s="21"/>
    </row>
    <row r="262" spans="1:12">
      <c r="A262" s="14" t="s">
        <v>355</v>
      </c>
      <c r="B262" s="14" t="s">
        <v>0</v>
      </c>
      <c r="C262" s="14" t="s">
        <v>344</v>
      </c>
      <c r="D262" s="15" t="s">
        <v>345</v>
      </c>
      <c r="E262" s="14">
        <v>24</v>
      </c>
      <c r="F262" s="14">
        <v>75</v>
      </c>
      <c r="G262" s="14"/>
      <c r="H262" s="21"/>
      <c r="I262" s="14"/>
      <c r="J262" s="14"/>
      <c r="K262" s="14"/>
      <c r="L262" s="14"/>
    </row>
    <row r="263" spans="1:12">
      <c r="B263" s="15">
        <v>2010</v>
      </c>
      <c r="C263" s="12">
        <f>F61</f>
        <v>195630</v>
      </c>
      <c r="D263" s="12">
        <f>F69</f>
        <v>182350</v>
      </c>
      <c r="E263" s="12">
        <f>F77</f>
        <v>27020</v>
      </c>
      <c r="F263" s="12">
        <f>F85</f>
        <v>25930</v>
      </c>
      <c r="H263" s="21"/>
      <c r="I263" s="12">
        <v>61</v>
      </c>
      <c r="J263" s="12">
        <f>I263+8</f>
        <v>69</v>
      </c>
      <c r="K263" s="12">
        <f>J263+8</f>
        <v>77</v>
      </c>
      <c r="L263" s="12">
        <f>K263+8</f>
        <v>85</v>
      </c>
    </row>
    <row r="264" spans="1:12">
      <c r="B264" s="15">
        <v>2011</v>
      </c>
      <c r="C264" s="12">
        <f>F62</f>
        <v>196050</v>
      </c>
      <c r="D264" s="12">
        <f>F70</f>
        <v>182070</v>
      </c>
      <c r="E264" s="12">
        <f>F78</f>
        <v>27450</v>
      </c>
      <c r="F264" s="12">
        <f>F86</f>
        <v>26660</v>
      </c>
      <c r="H264" s="21"/>
    </row>
    <row r="265" spans="1:12">
      <c r="B265" s="15">
        <v>2012</v>
      </c>
      <c r="C265" s="12">
        <f>F63</f>
        <v>194630</v>
      </c>
      <c r="D265" s="12">
        <f>F71</f>
        <v>181250</v>
      </c>
      <c r="E265" s="12">
        <f>F79</f>
        <v>27140</v>
      </c>
      <c r="F265" s="12">
        <f>F87</f>
        <v>27360</v>
      </c>
      <c r="H265" s="21"/>
    </row>
    <row r="266" spans="1:12">
      <c r="B266" s="15">
        <v>2013</v>
      </c>
      <c r="C266" s="12">
        <f>F64</f>
        <v>194500</v>
      </c>
      <c r="D266" s="12">
        <f>F72</f>
        <v>180420</v>
      </c>
      <c r="E266" s="12">
        <f>F80</f>
        <v>26770</v>
      </c>
      <c r="F266" s="12">
        <f>F88</f>
        <v>28200</v>
      </c>
      <c r="H266" s="21"/>
    </row>
    <row r="267" spans="1:12">
      <c r="B267" s="15">
        <v>2014</v>
      </c>
      <c r="C267" s="12">
        <f>F65</f>
        <v>194740</v>
      </c>
      <c r="D267" s="12">
        <f>F73</f>
        <v>179860</v>
      </c>
      <c r="E267" s="12">
        <f>F81</f>
        <v>26380</v>
      </c>
      <c r="F267" s="12">
        <f>F89</f>
        <v>29000</v>
      </c>
      <c r="H267" s="21"/>
    </row>
    <row r="268" spans="1:12">
      <c r="B268" s="15">
        <v>2015</v>
      </c>
      <c r="H268" s="21"/>
    </row>
    <row r="269" spans="1:12">
      <c r="H269" s="21"/>
    </row>
    <row r="270" spans="1:12">
      <c r="A270" s="14" t="s">
        <v>356</v>
      </c>
      <c r="B270" s="14" t="s">
        <v>0</v>
      </c>
      <c r="C270" s="14" t="s">
        <v>344</v>
      </c>
      <c r="D270" s="15" t="s">
        <v>345</v>
      </c>
      <c r="E270" s="14">
        <v>24</v>
      </c>
      <c r="F270" s="14">
        <v>75</v>
      </c>
      <c r="G270" s="14"/>
      <c r="H270" s="21"/>
    </row>
    <row r="271" spans="1:12">
      <c r="B271" s="15">
        <v>2010</v>
      </c>
      <c r="C271" s="12">
        <f>F93</f>
        <v>187020</v>
      </c>
      <c r="D271" s="12">
        <f>F101</f>
        <v>182650</v>
      </c>
      <c r="E271" s="12">
        <f>F109</f>
        <v>27940</v>
      </c>
      <c r="F271" s="12">
        <f>F117</f>
        <v>39880</v>
      </c>
      <c r="H271" s="21"/>
      <c r="I271" s="12">
        <f>L263+8</f>
        <v>93</v>
      </c>
      <c r="J271" s="12">
        <f>I271+8</f>
        <v>101</v>
      </c>
      <c r="K271" s="12">
        <f>J271+8</f>
        <v>109</v>
      </c>
      <c r="L271" s="12">
        <f>K271+8</f>
        <v>117</v>
      </c>
    </row>
    <row r="272" spans="1:12">
      <c r="B272" s="15">
        <v>2011</v>
      </c>
      <c r="C272" s="12">
        <f t="shared" ref="C272:C275" si="48">F94</f>
        <v>187280</v>
      </c>
      <c r="D272" s="12">
        <f t="shared" ref="D272:D275" si="49">F102</f>
        <v>182480</v>
      </c>
      <c r="E272" s="12">
        <f t="shared" ref="E272:E275" si="50">F110</f>
        <v>28110</v>
      </c>
      <c r="F272" s="12">
        <f t="shared" ref="F272:F275" si="51">F118</f>
        <v>40240</v>
      </c>
      <c r="H272" s="21"/>
    </row>
    <row r="273" spans="1:12">
      <c r="B273" s="15">
        <v>2012</v>
      </c>
      <c r="C273" s="12">
        <f t="shared" si="48"/>
        <v>186420</v>
      </c>
      <c r="D273" s="12">
        <f t="shared" si="49"/>
        <v>181660</v>
      </c>
      <c r="E273" s="12">
        <f t="shared" si="50"/>
        <v>27770</v>
      </c>
      <c r="F273" s="12">
        <f t="shared" si="51"/>
        <v>40610</v>
      </c>
      <c r="H273" s="21"/>
    </row>
    <row r="274" spans="1:12">
      <c r="B274" s="15">
        <v>2013</v>
      </c>
      <c r="C274" s="12">
        <f t="shared" si="48"/>
        <v>186510</v>
      </c>
      <c r="D274" s="12">
        <f t="shared" si="49"/>
        <v>180730</v>
      </c>
      <c r="E274" s="12">
        <f t="shared" si="50"/>
        <v>27700</v>
      </c>
      <c r="F274" s="12">
        <f t="shared" si="51"/>
        <v>41200</v>
      </c>
      <c r="H274" s="21"/>
    </row>
    <row r="275" spans="1:12">
      <c r="B275" s="15">
        <v>2014</v>
      </c>
      <c r="C275" s="12">
        <f t="shared" si="48"/>
        <v>186810</v>
      </c>
      <c r="D275" s="12">
        <f t="shared" si="49"/>
        <v>180280</v>
      </c>
      <c r="E275" s="12">
        <f t="shared" si="50"/>
        <v>27190</v>
      </c>
      <c r="F275" s="12">
        <f t="shared" si="51"/>
        <v>41770</v>
      </c>
      <c r="H275" s="21"/>
    </row>
    <row r="276" spans="1:12">
      <c r="B276" s="15">
        <v>2015</v>
      </c>
      <c r="H276" s="21"/>
    </row>
    <row r="277" spans="1:12">
      <c r="H277" s="21"/>
    </row>
    <row r="278" spans="1:12">
      <c r="A278" s="14" t="s">
        <v>357</v>
      </c>
      <c r="B278" s="14" t="s">
        <v>0</v>
      </c>
      <c r="C278" s="14" t="s">
        <v>344</v>
      </c>
      <c r="D278" s="15" t="s">
        <v>345</v>
      </c>
      <c r="E278" s="14">
        <v>24</v>
      </c>
      <c r="F278" s="14">
        <v>75</v>
      </c>
      <c r="G278" s="14"/>
      <c r="H278" s="21"/>
    </row>
    <row r="279" spans="1:12">
      <c r="B279" s="15">
        <v>2010</v>
      </c>
      <c r="C279" s="12">
        <f>F125</f>
        <v>8610</v>
      </c>
      <c r="D279" s="12">
        <f>F133</f>
        <v>300</v>
      </c>
      <c r="E279" s="12">
        <f>F141</f>
        <v>920</v>
      </c>
      <c r="F279" s="12">
        <f>F149</f>
        <v>13950</v>
      </c>
      <c r="H279" s="21"/>
      <c r="I279" s="12">
        <f>L271+8</f>
        <v>125</v>
      </c>
      <c r="J279" s="12">
        <f>I279+8</f>
        <v>133</v>
      </c>
      <c r="K279" s="12">
        <f>J279+8</f>
        <v>141</v>
      </c>
      <c r="L279" s="12">
        <f>K279+8</f>
        <v>149</v>
      </c>
    </row>
    <row r="280" spans="1:12">
      <c r="B280" s="15">
        <v>2011</v>
      </c>
      <c r="C280" s="12">
        <f t="shared" ref="C280:C283" si="52">F126</f>
        <v>8770</v>
      </c>
      <c r="D280" s="12">
        <f t="shared" ref="D280:D283" si="53">F134</f>
        <v>410</v>
      </c>
      <c r="E280" s="12">
        <f t="shared" ref="E280:E283" si="54">F142</f>
        <v>660</v>
      </c>
      <c r="F280" s="12">
        <f t="shared" ref="F280:F283" si="55">F150</f>
        <v>13580</v>
      </c>
      <c r="H280" s="21"/>
    </row>
    <row r="281" spans="1:12">
      <c r="B281" s="15">
        <v>2012</v>
      </c>
      <c r="C281" s="12">
        <f t="shared" si="52"/>
        <v>8210</v>
      </c>
      <c r="D281" s="12">
        <f t="shared" si="53"/>
        <v>410</v>
      </c>
      <c r="E281" s="12">
        <f t="shared" si="54"/>
        <v>630</v>
      </c>
      <c r="F281" s="12">
        <f t="shared" si="55"/>
        <v>13250</v>
      </c>
      <c r="H281" s="21"/>
    </row>
    <row r="282" spans="1:12">
      <c r="B282" s="15">
        <v>2013</v>
      </c>
      <c r="C282" s="12">
        <f t="shared" si="52"/>
        <v>7990</v>
      </c>
      <c r="D282" s="12">
        <f t="shared" si="53"/>
        <v>310</v>
      </c>
      <c r="E282" s="12">
        <f t="shared" si="54"/>
        <v>930</v>
      </c>
      <c r="F282" s="12">
        <f t="shared" si="55"/>
        <v>13000</v>
      </c>
      <c r="H282" s="21"/>
    </row>
    <row r="283" spans="1:12">
      <c r="B283" s="15">
        <v>2014</v>
      </c>
      <c r="C283" s="12">
        <f t="shared" si="52"/>
        <v>7930</v>
      </c>
      <c r="D283" s="12">
        <f t="shared" si="53"/>
        <v>420</v>
      </c>
      <c r="E283" s="12">
        <f t="shared" si="54"/>
        <v>810</v>
      </c>
      <c r="F283" s="12">
        <f t="shared" si="55"/>
        <v>12770</v>
      </c>
      <c r="H283" s="21"/>
    </row>
    <row r="284" spans="1:12">
      <c r="B284" s="15">
        <v>2015</v>
      </c>
      <c r="H284" s="21"/>
    </row>
    <row r="285" spans="1:12">
      <c r="H285" s="21"/>
      <c r="I285" s="16"/>
      <c r="J285" s="16"/>
      <c r="K285" s="16"/>
      <c r="L285" s="16"/>
    </row>
    <row r="286" spans="1:12">
      <c r="A286" s="14" t="s">
        <v>358</v>
      </c>
      <c r="B286" s="14" t="s">
        <v>0</v>
      </c>
      <c r="C286" s="14" t="s">
        <v>344</v>
      </c>
      <c r="D286" s="15" t="s">
        <v>345</v>
      </c>
      <c r="E286" s="14">
        <v>24</v>
      </c>
      <c r="F286" s="14">
        <v>75</v>
      </c>
      <c r="G286" s="14"/>
      <c r="H286" s="21"/>
      <c r="I286" s="20"/>
      <c r="J286" s="20"/>
      <c r="K286" s="20"/>
      <c r="L286" s="20"/>
    </row>
    <row r="287" spans="1:12">
      <c r="B287" s="15">
        <v>2010</v>
      </c>
      <c r="C287" s="17">
        <f>G21</f>
        <v>302780</v>
      </c>
      <c r="D287" s="12">
        <f>G29</f>
        <v>299470</v>
      </c>
      <c r="E287" s="12">
        <f>G37</f>
        <v>43640</v>
      </c>
      <c r="F287" s="12">
        <f>G45</f>
        <v>52670</v>
      </c>
      <c r="H287" s="21" t="s">
        <v>405</v>
      </c>
      <c r="I287" s="12">
        <v>21</v>
      </c>
      <c r="J287" s="12">
        <f>I287+8</f>
        <v>29</v>
      </c>
      <c r="K287" s="12">
        <f>J287+8</f>
        <v>37</v>
      </c>
      <c r="L287" s="12">
        <f>K287+8</f>
        <v>45</v>
      </c>
    </row>
    <row r="288" spans="1:12">
      <c r="B288" s="15">
        <v>2011</v>
      </c>
      <c r="C288" s="17">
        <f>G22</f>
        <v>302150</v>
      </c>
      <c r="D288" s="12">
        <f>G30</f>
        <v>298920</v>
      </c>
      <c r="E288" s="12">
        <f>G38</f>
        <v>43460</v>
      </c>
      <c r="F288" s="12">
        <f>G46</f>
        <v>53600</v>
      </c>
      <c r="H288" s="21"/>
    </row>
    <row r="289" spans="1:12">
      <c r="B289" s="15">
        <v>2012</v>
      </c>
      <c r="C289" s="17">
        <f>G23</f>
        <v>300100</v>
      </c>
      <c r="D289" s="12">
        <f>G31</f>
        <v>298130</v>
      </c>
      <c r="E289" s="12">
        <f>G39</f>
        <v>42960</v>
      </c>
      <c r="F289" s="12">
        <f>G47</f>
        <v>54570</v>
      </c>
      <c r="H289" s="21"/>
    </row>
    <row r="290" spans="1:12">
      <c r="B290" s="15">
        <v>2013</v>
      </c>
      <c r="C290" s="17">
        <f>G24</f>
        <v>298560</v>
      </c>
      <c r="D290" s="12">
        <f>G32</f>
        <v>296410</v>
      </c>
      <c r="E290" s="12">
        <f>G40</f>
        <v>41870</v>
      </c>
      <c r="F290" s="12">
        <f>G48</f>
        <v>55760</v>
      </c>
      <c r="H290" s="21"/>
    </row>
    <row r="291" spans="1:12">
      <c r="B291" s="15">
        <v>2014</v>
      </c>
      <c r="C291" s="17">
        <f>G25</f>
        <v>299360</v>
      </c>
      <c r="D291" s="12">
        <f>G33</f>
        <v>295600</v>
      </c>
      <c r="E291" s="12">
        <f>G41</f>
        <v>41610</v>
      </c>
      <c r="F291" s="12">
        <f>G49</f>
        <v>56940</v>
      </c>
      <c r="H291" s="21"/>
    </row>
    <row r="292" spans="1:12">
      <c r="B292" s="15">
        <v>2015</v>
      </c>
      <c r="C292" s="17"/>
      <c r="H292" s="21"/>
    </row>
    <row r="293" spans="1:12">
      <c r="H293" s="21"/>
    </row>
    <row r="294" spans="1:12">
      <c r="A294" s="14" t="s">
        <v>359</v>
      </c>
      <c r="B294" s="14" t="s">
        <v>0</v>
      </c>
      <c r="C294" s="14" t="s">
        <v>344</v>
      </c>
      <c r="D294" s="15" t="s">
        <v>345</v>
      </c>
      <c r="E294" s="14">
        <v>24</v>
      </c>
      <c r="F294" s="14">
        <v>75</v>
      </c>
      <c r="G294" s="14"/>
      <c r="H294" s="21"/>
      <c r="I294" s="14"/>
      <c r="J294" s="14"/>
      <c r="K294" s="14"/>
      <c r="L294" s="14"/>
    </row>
    <row r="295" spans="1:12">
      <c r="B295" s="15">
        <v>2010</v>
      </c>
      <c r="C295" s="12">
        <f>G61</f>
        <v>157660</v>
      </c>
      <c r="D295" s="12">
        <f>G69</f>
        <v>149630</v>
      </c>
      <c r="E295" s="12">
        <f>G77</f>
        <v>21800</v>
      </c>
      <c r="F295" s="12">
        <f>G85</f>
        <v>20760</v>
      </c>
      <c r="H295" s="21"/>
      <c r="I295" s="12">
        <v>61</v>
      </c>
      <c r="J295" s="12">
        <f>I295+8</f>
        <v>69</v>
      </c>
      <c r="K295" s="12">
        <f>J295+8</f>
        <v>77</v>
      </c>
      <c r="L295" s="12">
        <f>K295+8</f>
        <v>85</v>
      </c>
    </row>
    <row r="296" spans="1:12">
      <c r="B296" s="15">
        <v>2011</v>
      </c>
      <c r="C296" s="12">
        <f>G62</f>
        <v>157280</v>
      </c>
      <c r="D296" s="12">
        <f>G70</f>
        <v>149320</v>
      </c>
      <c r="E296" s="12">
        <f>G78</f>
        <v>21820</v>
      </c>
      <c r="F296" s="12">
        <f>G86</f>
        <v>21370</v>
      </c>
      <c r="H296" s="21"/>
    </row>
    <row r="297" spans="1:12">
      <c r="B297" s="15">
        <v>2012</v>
      </c>
      <c r="C297" s="12">
        <f>G63</f>
        <v>155880</v>
      </c>
      <c r="D297" s="12">
        <f>G71</f>
        <v>148930</v>
      </c>
      <c r="E297" s="12">
        <f>G79</f>
        <v>21460</v>
      </c>
      <c r="F297" s="12">
        <f>G87</f>
        <v>21950</v>
      </c>
      <c r="H297" s="21"/>
    </row>
    <row r="298" spans="1:12">
      <c r="B298" s="15">
        <v>2013</v>
      </c>
      <c r="C298" s="12">
        <f>G64</f>
        <v>154990</v>
      </c>
      <c r="D298" s="12">
        <f>G72</f>
        <v>148050</v>
      </c>
      <c r="E298" s="12">
        <f>G80</f>
        <v>20880</v>
      </c>
      <c r="F298" s="12">
        <f>G88</f>
        <v>22730</v>
      </c>
      <c r="H298" s="21"/>
    </row>
    <row r="299" spans="1:12">
      <c r="B299" s="15">
        <v>2014</v>
      </c>
      <c r="C299" s="12">
        <f>G65</f>
        <v>155540</v>
      </c>
      <c r="D299" s="12">
        <f>G73</f>
        <v>147650</v>
      </c>
      <c r="E299" s="12">
        <f>G81</f>
        <v>20740</v>
      </c>
      <c r="F299" s="12">
        <f>G89</f>
        <v>23450</v>
      </c>
      <c r="H299" s="21"/>
    </row>
    <row r="300" spans="1:12">
      <c r="B300" s="15">
        <v>2015</v>
      </c>
      <c r="H300" s="21"/>
    </row>
    <row r="301" spans="1:12">
      <c r="H301" s="21"/>
    </row>
    <row r="302" spans="1:12">
      <c r="A302" s="14" t="s">
        <v>360</v>
      </c>
      <c r="B302" s="14" t="s">
        <v>0</v>
      </c>
      <c r="C302" s="14" t="s">
        <v>344</v>
      </c>
      <c r="D302" s="15" t="s">
        <v>345</v>
      </c>
      <c r="E302" s="14">
        <v>24</v>
      </c>
      <c r="F302" s="14">
        <v>75</v>
      </c>
      <c r="G302" s="14"/>
      <c r="H302" s="21"/>
    </row>
    <row r="303" spans="1:12">
      <c r="B303" s="15">
        <v>2010</v>
      </c>
      <c r="C303" s="12">
        <f>G93</f>
        <v>145120</v>
      </c>
      <c r="D303" s="12">
        <f>G101</f>
        <v>149840</v>
      </c>
      <c r="E303" s="12">
        <f>G109</f>
        <v>21840</v>
      </c>
      <c r="F303" s="12">
        <f>G117</f>
        <v>31910</v>
      </c>
      <c r="H303" s="21"/>
      <c r="I303" s="12">
        <f>L295+8</f>
        <v>93</v>
      </c>
      <c r="J303" s="12">
        <f>I303+8</f>
        <v>101</v>
      </c>
      <c r="K303" s="12">
        <f>J303+8</f>
        <v>109</v>
      </c>
      <c r="L303" s="12">
        <f>K303+8</f>
        <v>117</v>
      </c>
    </row>
    <row r="304" spans="1:12">
      <c r="B304" s="15">
        <v>2011</v>
      </c>
      <c r="C304" s="12">
        <f t="shared" ref="C304:C307" si="56">G94</f>
        <v>144860</v>
      </c>
      <c r="D304" s="12">
        <f t="shared" ref="D304:D307" si="57">G102</f>
        <v>149600</v>
      </c>
      <c r="E304" s="12">
        <f t="shared" ref="E304:E307" si="58">G110</f>
        <v>21640</v>
      </c>
      <c r="F304" s="12">
        <f t="shared" ref="F304:F307" si="59">G118</f>
        <v>32230</v>
      </c>
      <c r="H304" s="21"/>
    </row>
    <row r="305" spans="1:12">
      <c r="B305" s="15">
        <v>2012</v>
      </c>
      <c r="C305" s="12">
        <f t="shared" si="56"/>
        <v>144220</v>
      </c>
      <c r="D305" s="12">
        <f t="shared" si="57"/>
        <v>149200</v>
      </c>
      <c r="E305" s="12">
        <f t="shared" si="58"/>
        <v>21500</v>
      </c>
      <c r="F305" s="12">
        <f t="shared" si="59"/>
        <v>32620</v>
      </c>
      <c r="H305" s="21"/>
    </row>
    <row r="306" spans="1:12">
      <c r="B306" s="15">
        <v>2013</v>
      </c>
      <c r="C306" s="12">
        <f t="shared" si="56"/>
        <v>143570</v>
      </c>
      <c r="D306" s="12">
        <f t="shared" si="57"/>
        <v>148360</v>
      </c>
      <c r="E306" s="12">
        <f t="shared" si="58"/>
        <v>20990</v>
      </c>
      <c r="F306" s="12">
        <f t="shared" si="59"/>
        <v>33030</v>
      </c>
      <c r="H306" s="21"/>
    </row>
    <row r="307" spans="1:12">
      <c r="B307" s="15">
        <v>2014</v>
      </c>
      <c r="C307" s="12">
        <f t="shared" si="56"/>
        <v>143820</v>
      </c>
      <c r="D307" s="12">
        <f t="shared" si="57"/>
        <v>147950</v>
      </c>
      <c r="E307" s="12">
        <f t="shared" si="58"/>
        <v>20870</v>
      </c>
      <c r="F307" s="12">
        <f t="shared" si="59"/>
        <v>33490</v>
      </c>
      <c r="H307" s="21"/>
    </row>
    <row r="308" spans="1:12">
      <c r="B308" s="15">
        <v>2015</v>
      </c>
      <c r="H308" s="21"/>
    </row>
    <row r="309" spans="1:12">
      <c r="H309" s="21"/>
    </row>
    <row r="310" spans="1:12">
      <c r="A310" s="14" t="s">
        <v>361</v>
      </c>
      <c r="B310" s="14" t="s">
        <v>0</v>
      </c>
      <c r="C310" s="14" t="s">
        <v>344</v>
      </c>
      <c r="D310" s="15" t="s">
        <v>345</v>
      </c>
      <c r="E310" s="14">
        <v>24</v>
      </c>
      <c r="F310" s="14">
        <v>75</v>
      </c>
      <c r="G310" s="14"/>
      <c r="H310" s="21"/>
    </row>
    <row r="311" spans="1:12">
      <c r="B311" s="15">
        <v>2010</v>
      </c>
      <c r="C311" s="12">
        <f>G125</f>
        <v>12540</v>
      </c>
      <c r="D311" s="12">
        <f>G133</f>
        <v>210</v>
      </c>
      <c r="E311" s="12">
        <f>G141</f>
        <v>40</v>
      </c>
      <c r="F311" s="12">
        <f>G149</f>
        <v>11150</v>
      </c>
      <c r="H311" s="21"/>
      <c r="I311" s="12">
        <f>L303+8</f>
        <v>125</v>
      </c>
      <c r="J311" s="12">
        <f>I311+8</f>
        <v>133</v>
      </c>
      <c r="K311" s="12">
        <f>J311+8</f>
        <v>141</v>
      </c>
      <c r="L311" s="12">
        <f>K311+8</f>
        <v>149</v>
      </c>
    </row>
    <row r="312" spans="1:12">
      <c r="B312" s="15">
        <v>2011</v>
      </c>
      <c r="C312" s="12">
        <f t="shared" ref="C312:C315" si="60">G126</f>
        <v>12420</v>
      </c>
      <c r="D312" s="12">
        <f t="shared" ref="D312:D315" si="61">G134</f>
        <v>280</v>
      </c>
      <c r="E312" s="12">
        <f t="shared" ref="E312:E315" si="62">G142</f>
        <v>180</v>
      </c>
      <c r="F312" s="12">
        <f t="shared" ref="F312:F315" si="63">G150</f>
        <v>10860</v>
      </c>
      <c r="H312" s="21"/>
    </row>
    <row r="313" spans="1:12">
      <c r="B313" s="15">
        <v>2012</v>
      </c>
      <c r="C313" s="12">
        <f t="shared" si="60"/>
        <v>11660</v>
      </c>
      <c r="D313" s="12">
        <f t="shared" si="61"/>
        <v>270</v>
      </c>
      <c r="E313" s="12">
        <f t="shared" si="62"/>
        <v>40</v>
      </c>
      <c r="F313" s="12">
        <f t="shared" si="63"/>
        <v>10670</v>
      </c>
      <c r="H313" s="21"/>
    </row>
    <row r="314" spans="1:12">
      <c r="B314" s="15">
        <v>2013</v>
      </c>
      <c r="C314" s="12">
        <f t="shared" si="60"/>
        <v>11420</v>
      </c>
      <c r="D314" s="12">
        <f t="shared" si="61"/>
        <v>310</v>
      </c>
      <c r="E314" s="12">
        <f t="shared" si="62"/>
        <v>110</v>
      </c>
      <c r="F314" s="12">
        <f t="shared" si="63"/>
        <v>10300</v>
      </c>
      <c r="H314" s="21"/>
    </row>
    <row r="315" spans="1:12">
      <c r="B315" s="15">
        <v>2014</v>
      </c>
      <c r="C315" s="12">
        <f t="shared" si="60"/>
        <v>11720</v>
      </c>
      <c r="D315" s="12">
        <f t="shared" si="61"/>
        <v>300</v>
      </c>
      <c r="E315" s="12">
        <f t="shared" si="62"/>
        <v>130</v>
      </c>
      <c r="F315" s="12">
        <f t="shared" si="63"/>
        <v>10040</v>
      </c>
      <c r="H315" s="21"/>
    </row>
    <row r="316" spans="1:12">
      <c r="B316" s="15">
        <v>2015</v>
      </c>
      <c r="H316" s="21"/>
    </row>
    <row r="317" spans="1:12">
      <c r="H317" s="21"/>
      <c r="I317" s="16"/>
      <c r="J317" s="16"/>
      <c r="K317" s="16"/>
      <c r="L317" s="16"/>
    </row>
    <row r="318" spans="1:12">
      <c r="A318" s="14" t="s">
        <v>362</v>
      </c>
      <c r="B318" s="14" t="s">
        <v>0</v>
      </c>
      <c r="C318" s="14" t="s">
        <v>344</v>
      </c>
      <c r="D318" s="15" t="s">
        <v>345</v>
      </c>
      <c r="E318" s="14">
        <v>24</v>
      </c>
      <c r="F318" s="14">
        <v>75</v>
      </c>
      <c r="G318" s="14"/>
      <c r="H318" s="21"/>
      <c r="I318" s="20"/>
      <c r="J318" s="20"/>
      <c r="K318" s="20"/>
      <c r="L318" s="20"/>
    </row>
    <row r="319" spans="1:12">
      <c r="B319" s="15">
        <v>2010</v>
      </c>
      <c r="C319" s="17">
        <f>H21</f>
        <v>3330360</v>
      </c>
      <c r="D319" s="12">
        <f>H29</f>
        <v>2316960</v>
      </c>
      <c r="E319" s="12">
        <f>H37</f>
        <v>447550</v>
      </c>
      <c r="F319" s="12">
        <f>H45</f>
        <v>538200</v>
      </c>
      <c r="H319" s="21" t="s">
        <v>367</v>
      </c>
      <c r="I319" s="12">
        <v>21</v>
      </c>
      <c r="J319" s="12">
        <f>I319+8</f>
        <v>29</v>
      </c>
      <c r="K319" s="12">
        <f>J319+8</f>
        <v>37</v>
      </c>
      <c r="L319" s="12">
        <f>K319+8</f>
        <v>45</v>
      </c>
    </row>
    <row r="320" spans="1:12">
      <c r="B320" s="15">
        <v>2011</v>
      </c>
      <c r="C320" s="17">
        <f>H22</f>
        <v>3365750</v>
      </c>
      <c r="D320" s="12">
        <f>H30</f>
        <v>2318250</v>
      </c>
      <c r="E320" s="12">
        <f>H38</f>
        <v>460420</v>
      </c>
      <c r="F320" s="12">
        <f>H46</f>
        <v>550870</v>
      </c>
      <c r="H320" s="21"/>
    </row>
    <row r="321" spans="1:12">
      <c r="B321" s="15">
        <v>2012</v>
      </c>
      <c r="C321" s="17">
        <f>H23</f>
        <v>3396010</v>
      </c>
      <c r="D321" s="12">
        <f>H31</f>
        <v>2319520</v>
      </c>
      <c r="E321" s="12">
        <f>H39</f>
        <v>472120</v>
      </c>
      <c r="F321" s="12">
        <f>H47</f>
        <v>561860</v>
      </c>
      <c r="H321" s="21"/>
    </row>
    <row r="322" spans="1:12">
      <c r="B322" s="15">
        <v>2013</v>
      </c>
      <c r="C322" s="17">
        <f>H24</f>
        <v>3420020</v>
      </c>
      <c r="D322" s="12">
        <f>H32</f>
        <v>2316210</v>
      </c>
      <c r="E322" s="12">
        <f>H40</f>
        <v>478530</v>
      </c>
      <c r="F322" s="12">
        <f>H48</f>
        <v>576160</v>
      </c>
      <c r="H322" s="21"/>
    </row>
    <row r="323" spans="1:12">
      <c r="B323" s="15">
        <v>2014</v>
      </c>
      <c r="C323" s="17">
        <f>H25</f>
        <v>3448690</v>
      </c>
      <c r="D323" s="12">
        <f>H33</f>
        <v>2311820</v>
      </c>
      <c r="E323" s="12">
        <f>H41</f>
        <v>478340</v>
      </c>
      <c r="F323" s="12">
        <f>H49</f>
        <v>591030</v>
      </c>
      <c r="H323" s="21"/>
    </row>
    <row r="324" spans="1:12">
      <c r="B324" s="15">
        <v>2015</v>
      </c>
      <c r="C324" s="17"/>
      <c r="H324" s="21"/>
    </row>
    <row r="325" spans="1:12">
      <c r="H325" s="21"/>
    </row>
    <row r="326" spans="1:12">
      <c r="A326" s="14" t="s">
        <v>363</v>
      </c>
      <c r="B326" s="14" t="s">
        <v>0</v>
      </c>
      <c r="C326" s="14" t="s">
        <v>344</v>
      </c>
      <c r="D326" s="15" t="s">
        <v>345</v>
      </c>
      <c r="E326" s="14">
        <v>24</v>
      </c>
      <c r="F326" s="14">
        <v>75</v>
      </c>
      <c r="G326" s="14"/>
      <c r="H326" s="21"/>
      <c r="I326" s="14"/>
      <c r="J326" s="14"/>
      <c r="K326" s="14"/>
      <c r="L326" s="14"/>
    </row>
    <row r="327" spans="1:12">
      <c r="B327" s="15">
        <v>2010</v>
      </c>
      <c r="C327" s="12">
        <f>H61</f>
        <v>1727550</v>
      </c>
      <c r="D327" s="12">
        <f>H69</f>
        <v>1158880</v>
      </c>
      <c r="E327" s="12">
        <f>H77</f>
        <v>222090</v>
      </c>
      <c r="F327" s="12">
        <f>H85</f>
        <v>207610</v>
      </c>
      <c r="H327" s="21"/>
      <c r="I327" s="12">
        <v>61</v>
      </c>
      <c r="J327" s="12">
        <f>I327+8</f>
        <v>69</v>
      </c>
      <c r="K327" s="12">
        <f>J327+8</f>
        <v>77</v>
      </c>
      <c r="L327" s="12">
        <f>K327+8</f>
        <v>85</v>
      </c>
    </row>
    <row r="328" spans="1:12">
      <c r="B328" s="15">
        <v>2011</v>
      </c>
      <c r="C328" s="12">
        <f>H62</f>
        <v>1747380</v>
      </c>
      <c r="D328" s="12">
        <f>H70</f>
        <v>1159400</v>
      </c>
      <c r="E328" s="12">
        <f>H78</f>
        <v>228810</v>
      </c>
      <c r="F328" s="12">
        <f>H86</f>
        <v>214280</v>
      </c>
      <c r="H328" s="21"/>
    </row>
    <row r="329" spans="1:12">
      <c r="B329" s="15">
        <v>2012</v>
      </c>
      <c r="C329" s="12">
        <f>H63</f>
        <v>1763570</v>
      </c>
      <c r="D329" s="12">
        <f>H71</f>
        <v>1160050</v>
      </c>
      <c r="E329" s="12">
        <f>H79</f>
        <v>234900</v>
      </c>
      <c r="F329" s="12">
        <f>H87</f>
        <v>220340</v>
      </c>
      <c r="H329" s="21"/>
    </row>
    <row r="330" spans="1:12">
      <c r="B330" s="15">
        <v>2013</v>
      </c>
      <c r="C330" s="12">
        <f>H64</f>
        <v>1776600</v>
      </c>
      <c r="D330" s="12">
        <f>H72</f>
        <v>1158440</v>
      </c>
      <c r="E330" s="12">
        <f>H80</f>
        <v>238350</v>
      </c>
      <c r="F330" s="12">
        <f>H88</f>
        <v>228350</v>
      </c>
      <c r="H330" s="21"/>
    </row>
    <row r="331" spans="1:12">
      <c r="B331" s="15">
        <v>2014</v>
      </c>
      <c r="C331" s="12">
        <f>H65</f>
        <v>1792600</v>
      </c>
      <c r="D331" s="12">
        <f>H73</f>
        <v>1156210</v>
      </c>
      <c r="E331" s="12">
        <f>H81</f>
        <v>238280</v>
      </c>
      <c r="F331" s="12">
        <f>H89</f>
        <v>236220</v>
      </c>
      <c r="H331" s="21"/>
    </row>
    <row r="332" spans="1:12">
      <c r="B332" s="15">
        <v>2015</v>
      </c>
      <c r="H332" s="21"/>
    </row>
    <row r="333" spans="1:12">
      <c r="H333" s="21"/>
    </row>
    <row r="334" spans="1:12">
      <c r="A334" s="14" t="s">
        <v>364</v>
      </c>
      <c r="B334" s="14" t="s">
        <v>0</v>
      </c>
      <c r="C334" s="14" t="s">
        <v>344</v>
      </c>
      <c r="D334" s="15" t="s">
        <v>345</v>
      </c>
      <c r="E334" s="14">
        <v>24</v>
      </c>
      <c r="F334" s="14">
        <v>75</v>
      </c>
      <c r="G334" s="14"/>
      <c r="H334" s="21"/>
    </row>
    <row r="335" spans="1:12">
      <c r="B335" s="15">
        <v>2010</v>
      </c>
      <c r="C335" s="12">
        <f>H93</f>
        <v>1602820</v>
      </c>
      <c r="D335" s="12">
        <f>H101</f>
        <v>1158080</v>
      </c>
      <c r="E335" s="12">
        <f>H109</f>
        <v>225460</v>
      </c>
      <c r="F335" s="12">
        <f>H117</f>
        <v>330590</v>
      </c>
      <c r="H335" s="21"/>
      <c r="I335" s="12">
        <f>L327+8</f>
        <v>93</v>
      </c>
      <c r="J335" s="12">
        <f>I335+8</f>
        <v>101</v>
      </c>
      <c r="K335" s="12">
        <f>J335+8</f>
        <v>109</v>
      </c>
      <c r="L335" s="12">
        <f>K335+8</f>
        <v>117</v>
      </c>
    </row>
    <row r="336" spans="1:12">
      <c r="B336" s="15">
        <v>2011</v>
      </c>
      <c r="C336" s="12">
        <f t="shared" ref="C336:C339" si="64">H94</f>
        <v>1618370</v>
      </c>
      <c r="D336" s="12">
        <f t="shared" ref="D336:D339" si="65">H102</f>
        <v>1158850</v>
      </c>
      <c r="E336" s="12">
        <f t="shared" ref="E336:E339" si="66">H110</f>
        <v>231610</v>
      </c>
      <c r="F336" s="12">
        <f t="shared" ref="F336:F339" si="67">H118</f>
        <v>336590</v>
      </c>
      <c r="H336" s="21"/>
    </row>
    <row r="337" spans="1:12">
      <c r="B337" s="15">
        <v>2012</v>
      </c>
      <c r="C337" s="12">
        <f t="shared" si="64"/>
        <v>1632440</v>
      </c>
      <c r="D337" s="12">
        <f t="shared" si="65"/>
        <v>1159480</v>
      </c>
      <c r="E337" s="12">
        <f t="shared" si="66"/>
        <v>237220</v>
      </c>
      <c r="F337" s="12">
        <f t="shared" si="67"/>
        <v>341530</v>
      </c>
      <c r="H337" s="21"/>
    </row>
    <row r="338" spans="1:12">
      <c r="B338" s="15">
        <v>2013</v>
      </c>
      <c r="C338" s="12">
        <f t="shared" si="64"/>
        <v>1643420</v>
      </c>
      <c r="D338" s="12">
        <f t="shared" si="65"/>
        <v>1157770</v>
      </c>
      <c r="E338" s="12">
        <f t="shared" si="66"/>
        <v>240180</v>
      </c>
      <c r="F338" s="12">
        <f t="shared" si="67"/>
        <v>347810</v>
      </c>
      <c r="H338" s="21"/>
    </row>
    <row r="339" spans="1:12">
      <c r="B339" s="15">
        <v>2014</v>
      </c>
      <c r="C339" s="12">
        <f t="shared" si="64"/>
        <v>1656080</v>
      </c>
      <c r="D339" s="12">
        <f t="shared" si="65"/>
        <v>1155620</v>
      </c>
      <c r="E339" s="12">
        <f t="shared" si="66"/>
        <v>240060</v>
      </c>
      <c r="F339" s="12">
        <f t="shared" si="67"/>
        <v>354810</v>
      </c>
      <c r="H339" s="21"/>
    </row>
    <row r="340" spans="1:12">
      <c r="B340" s="15">
        <v>2015</v>
      </c>
      <c r="H340" s="21"/>
    </row>
    <row r="341" spans="1:12">
      <c r="H341" s="21"/>
    </row>
    <row r="342" spans="1:12">
      <c r="A342" s="14" t="s">
        <v>365</v>
      </c>
      <c r="B342" s="14" t="s">
        <v>0</v>
      </c>
      <c r="C342" s="14" t="s">
        <v>344</v>
      </c>
      <c r="D342" s="15" t="s">
        <v>345</v>
      </c>
      <c r="E342" s="14">
        <v>24</v>
      </c>
      <c r="F342" s="14">
        <v>75</v>
      </c>
      <c r="G342" s="14"/>
      <c r="H342" s="21"/>
    </row>
    <row r="343" spans="1:12">
      <c r="B343" s="15">
        <v>2010</v>
      </c>
      <c r="C343" s="12">
        <f>H125</f>
        <v>124730</v>
      </c>
      <c r="D343" s="12">
        <f>H133</f>
        <v>800</v>
      </c>
      <c r="E343" s="12">
        <f>H141</f>
        <v>3370</v>
      </c>
      <c r="F343" s="12">
        <f>H149</f>
        <v>122980</v>
      </c>
      <c r="H343" s="21"/>
      <c r="I343" s="12">
        <f>L335+8</f>
        <v>125</v>
      </c>
      <c r="J343" s="12">
        <f>I343+8</f>
        <v>133</v>
      </c>
      <c r="K343" s="12">
        <f>J343+8</f>
        <v>141</v>
      </c>
      <c r="L343" s="12">
        <f>K343+8</f>
        <v>149</v>
      </c>
    </row>
    <row r="344" spans="1:12">
      <c r="B344" s="15">
        <v>2011</v>
      </c>
      <c r="C344" s="12">
        <f t="shared" ref="C344:C347" si="68">H126</f>
        <v>129010</v>
      </c>
      <c r="D344" s="12">
        <f t="shared" ref="D344:D347" si="69">H134</f>
        <v>550</v>
      </c>
      <c r="E344" s="12">
        <f t="shared" ref="E344:E347" si="70">H142</f>
        <v>2800</v>
      </c>
      <c r="F344" s="12">
        <f t="shared" ref="F344:F347" si="71">H150</f>
        <v>122310</v>
      </c>
      <c r="H344" s="21"/>
    </row>
    <row r="345" spans="1:12">
      <c r="B345" s="15">
        <v>2012</v>
      </c>
      <c r="C345" s="12">
        <f t="shared" si="68"/>
        <v>131130</v>
      </c>
      <c r="D345" s="12">
        <f t="shared" si="69"/>
        <v>570</v>
      </c>
      <c r="E345" s="12">
        <f t="shared" si="70"/>
        <v>2320</v>
      </c>
      <c r="F345" s="12">
        <f t="shared" si="71"/>
        <v>121190</v>
      </c>
      <c r="H345" s="21"/>
    </row>
    <row r="346" spans="1:12">
      <c r="B346" s="15">
        <v>2013</v>
      </c>
      <c r="C346" s="12">
        <f t="shared" si="68"/>
        <v>133180</v>
      </c>
      <c r="D346" s="12">
        <f t="shared" si="69"/>
        <v>670</v>
      </c>
      <c r="E346" s="12">
        <f t="shared" si="70"/>
        <v>1830</v>
      </c>
      <c r="F346" s="12">
        <f t="shared" si="71"/>
        <v>119460</v>
      </c>
      <c r="H346" s="21"/>
    </row>
    <row r="347" spans="1:12">
      <c r="B347" s="15">
        <v>2014</v>
      </c>
      <c r="C347" s="12">
        <f t="shared" si="68"/>
        <v>136520</v>
      </c>
      <c r="D347" s="12">
        <f t="shared" si="69"/>
        <v>590</v>
      </c>
      <c r="E347" s="12">
        <f t="shared" si="70"/>
        <v>1780</v>
      </c>
      <c r="F347" s="12">
        <f t="shared" si="71"/>
        <v>118590</v>
      </c>
      <c r="H347" s="21"/>
    </row>
    <row r="348" spans="1:12">
      <c r="B348" s="15">
        <v>2015</v>
      </c>
      <c r="H348" s="21"/>
    </row>
    <row r="349" spans="1:12">
      <c r="H349" s="21"/>
      <c r="I349" s="16"/>
      <c r="J349" s="16"/>
      <c r="K349" s="16"/>
      <c r="L349" s="16"/>
    </row>
    <row r="350" spans="1:12">
      <c r="A350" s="14" t="s">
        <v>368</v>
      </c>
      <c r="B350" s="14" t="s">
        <v>0</v>
      </c>
      <c r="C350" s="14" t="s">
        <v>344</v>
      </c>
      <c r="D350" s="15" t="s">
        <v>345</v>
      </c>
      <c r="E350" s="14">
        <v>24</v>
      </c>
      <c r="F350" s="14">
        <v>75</v>
      </c>
      <c r="G350" s="14"/>
      <c r="H350" s="21"/>
      <c r="I350" s="20"/>
      <c r="J350" s="20"/>
      <c r="K350" s="20"/>
      <c r="L350" s="20"/>
    </row>
    <row r="351" spans="1:12">
      <c r="B351" s="15">
        <v>2010</v>
      </c>
      <c r="C351" s="17">
        <f>I21</f>
        <v>5479920</v>
      </c>
      <c r="D351" s="12">
        <f>I29</f>
        <v>5303640</v>
      </c>
      <c r="E351" s="12">
        <f>I37</f>
        <v>784580</v>
      </c>
      <c r="F351" s="12">
        <f>I45</f>
        <v>835720</v>
      </c>
      <c r="H351" s="21" t="s">
        <v>366</v>
      </c>
      <c r="I351" s="12">
        <v>21</v>
      </c>
      <c r="J351" s="12">
        <f>I351+8</f>
        <v>29</v>
      </c>
      <c r="K351" s="12">
        <f>J351+8</f>
        <v>37</v>
      </c>
      <c r="L351" s="12">
        <f>K351+8</f>
        <v>45</v>
      </c>
    </row>
    <row r="352" spans="1:12">
      <c r="B352" s="15">
        <v>2011</v>
      </c>
      <c r="C352" s="17">
        <f>I22</f>
        <v>5526970</v>
      </c>
      <c r="D352" s="12">
        <f>I30</f>
        <v>5343040</v>
      </c>
      <c r="E352" s="12">
        <f>I38</f>
        <v>793430</v>
      </c>
      <c r="F352" s="12">
        <f>I46</f>
        <v>856580</v>
      </c>
      <c r="H352" s="21"/>
    </row>
    <row r="353" spans="1:12">
      <c r="B353" s="15">
        <v>2012</v>
      </c>
      <c r="C353" s="17">
        <f>I23</f>
        <v>5569180</v>
      </c>
      <c r="D353" s="12">
        <f>I31</f>
        <v>5376040</v>
      </c>
      <c r="E353" s="12">
        <f>I39</f>
        <v>800070</v>
      </c>
      <c r="F353" s="12">
        <f>I47</f>
        <v>877120</v>
      </c>
      <c r="H353" s="21"/>
    </row>
    <row r="354" spans="1:12">
      <c r="B354" s="15">
        <v>2013</v>
      </c>
      <c r="C354" s="17">
        <f>I24</f>
        <v>5623700</v>
      </c>
      <c r="D354" s="12">
        <f>I32</f>
        <v>5409690</v>
      </c>
      <c r="E354" s="12">
        <f>I40</f>
        <v>805890</v>
      </c>
      <c r="F354" s="12">
        <f>I48</f>
        <v>900430</v>
      </c>
      <c r="H354" s="21"/>
    </row>
    <row r="355" spans="1:12">
      <c r="B355" s="15">
        <v>2014</v>
      </c>
      <c r="C355" s="17">
        <f>I25</f>
        <v>5681420</v>
      </c>
      <c r="D355" s="12">
        <f>I33</f>
        <v>5449970</v>
      </c>
      <c r="E355" s="12">
        <f>I41</f>
        <v>812420</v>
      </c>
      <c r="F355" s="12">
        <f>I49</f>
        <v>924400</v>
      </c>
      <c r="H355" s="21"/>
    </row>
    <row r="356" spans="1:12">
      <c r="B356" s="15">
        <v>2015</v>
      </c>
      <c r="C356" s="17"/>
      <c r="H356" s="21"/>
    </row>
    <row r="357" spans="1:12">
      <c r="H357" s="21"/>
    </row>
    <row r="358" spans="1:12">
      <c r="A358" s="14" t="s">
        <v>369</v>
      </c>
      <c r="B358" s="14" t="s">
        <v>0</v>
      </c>
      <c r="C358" s="14" t="s">
        <v>344</v>
      </c>
      <c r="D358" s="15" t="s">
        <v>345</v>
      </c>
      <c r="E358" s="14">
        <v>24</v>
      </c>
      <c r="F358" s="14">
        <v>75</v>
      </c>
      <c r="G358" s="14"/>
      <c r="H358" s="21"/>
      <c r="I358" s="14"/>
      <c r="J358" s="14"/>
      <c r="K358" s="14"/>
      <c r="L358" s="14"/>
    </row>
    <row r="359" spans="1:12">
      <c r="B359" s="15">
        <v>2010</v>
      </c>
      <c r="C359" s="12">
        <f>I61</f>
        <v>2795790</v>
      </c>
      <c r="D359" s="12">
        <f>I69</f>
        <v>2652880</v>
      </c>
      <c r="E359" s="12">
        <f>I77</f>
        <v>389630</v>
      </c>
      <c r="F359" s="12">
        <f>I85</f>
        <v>340270</v>
      </c>
      <c r="H359" s="21"/>
      <c r="I359" s="12">
        <v>61</v>
      </c>
      <c r="J359" s="12">
        <f>I359+8</f>
        <v>69</v>
      </c>
      <c r="K359" s="12">
        <f>J359+8</f>
        <v>77</v>
      </c>
      <c r="L359" s="12">
        <f>K359+8</f>
        <v>85</v>
      </c>
    </row>
    <row r="360" spans="1:12">
      <c r="B360" s="15">
        <v>2011</v>
      </c>
      <c r="C360" s="12">
        <f>I62</f>
        <v>2816590</v>
      </c>
      <c r="D360" s="12">
        <f>I70</f>
        <v>2672260</v>
      </c>
      <c r="E360" s="12">
        <f>I78</f>
        <v>393930</v>
      </c>
      <c r="F360" s="12">
        <f>I86</f>
        <v>351210</v>
      </c>
      <c r="H360" s="21"/>
    </row>
    <row r="361" spans="1:12">
      <c r="B361" s="15">
        <v>2012</v>
      </c>
      <c r="C361" s="12">
        <f>I63</f>
        <v>2835610</v>
      </c>
      <c r="D361" s="12">
        <f>I71</f>
        <v>2688940</v>
      </c>
      <c r="E361" s="12">
        <f>I79</f>
        <v>397560</v>
      </c>
      <c r="F361" s="12">
        <f>I87</f>
        <v>361970</v>
      </c>
      <c r="H361" s="21"/>
    </row>
    <row r="362" spans="1:12">
      <c r="B362" s="15">
        <v>2013</v>
      </c>
      <c r="C362" s="12">
        <f>I64</f>
        <v>2863660</v>
      </c>
      <c r="D362" s="12">
        <f>I72</f>
        <v>2705620</v>
      </c>
      <c r="E362" s="12">
        <f>I80</f>
        <v>401400</v>
      </c>
      <c r="F362" s="12">
        <f>I88</f>
        <v>373860</v>
      </c>
      <c r="H362" s="21"/>
    </row>
    <row r="363" spans="1:12">
      <c r="B363" s="15">
        <v>2014</v>
      </c>
      <c r="C363" s="12">
        <f>I65</f>
        <v>2894770</v>
      </c>
      <c r="D363" s="12">
        <f>I73</f>
        <v>2725470</v>
      </c>
      <c r="E363" s="12">
        <f>I81</f>
        <v>406260</v>
      </c>
      <c r="F363" s="12">
        <f>I89</f>
        <v>385980</v>
      </c>
      <c r="H363" s="21"/>
    </row>
    <row r="364" spans="1:12">
      <c r="B364" s="15">
        <v>2015</v>
      </c>
      <c r="H364" s="21"/>
    </row>
    <row r="365" spans="1:12">
      <c r="H365" s="21"/>
    </row>
    <row r="366" spans="1:12">
      <c r="A366" s="14" t="s">
        <v>370</v>
      </c>
      <c r="B366" s="14" t="s">
        <v>0</v>
      </c>
      <c r="C366" s="14" t="s">
        <v>344</v>
      </c>
      <c r="D366" s="15" t="s">
        <v>345</v>
      </c>
      <c r="E366" s="14">
        <v>24</v>
      </c>
      <c r="F366" s="14">
        <v>75</v>
      </c>
      <c r="G366" s="14"/>
      <c r="H366" s="21"/>
    </row>
    <row r="367" spans="1:12">
      <c r="B367" s="15">
        <v>2010</v>
      </c>
      <c r="C367" s="12">
        <f>I93</f>
        <v>2684130</v>
      </c>
      <c r="D367" s="12">
        <f>I101</f>
        <v>2650760</v>
      </c>
      <c r="E367" s="12">
        <f>I109</f>
        <v>394950</v>
      </c>
      <c r="F367" s="12">
        <f>I117</f>
        <v>495450</v>
      </c>
      <c r="H367" s="21"/>
      <c r="I367" s="12">
        <f>L359+8</f>
        <v>93</v>
      </c>
      <c r="J367" s="12">
        <f>I367+8</f>
        <v>101</v>
      </c>
      <c r="K367" s="12">
        <f>J367+8</f>
        <v>109</v>
      </c>
      <c r="L367" s="12">
        <f>K367+8</f>
        <v>117</v>
      </c>
    </row>
    <row r="368" spans="1:12">
      <c r="B368" s="15">
        <v>2011</v>
      </c>
      <c r="C368" s="12">
        <f t="shared" ref="C368:C371" si="72">I94</f>
        <v>2710380</v>
      </c>
      <c r="D368" s="12">
        <f t="shared" ref="D368:D371" si="73">I102</f>
        <v>2670780</v>
      </c>
      <c r="E368" s="12">
        <f t="shared" ref="E368:E371" si="74">I110</f>
        <v>399500</v>
      </c>
      <c r="F368" s="12">
        <f t="shared" ref="F368:F371" si="75">I118</f>
        <v>505370</v>
      </c>
      <c r="H368" s="21"/>
    </row>
    <row r="369" spans="1:12">
      <c r="B369" s="15">
        <v>2012</v>
      </c>
      <c r="C369" s="12">
        <f t="shared" si="72"/>
        <v>2733570</v>
      </c>
      <c r="D369" s="12">
        <f t="shared" si="73"/>
        <v>2687110</v>
      </c>
      <c r="E369" s="12">
        <f t="shared" si="74"/>
        <v>402510</v>
      </c>
      <c r="F369" s="12">
        <f t="shared" si="75"/>
        <v>515150</v>
      </c>
      <c r="H369" s="21"/>
    </row>
    <row r="370" spans="1:12">
      <c r="B370" s="15">
        <v>2013</v>
      </c>
      <c r="C370" s="12">
        <f t="shared" si="72"/>
        <v>2760040</v>
      </c>
      <c r="D370" s="12">
        <f t="shared" si="73"/>
        <v>2704070</v>
      </c>
      <c r="E370" s="12">
        <f t="shared" si="74"/>
        <v>404490</v>
      </c>
      <c r="F370" s="12">
        <f t="shared" si="75"/>
        <v>526570</v>
      </c>
      <c r="H370" s="21"/>
    </row>
    <row r="371" spans="1:12">
      <c r="B371" s="15">
        <v>2014</v>
      </c>
      <c r="C371" s="12">
        <f t="shared" si="72"/>
        <v>2786650</v>
      </c>
      <c r="D371" s="12">
        <f t="shared" si="73"/>
        <v>2724510</v>
      </c>
      <c r="E371" s="12">
        <f t="shared" si="74"/>
        <v>406160</v>
      </c>
      <c r="F371" s="12">
        <f t="shared" si="75"/>
        <v>538420</v>
      </c>
      <c r="H371" s="21"/>
    </row>
    <row r="372" spans="1:12">
      <c r="B372" s="15">
        <v>2015</v>
      </c>
      <c r="H372" s="21"/>
    </row>
    <row r="373" spans="1:12">
      <c r="H373" s="21"/>
    </row>
    <row r="374" spans="1:12">
      <c r="A374" s="14" t="s">
        <v>371</v>
      </c>
      <c r="B374" s="14" t="s">
        <v>0</v>
      </c>
      <c r="C374" s="14" t="s">
        <v>344</v>
      </c>
      <c r="D374" s="15" t="s">
        <v>345</v>
      </c>
      <c r="E374" s="14">
        <v>24</v>
      </c>
      <c r="F374" s="14">
        <v>75</v>
      </c>
      <c r="G374" s="14"/>
      <c r="H374" s="21"/>
    </row>
    <row r="375" spans="1:12">
      <c r="B375" s="15">
        <v>2010</v>
      </c>
      <c r="C375" s="12">
        <f>I125</f>
        <v>111660</v>
      </c>
      <c r="D375" s="12">
        <f>I133</f>
        <v>2120</v>
      </c>
      <c r="E375" s="12">
        <f>I141</f>
        <v>5320</v>
      </c>
      <c r="F375" s="12">
        <f>I149</f>
        <v>155180</v>
      </c>
      <c r="H375" s="21"/>
      <c r="I375" s="12">
        <f>L367+8</f>
        <v>125</v>
      </c>
      <c r="J375" s="12">
        <f>I375+8</f>
        <v>133</v>
      </c>
      <c r="K375" s="12">
        <f>J375+8</f>
        <v>141</v>
      </c>
      <c r="L375" s="12">
        <f>K375+8</f>
        <v>149</v>
      </c>
    </row>
    <row r="376" spans="1:12">
      <c r="B376" s="15">
        <v>2011</v>
      </c>
      <c r="C376" s="12">
        <f t="shared" ref="C376:C379" si="76">I126</f>
        <v>106210</v>
      </c>
      <c r="D376" s="12">
        <f t="shared" ref="D376:D379" si="77">I134</f>
        <v>1480</v>
      </c>
      <c r="E376" s="12">
        <f t="shared" ref="E376:E379" si="78">I142</f>
        <v>5570</v>
      </c>
      <c r="F376" s="12">
        <f t="shared" ref="F376:F379" si="79">I150</f>
        <v>154160</v>
      </c>
      <c r="H376" s="21"/>
    </row>
    <row r="377" spans="1:12">
      <c r="B377" s="15">
        <v>2012</v>
      </c>
      <c r="C377" s="12">
        <f t="shared" si="76"/>
        <v>102040</v>
      </c>
      <c r="D377" s="12">
        <f t="shared" si="77"/>
        <v>1830</v>
      </c>
      <c r="E377" s="12">
        <f t="shared" si="78"/>
        <v>4950</v>
      </c>
      <c r="F377" s="12">
        <f t="shared" si="79"/>
        <v>153180</v>
      </c>
      <c r="H377" s="21"/>
    </row>
    <row r="378" spans="1:12">
      <c r="B378" s="15">
        <v>2013</v>
      </c>
      <c r="C378" s="12">
        <f t="shared" si="76"/>
        <v>103620</v>
      </c>
      <c r="D378" s="12">
        <f t="shared" si="77"/>
        <v>1550</v>
      </c>
      <c r="E378" s="12">
        <f t="shared" si="78"/>
        <v>3090</v>
      </c>
      <c r="F378" s="12">
        <f t="shared" si="79"/>
        <v>152710</v>
      </c>
      <c r="H378" s="21"/>
    </row>
    <row r="379" spans="1:12">
      <c r="B379" s="15">
        <v>2014</v>
      </c>
      <c r="C379" s="12">
        <f t="shared" si="76"/>
        <v>108120</v>
      </c>
      <c r="D379" s="12">
        <f t="shared" si="77"/>
        <v>960</v>
      </c>
      <c r="E379" s="12">
        <f t="shared" si="78"/>
        <v>100</v>
      </c>
      <c r="F379" s="12">
        <f t="shared" si="79"/>
        <v>152440</v>
      </c>
      <c r="H379" s="21"/>
    </row>
    <row r="380" spans="1:12">
      <c r="B380" s="15">
        <v>2015</v>
      </c>
      <c r="H380" s="21"/>
    </row>
    <row r="381" spans="1:12">
      <c r="H381" s="21"/>
    </row>
    <row r="382" spans="1:12">
      <c r="A382" s="14" t="s">
        <v>372</v>
      </c>
      <c r="B382" s="14" t="s">
        <v>0</v>
      </c>
      <c r="C382" s="14" t="s">
        <v>344</v>
      </c>
      <c r="D382" s="15" t="s">
        <v>345</v>
      </c>
      <c r="E382" s="14">
        <v>24</v>
      </c>
      <c r="F382" s="14">
        <v>75</v>
      </c>
      <c r="G382" s="14"/>
      <c r="H382" s="21"/>
      <c r="I382" s="20"/>
      <c r="J382" s="20"/>
      <c r="K382" s="20"/>
      <c r="L382" s="20"/>
    </row>
    <row r="383" spans="1:12">
      <c r="B383" s="15">
        <v>2010</v>
      </c>
      <c r="C383" s="17">
        <f>J21</f>
        <v>550740</v>
      </c>
      <c r="D383" s="12">
        <f>J29</f>
        <v>470400</v>
      </c>
      <c r="E383" s="12">
        <f>J37</f>
        <v>80170</v>
      </c>
      <c r="F383" s="12">
        <f>J45</f>
        <v>81780</v>
      </c>
      <c r="H383" s="21" t="s">
        <v>401</v>
      </c>
      <c r="I383" s="12">
        <v>21</v>
      </c>
      <c r="J383" s="12">
        <f>I383+8</f>
        <v>29</v>
      </c>
      <c r="K383" s="12">
        <f>J383+8</f>
        <v>37</v>
      </c>
      <c r="L383" s="12">
        <f>K383+8</f>
        <v>45</v>
      </c>
    </row>
    <row r="384" spans="1:12">
      <c r="B384" s="15">
        <v>2011</v>
      </c>
      <c r="C384" s="17">
        <f>J22</f>
        <v>559000</v>
      </c>
      <c r="D384" s="12">
        <f>J30</f>
        <v>475680</v>
      </c>
      <c r="E384" s="12">
        <f>J38</f>
        <v>82370</v>
      </c>
      <c r="F384" s="12">
        <f>J46</f>
        <v>82000</v>
      </c>
      <c r="H384" s="21"/>
    </row>
    <row r="385" spans="1:12">
      <c r="B385" s="15">
        <v>2012</v>
      </c>
      <c r="C385" s="17">
        <f>J23</f>
        <v>564890</v>
      </c>
      <c r="D385" s="12">
        <f>J31</f>
        <v>480250</v>
      </c>
      <c r="E385" s="12">
        <f>J39</f>
        <v>83300</v>
      </c>
      <c r="F385" s="12">
        <f>J47</f>
        <v>82510</v>
      </c>
      <c r="H385" s="21"/>
    </row>
    <row r="386" spans="1:12">
      <c r="B386" s="15">
        <v>2013</v>
      </c>
      <c r="C386" s="17">
        <f>J24</f>
        <v>571780</v>
      </c>
      <c r="D386" s="12">
        <f>J32</f>
        <v>484480</v>
      </c>
      <c r="E386" s="12">
        <f>J40</f>
        <v>84400</v>
      </c>
      <c r="F386" s="12">
        <f>J48</f>
        <v>83260</v>
      </c>
      <c r="H386" s="21"/>
    </row>
    <row r="387" spans="1:12">
      <c r="B387" s="15">
        <v>2014</v>
      </c>
      <c r="C387" s="17">
        <f>J25</f>
        <v>578420</v>
      </c>
      <c r="D387" s="12">
        <f>J33</f>
        <v>489190</v>
      </c>
      <c r="E387" s="12">
        <f>J41</f>
        <v>84900</v>
      </c>
      <c r="F387" s="12">
        <f>J49</f>
        <v>83540</v>
      </c>
      <c r="H387" s="21"/>
    </row>
    <row r="388" spans="1:12">
      <c r="B388" s="15">
        <v>2015</v>
      </c>
      <c r="C388" s="17"/>
      <c r="H388" s="21"/>
    </row>
    <row r="389" spans="1:12">
      <c r="H389" s="21"/>
    </row>
    <row r="390" spans="1:12">
      <c r="A390" s="14" t="s">
        <v>373</v>
      </c>
      <c r="B390" s="14" t="s">
        <v>0</v>
      </c>
      <c r="C390" s="14" t="s">
        <v>344</v>
      </c>
      <c r="D390" s="15" t="s">
        <v>345</v>
      </c>
      <c r="E390" s="14">
        <v>24</v>
      </c>
      <c r="F390" s="14">
        <v>75</v>
      </c>
      <c r="G390" s="14"/>
      <c r="H390" s="21"/>
      <c r="I390" s="14"/>
      <c r="J390" s="14"/>
      <c r="K390" s="14"/>
      <c r="L390" s="14"/>
    </row>
    <row r="391" spans="1:12">
      <c r="B391" s="15">
        <v>2010</v>
      </c>
      <c r="C391" s="12">
        <f>J61</f>
        <v>284940</v>
      </c>
      <c r="D391" s="12">
        <f>J69</f>
        <v>235110</v>
      </c>
      <c r="E391" s="12">
        <f>J77</f>
        <v>39870</v>
      </c>
      <c r="F391" s="12">
        <f>J85</f>
        <v>32140</v>
      </c>
      <c r="H391" s="21"/>
      <c r="I391" s="12">
        <v>61</v>
      </c>
      <c r="J391" s="12">
        <f>I391+8</f>
        <v>69</v>
      </c>
      <c r="K391" s="12">
        <f>J391+8</f>
        <v>77</v>
      </c>
      <c r="L391" s="12">
        <f>K391+8</f>
        <v>85</v>
      </c>
    </row>
    <row r="392" spans="1:12">
      <c r="B392" s="15">
        <v>2011</v>
      </c>
      <c r="C392" s="12">
        <f>J62</f>
        <v>289430</v>
      </c>
      <c r="D392" s="12">
        <f>J70</f>
        <v>237760</v>
      </c>
      <c r="E392" s="12">
        <f>J78</f>
        <v>41050</v>
      </c>
      <c r="F392" s="12">
        <f>J86</f>
        <v>32460</v>
      </c>
      <c r="H392" s="21"/>
    </row>
    <row r="393" spans="1:12">
      <c r="B393" s="15">
        <v>2012</v>
      </c>
      <c r="C393" s="12">
        <f>J63</f>
        <v>292370</v>
      </c>
      <c r="D393" s="12">
        <f>J71</f>
        <v>240010</v>
      </c>
      <c r="E393" s="12">
        <f>J79</f>
        <v>41510</v>
      </c>
      <c r="F393" s="12">
        <f>J87</f>
        <v>32880</v>
      </c>
      <c r="H393" s="21"/>
    </row>
    <row r="394" spans="1:12">
      <c r="B394" s="15">
        <v>2013</v>
      </c>
      <c r="C394" s="12">
        <f>J64</f>
        <v>295990</v>
      </c>
      <c r="D394" s="12">
        <f>J72</f>
        <v>242150</v>
      </c>
      <c r="E394" s="12">
        <f>J80</f>
        <v>42240</v>
      </c>
      <c r="F394" s="12">
        <f>J88</f>
        <v>33480</v>
      </c>
      <c r="H394" s="21"/>
    </row>
    <row r="395" spans="1:12">
      <c r="B395" s="15">
        <v>2014</v>
      </c>
      <c r="C395" s="12">
        <f>J65</f>
        <v>299650</v>
      </c>
      <c r="D395" s="12">
        <f>J73</f>
        <v>244520</v>
      </c>
      <c r="E395" s="12">
        <f>J81</f>
        <v>42580</v>
      </c>
      <c r="F395" s="12">
        <f>J89</f>
        <v>33750</v>
      </c>
      <c r="H395" s="21"/>
    </row>
    <row r="396" spans="1:12">
      <c r="B396" s="15">
        <v>2015</v>
      </c>
      <c r="H396" s="21"/>
    </row>
    <row r="397" spans="1:12">
      <c r="H397" s="21"/>
    </row>
    <row r="398" spans="1:12">
      <c r="A398" s="14" t="s">
        <v>374</v>
      </c>
      <c r="B398" s="14" t="s">
        <v>0</v>
      </c>
      <c r="C398" s="14" t="s">
        <v>344</v>
      </c>
      <c r="D398" s="15" t="s">
        <v>345</v>
      </c>
      <c r="E398" s="14">
        <v>24</v>
      </c>
      <c r="F398" s="14">
        <v>75</v>
      </c>
      <c r="G398" s="14"/>
      <c r="H398" s="21"/>
    </row>
    <row r="399" spans="1:12">
      <c r="B399" s="15">
        <v>2010</v>
      </c>
      <c r="C399" s="12">
        <f>J93</f>
        <v>265800</v>
      </c>
      <c r="D399" s="12">
        <f>J101</f>
        <v>235300</v>
      </c>
      <c r="E399" s="12">
        <f>J109</f>
        <v>40310</v>
      </c>
      <c r="F399" s="12">
        <f>J117</f>
        <v>49640</v>
      </c>
      <c r="H399" s="21"/>
      <c r="I399" s="12">
        <f>L391+8</f>
        <v>93</v>
      </c>
      <c r="J399" s="12">
        <f>I399+8</f>
        <v>101</v>
      </c>
      <c r="K399" s="12">
        <f>J399+8</f>
        <v>109</v>
      </c>
      <c r="L399" s="12">
        <f>K399+8</f>
        <v>117</v>
      </c>
    </row>
    <row r="400" spans="1:12">
      <c r="B400" s="15">
        <v>2011</v>
      </c>
      <c r="C400" s="12">
        <f t="shared" ref="C400:C403" si="80">J94</f>
        <v>269570</v>
      </c>
      <c r="D400" s="12">
        <f t="shared" ref="D400:D403" si="81">J102</f>
        <v>237920</v>
      </c>
      <c r="E400" s="12">
        <f t="shared" ref="E400:E403" si="82">J110</f>
        <v>41310</v>
      </c>
      <c r="F400" s="12">
        <f t="shared" ref="F400:F403" si="83">J118</f>
        <v>49540</v>
      </c>
      <c r="H400" s="21"/>
    </row>
    <row r="401" spans="1:12">
      <c r="B401" s="15">
        <v>2012</v>
      </c>
      <c r="C401" s="12">
        <f t="shared" si="80"/>
        <v>272520</v>
      </c>
      <c r="D401" s="12">
        <f t="shared" si="81"/>
        <v>240250</v>
      </c>
      <c r="E401" s="12">
        <f t="shared" si="82"/>
        <v>41790</v>
      </c>
      <c r="F401" s="12">
        <f t="shared" si="83"/>
        <v>49630</v>
      </c>
      <c r="H401" s="21"/>
    </row>
    <row r="402" spans="1:12">
      <c r="B402" s="15">
        <v>2013</v>
      </c>
      <c r="C402" s="12">
        <f t="shared" si="80"/>
        <v>275790</v>
      </c>
      <c r="D402" s="12">
        <f t="shared" si="81"/>
        <v>242320</v>
      </c>
      <c r="E402" s="12">
        <f t="shared" si="82"/>
        <v>42160</v>
      </c>
      <c r="F402" s="12">
        <f t="shared" si="83"/>
        <v>49780</v>
      </c>
      <c r="H402" s="21"/>
    </row>
    <row r="403" spans="1:12">
      <c r="B403" s="15">
        <v>2014</v>
      </c>
      <c r="C403" s="12">
        <f t="shared" si="80"/>
        <v>278770</v>
      </c>
      <c r="D403" s="12">
        <f t="shared" si="81"/>
        <v>244670</v>
      </c>
      <c r="E403" s="12">
        <f t="shared" si="82"/>
        <v>42320</v>
      </c>
      <c r="F403" s="12">
        <f t="shared" si="83"/>
        <v>49790</v>
      </c>
      <c r="H403" s="21"/>
    </row>
    <row r="404" spans="1:12">
      <c r="B404" s="15">
        <v>2015</v>
      </c>
      <c r="H404" s="21"/>
    </row>
    <row r="405" spans="1:12">
      <c r="H405" s="21"/>
    </row>
    <row r="406" spans="1:12">
      <c r="A406" s="14" t="s">
        <v>375</v>
      </c>
      <c r="B406" s="14" t="s">
        <v>0</v>
      </c>
      <c r="C406" s="14" t="s">
        <v>344</v>
      </c>
      <c r="D406" s="15" t="s">
        <v>345</v>
      </c>
      <c r="E406" s="14">
        <v>24</v>
      </c>
      <c r="F406" s="14">
        <v>75</v>
      </c>
      <c r="G406" s="14"/>
      <c r="H406" s="21"/>
    </row>
    <row r="407" spans="1:12">
      <c r="B407" s="15">
        <v>2010</v>
      </c>
      <c r="C407" s="12">
        <f>J125</f>
        <v>19140</v>
      </c>
      <c r="D407" s="12">
        <f>J133</f>
        <v>190</v>
      </c>
      <c r="E407" s="12">
        <f>J141</f>
        <v>440</v>
      </c>
      <c r="F407" s="12">
        <f>J149</f>
        <v>17500</v>
      </c>
      <c r="H407" s="21"/>
      <c r="I407" s="12">
        <f>L399+8</f>
        <v>125</v>
      </c>
      <c r="J407" s="12">
        <f>I407+8</f>
        <v>133</v>
      </c>
      <c r="K407" s="12">
        <f>J407+8</f>
        <v>141</v>
      </c>
      <c r="L407" s="12">
        <f>K407+8</f>
        <v>149</v>
      </c>
    </row>
    <row r="408" spans="1:12">
      <c r="B408" s="15">
        <v>2011</v>
      </c>
      <c r="C408" s="12">
        <f t="shared" ref="C408:C411" si="84">J126</f>
        <v>19860</v>
      </c>
      <c r="D408" s="12">
        <f t="shared" ref="D408:D411" si="85">J134</f>
        <v>160</v>
      </c>
      <c r="E408" s="12">
        <f t="shared" ref="E408:E411" si="86">J142</f>
        <v>260</v>
      </c>
      <c r="F408" s="12">
        <f t="shared" ref="F408:F411" si="87">J150</f>
        <v>17080</v>
      </c>
      <c r="H408" s="21"/>
    </row>
    <row r="409" spans="1:12">
      <c r="B409" s="15">
        <v>2012</v>
      </c>
      <c r="C409" s="12">
        <f t="shared" si="84"/>
        <v>19850</v>
      </c>
      <c r="D409" s="12">
        <f t="shared" si="85"/>
        <v>240</v>
      </c>
      <c r="E409" s="12">
        <f t="shared" si="86"/>
        <v>280</v>
      </c>
      <c r="F409" s="12">
        <f t="shared" si="87"/>
        <v>16750</v>
      </c>
      <c r="H409" s="21"/>
    </row>
    <row r="410" spans="1:12">
      <c r="B410" s="15">
        <v>2013</v>
      </c>
      <c r="C410" s="12">
        <f t="shared" si="84"/>
        <v>20200</v>
      </c>
      <c r="D410" s="12">
        <f t="shared" si="85"/>
        <v>170</v>
      </c>
      <c r="E410" s="12">
        <f t="shared" si="86"/>
        <v>80</v>
      </c>
      <c r="F410" s="12">
        <f t="shared" si="87"/>
        <v>16300</v>
      </c>
      <c r="H410" s="21"/>
    </row>
    <row r="411" spans="1:12">
      <c r="B411" s="15">
        <v>2014</v>
      </c>
      <c r="C411" s="12">
        <f t="shared" si="84"/>
        <v>20880</v>
      </c>
      <c r="D411" s="12">
        <f t="shared" si="85"/>
        <v>150</v>
      </c>
      <c r="E411" s="12">
        <f t="shared" si="86"/>
        <v>260</v>
      </c>
      <c r="F411" s="12">
        <f t="shared" si="87"/>
        <v>16040</v>
      </c>
      <c r="H411" s="21"/>
    </row>
    <row r="412" spans="1:12">
      <c r="B412" s="15">
        <v>2015</v>
      </c>
      <c r="H412" s="21"/>
    </row>
    <row r="413" spans="1:12">
      <c r="H413" s="21"/>
    </row>
    <row r="414" spans="1:12">
      <c r="A414" s="14" t="s">
        <v>376</v>
      </c>
      <c r="B414" s="14" t="s">
        <v>0</v>
      </c>
      <c r="C414" s="14" t="s">
        <v>344</v>
      </c>
      <c r="D414" s="15" t="s">
        <v>345</v>
      </c>
      <c r="E414" s="14">
        <v>24</v>
      </c>
      <c r="F414" s="14">
        <v>75</v>
      </c>
      <c r="G414" s="14"/>
      <c r="H414" s="21"/>
      <c r="I414" s="20"/>
      <c r="J414" s="20"/>
      <c r="K414" s="20"/>
      <c r="L414" s="20"/>
    </row>
    <row r="415" spans="1:12">
      <c r="B415" s="15">
        <v>2010</v>
      </c>
      <c r="C415" s="17">
        <f>K21</f>
        <v>470660</v>
      </c>
      <c r="D415" s="12">
        <f>K29</f>
        <v>407900</v>
      </c>
      <c r="E415" s="12">
        <f>K37</f>
        <v>70800</v>
      </c>
      <c r="F415" s="12">
        <f>K45</f>
        <v>75890</v>
      </c>
      <c r="H415" s="21" t="s">
        <v>402</v>
      </c>
      <c r="I415" s="12">
        <v>21</v>
      </c>
      <c r="J415" s="12">
        <f>I415+8</f>
        <v>29</v>
      </c>
      <c r="K415" s="12">
        <f>J415+8</f>
        <v>37</v>
      </c>
      <c r="L415" s="12">
        <f>K415+8</f>
        <v>45</v>
      </c>
    </row>
    <row r="416" spans="1:12">
      <c r="B416" s="15">
        <v>2011</v>
      </c>
      <c r="C416" s="17">
        <f>K22</f>
        <v>482110</v>
      </c>
      <c r="D416" s="12">
        <f>K30</f>
        <v>413920</v>
      </c>
      <c r="E416" s="12">
        <f>K38</f>
        <v>73080</v>
      </c>
      <c r="F416" s="12">
        <f>K46</f>
        <v>75860</v>
      </c>
      <c r="H416" s="21"/>
    </row>
    <row r="417" spans="1:12">
      <c r="B417" s="15">
        <v>2012</v>
      </c>
      <c r="C417" s="17">
        <f>K23</f>
        <v>490370</v>
      </c>
      <c r="D417" s="12">
        <f>K31</f>
        <v>420850</v>
      </c>
      <c r="E417" s="12">
        <f>K39</f>
        <v>73540</v>
      </c>
      <c r="F417" s="12">
        <f>K47</f>
        <v>75670</v>
      </c>
      <c r="H417" s="21"/>
    </row>
    <row r="418" spans="1:12">
      <c r="B418" s="15">
        <v>2013</v>
      </c>
      <c r="C418" s="17">
        <f>K24</f>
        <v>497220</v>
      </c>
      <c r="D418" s="12">
        <f>K32</f>
        <v>426060</v>
      </c>
      <c r="E418" s="12">
        <f>K40</f>
        <v>73300</v>
      </c>
      <c r="F418" s="12">
        <f>K48</f>
        <v>75630</v>
      </c>
      <c r="H418" s="21"/>
    </row>
    <row r="419" spans="1:12">
      <c r="B419" s="15">
        <v>2014</v>
      </c>
      <c r="C419" s="17">
        <f>K25</f>
        <v>503860</v>
      </c>
      <c r="D419" s="12">
        <f>K33</f>
        <v>430690</v>
      </c>
      <c r="E419" s="12">
        <f>K41</f>
        <v>72080</v>
      </c>
      <c r="F419" s="12">
        <f>K49</f>
        <v>75660</v>
      </c>
      <c r="H419" s="21"/>
    </row>
    <row r="420" spans="1:12">
      <c r="B420" s="15">
        <v>2015</v>
      </c>
      <c r="C420" s="17"/>
      <c r="H420" s="21"/>
    </row>
    <row r="421" spans="1:12">
      <c r="H421" s="21"/>
    </row>
    <row r="422" spans="1:12">
      <c r="A422" s="14" t="s">
        <v>377</v>
      </c>
      <c r="B422" s="14" t="s">
        <v>0</v>
      </c>
      <c r="C422" s="14" t="s">
        <v>344</v>
      </c>
      <c r="D422" s="15" t="s">
        <v>345</v>
      </c>
      <c r="E422" s="14">
        <v>24</v>
      </c>
      <c r="F422" s="14">
        <v>75</v>
      </c>
      <c r="G422" s="14"/>
      <c r="H422" s="21"/>
      <c r="I422" s="14"/>
      <c r="J422" s="14"/>
      <c r="K422" s="14"/>
      <c r="L422" s="14"/>
    </row>
    <row r="423" spans="1:12">
      <c r="B423" s="15">
        <v>2010</v>
      </c>
      <c r="C423" s="12">
        <f>K61</f>
        <v>245090</v>
      </c>
      <c r="D423" s="12">
        <f>K69</f>
        <v>203850</v>
      </c>
      <c r="E423" s="12">
        <f>K77</f>
        <v>35270</v>
      </c>
      <c r="F423" s="12">
        <f>K85</f>
        <v>30770</v>
      </c>
      <c r="H423" s="21"/>
      <c r="I423" s="12">
        <v>61</v>
      </c>
      <c r="J423" s="12">
        <f>I423+8</f>
        <v>69</v>
      </c>
      <c r="K423" s="12">
        <f>J423+8</f>
        <v>77</v>
      </c>
      <c r="L423" s="12">
        <f>K423+8</f>
        <v>85</v>
      </c>
    </row>
    <row r="424" spans="1:12">
      <c r="B424" s="15">
        <v>2011</v>
      </c>
      <c r="C424" s="12">
        <f>K62</f>
        <v>252110</v>
      </c>
      <c r="D424" s="12">
        <f>K70</f>
        <v>206850</v>
      </c>
      <c r="E424" s="12">
        <f>K78</f>
        <v>36680</v>
      </c>
      <c r="F424" s="12">
        <f>K86</f>
        <v>30930</v>
      </c>
      <c r="H424" s="21"/>
    </row>
    <row r="425" spans="1:12">
      <c r="B425" s="15">
        <v>2012</v>
      </c>
      <c r="C425" s="12">
        <f>K63</f>
        <v>256190</v>
      </c>
      <c r="D425" s="12">
        <f>K71</f>
        <v>210330</v>
      </c>
      <c r="E425" s="12">
        <f>K79</f>
        <v>36910</v>
      </c>
      <c r="F425" s="12">
        <f>K87</f>
        <v>30900</v>
      </c>
      <c r="H425" s="21"/>
    </row>
    <row r="426" spans="1:12">
      <c r="B426" s="15">
        <v>2013</v>
      </c>
      <c r="C426" s="12">
        <f>K64</f>
        <v>259890</v>
      </c>
      <c r="D426" s="12">
        <f>K72</f>
        <v>212970</v>
      </c>
      <c r="E426" s="12">
        <f>K80</f>
        <v>36850</v>
      </c>
      <c r="F426" s="12">
        <f>K88</f>
        <v>31020</v>
      </c>
      <c r="H426" s="21"/>
    </row>
    <row r="427" spans="1:12">
      <c r="B427" s="15">
        <v>2014</v>
      </c>
      <c r="C427" s="12">
        <f>K65</f>
        <v>263010</v>
      </c>
      <c r="D427" s="12">
        <f>K73</f>
        <v>215270</v>
      </c>
      <c r="E427" s="12">
        <f>K81</f>
        <v>36120</v>
      </c>
      <c r="F427" s="12">
        <f>K89</f>
        <v>31180</v>
      </c>
      <c r="H427" s="21"/>
    </row>
    <row r="428" spans="1:12">
      <c r="B428" s="15">
        <v>2015</v>
      </c>
      <c r="H428" s="21"/>
    </row>
    <row r="429" spans="1:12">
      <c r="H429" s="21"/>
    </row>
    <row r="430" spans="1:12">
      <c r="A430" s="14" t="s">
        <v>378</v>
      </c>
      <c r="B430" s="14" t="s">
        <v>0</v>
      </c>
      <c r="C430" s="14" t="s">
        <v>344</v>
      </c>
      <c r="D430" s="15" t="s">
        <v>345</v>
      </c>
      <c r="E430" s="14">
        <v>24</v>
      </c>
      <c r="F430" s="14">
        <v>75</v>
      </c>
      <c r="G430" s="14"/>
      <c r="H430" s="21"/>
    </row>
    <row r="431" spans="1:12">
      <c r="B431" s="15">
        <v>2010</v>
      </c>
      <c r="C431" s="12">
        <f>K93</f>
        <v>225570</v>
      </c>
      <c r="D431" s="12">
        <f>K101</f>
        <v>204050</v>
      </c>
      <c r="E431" s="12">
        <f>K109</f>
        <v>35530</v>
      </c>
      <c r="F431" s="12">
        <f>K117</f>
        <v>45130</v>
      </c>
      <c r="H431" s="21"/>
      <c r="I431" s="12">
        <f>L423+8</f>
        <v>93</v>
      </c>
      <c r="J431" s="12">
        <f>I431+8</f>
        <v>101</v>
      </c>
      <c r="K431" s="12">
        <f>J431+8</f>
        <v>109</v>
      </c>
      <c r="L431" s="12">
        <f>K431+8</f>
        <v>117</v>
      </c>
    </row>
    <row r="432" spans="1:12">
      <c r="B432" s="15">
        <v>2011</v>
      </c>
      <c r="C432" s="12">
        <f t="shared" ref="C432:C435" si="88">K94</f>
        <v>230000</v>
      </c>
      <c r="D432" s="12">
        <f t="shared" ref="D432:D435" si="89">K102</f>
        <v>207070</v>
      </c>
      <c r="E432" s="12">
        <f t="shared" ref="E432:E435" si="90">K110</f>
        <v>36400</v>
      </c>
      <c r="F432" s="12">
        <f t="shared" ref="F432:F435" si="91">K118</f>
        <v>44920</v>
      </c>
      <c r="H432" s="21"/>
    </row>
    <row r="433" spans="1:12">
      <c r="B433" s="15">
        <v>2012</v>
      </c>
      <c r="C433" s="12">
        <f t="shared" si="88"/>
        <v>234190</v>
      </c>
      <c r="D433" s="12">
        <f t="shared" si="89"/>
        <v>210520</v>
      </c>
      <c r="E433" s="12">
        <f t="shared" si="90"/>
        <v>36630</v>
      </c>
      <c r="F433" s="12">
        <f t="shared" si="91"/>
        <v>44770</v>
      </c>
      <c r="H433" s="21"/>
    </row>
    <row r="434" spans="1:12">
      <c r="B434" s="15">
        <v>2013</v>
      </c>
      <c r="C434" s="12">
        <f t="shared" si="88"/>
        <v>237330</v>
      </c>
      <c r="D434" s="12">
        <f t="shared" si="89"/>
        <v>213090</v>
      </c>
      <c r="E434" s="12">
        <f t="shared" si="90"/>
        <v>36450</v>
      </c>
      <c r="F434" s="12">
        <f t="shared" si="91"/>
        <v>44610</v>
      </c>
      <c r="H434" s="21"/>
    </row>
    <row r="435" spans="1:12">
      <c r="B435" s="15">
        <v>2014</v>
      </c>
      <c r="C435" s="12">
        <f t="shared" si="88"/>
        <v>240850</v>
      </c>
      <c r="D435" s="12">
        <f t="shared" si="89"/>
        <v>215420</v>
      </c>
      <c r="E435" s="12">
        <f t="shared" si="90"/>
        <v>35960</v>
      </c>
      <c r="F435" s="12">
        <f t="shared" si="91"/>
        <v>44480</v>
      </c>
      <c r="H435" s="21"/>
    </row>
    <row r="436" spans="1:12">
      <c r="B436" s="15">
        <v>2015</v>
      </c>
      <c r="H436" s="21"/>
    </row>
    <row r="437" spans="1:12">
      <c r="H437" s="21"/>
    </row>
    <row r="438" spans="1:12">
      <c r="A438" s="14" t="s">
        <v>379</v>
      </c>
      <c r="B438" s="14" t="s">
        <v>0</v>
      </c>
      <c r="C438" s="14" t="s">
        <v>344</v>
      </c>
      <c r="D438" s="15" t="s">
        <v>345</v>
      </c>
      <c r="E438" s="14">
        <v>24</v>
      </c>
      <c r="F438" s="14">
        <v>75</v>
      </c>
      <c r="G438" s="14"/>
      <c r="H438" s="21"/>
    </row>
    <row r="439" spans="1:12">
      <c r="B439" s="15">
        <v>2010</v>
      </c>
      <c r="C439" s="12">
        <f>K125</f>
        <v>19520</v>
      </c>
      <c r="D439" s="12">
        <f>K133</f>
        <v>200</v>
      </c>
      <c r="E439" s="12">
        <f>K141</f>
        <v>260</v>
      </c>
      <c r="F439" s="12">
        <f>K149</f>
        <v>14360</v>
      </c>
      <c r="H439" s="21"/>
      <c r="I439" s="12">
        <f>L431+8</f>
        <v>125</v>
      </c>
      <c r="J439" s="12">
        <f>I439+8</f>
        <v>133</v>
      </c>
      <c r="K439" s="12">
        <f>J439+8</f>
        <v>141</v>
      </c>
      <c r="L439" s="12">
        <f>K439+8</f>
        <v>149</v>
      </c>
    </row>
    <row r="440" spans="1:12">
      <c r="B440" s="15">
        <v>2011</v>
      </c>
      <c r="C440" s="12">
        <f t="shared" ref="C440:C443" si="92">K126</f>
        <v>22110</v>
      </c>
      <c r="D440" s="12">
        <f t="shared" ref="D440:D443" si="93">K134</f>
        <v>220</v>
      </c>
      <c r="E440" s="12">
        <f t="shared" ref="E440:E443" si="94">K142</f>
        <v>280</v>
      </c>
      <c r="F440" s="12">
        <f t="shared" ref="F440:F443" si="95">K150</f>
        <v>13990</v>
      </c>
      <c r="H440" s="21"/>
    </row>
    <row r="441" spans="1:12">
      <c r="B441" s="15">
        <v>2012</v>
      </c>
      <c r="C441" s="12">
        <f t="shared" si="92"/>
        <v>22000</v>
      </c>
      <c r="D441" s="12">
        <f t="shared" si="93"/>
        <v>190</v>
      </c>
      <c r="E441" s="12">
        <f t="shared" si="94"/>
        <v>280</v>
      </c>
      <c r="F441" s="12">
        <f t="shared" si="95"/>
        <v>13870</v>
      </c>
      <c r="H441" s="21"/>
    </row>
    <row r="442" spans="1:12">
      <c r="B442" s="15">
        <v>2013</v>
      </c>
      <c r="C442" s="12">
        <f t="shared" si="92"/>
        <v>22560</v>
      </c>
      <c r="D442" s="12">
        <f t="shared" si="93"/>
        <v>120</v>
      </c>
      <c r="E442" s="12">
        <f t="shared" si="94"/>
        <v>400</v>
      </c>
      <c r="F442" s="12">
        <f t="shared" si="95"/>
        <v>13590</v>
      </c>
      <c r="H442" s="21"/>
    </row>
    <row r="443" spans="1:12">
      <c r="B443" s="15">
        <v>2014</v>
      </c>
      <c r="C443" s="12">
        <f t="shared" si="92"/>
        <v>22160</v>
      </c>
      <c r="D443" s="12">
        <f t="shared" si="93"/>
        <v>150</v>
      </c>
      <c r="E443" s="12">
        <f t="shared" si="94"/>
        <v>160</v>
      </c>
      <c r="F443" s="12">
        <f t="shared" si="95"/>
        <v>13300</v>
      </c>
      <c r="H443" s="21"/>
    </row>
    <row r="444" spans="1:12">
      <c r="B444" s="15">
        <v>2015</v>
      </c>
      <c r="H444" s="21"/>
    </row>
    <row r="445" spans="1:12">
      <c r="H445" s="21"/>
    </row>
    <row r="446" spans="1:12">
      <c r="A446" s="14" t="s">
        <v>380</v>
      </c>
      <c r="B446" s="14" t="s">
        <v>0</v>
      </c>
      <c r="C446" s="14" t="s">
        <v>344</v>
      </c>
      <c r="D446" s="15" t="s">
        <v>345</v>
      </c>
      <c r="E446" s="14">
        <v>24</v>
      </c>
      <c r="F446" s="14">
        <v>75</v>
      </c>
      <c r="G446" s="14"/>
      <c r="H446" s="21"/>
      <c r="I446" s="20"/>
      <c r="J446" s="20"/>
      <c r="K446" s="20"/>
      <c r="L446" s="20"/>
    </row>
    <row r="447" spans="1:12">
      <c r="B447" s="15">
        <v>2010</v>
      </c>
      <c r="C447" s="17">
        <f>L21</f>
        <v>1598410</v>
      </c>
      <c r="D447" s="17">
        <f>L29</f>
        <v>1474280</v>
      </c>
      <c r="E447" s="17">
        <f>L37</f>
        <v>238430</v>
      </c>
      <c r="F447" s="17">
        <f>L45</f>
        <v>177590</v>
      </c>
      <c r="H447" s="21" t="s">
        <v>403</v>
      </c>
      <c r="I447" s="12">
        <v>21</v>
      </c>
      <c r="J447" s="12">
        <f>I447+8</f>
        <v>29</v>
      </c>
      <c r="K447" s="12">
        <f>J447+8</f>
        <v>37</v>
      </c>
      <c r="L447" s="12">
        <f>K447+8</f>
        <v>45</v>
      </c>
    </row>
    <row r="448" spans="1:12">
      <c r="B448" s="15">
        <v>2011</v>
      </c>
      <c r="C448" s="17">
        <f>L22</f>
        <v>1650840</v>
      </c>
      <c r="D448" s="17">
        <f>L30</f>
        <v>1506390</v>
      </c>
      <c r="E448" s="17">
        <f>L38</f>
        <v>243780</v>
      </c>
      <c r="F448" s="17">
        <f>L46</f>
        <v>182280</v>
      </c>
      <c r="H448" s="21"/>
    </row>
    <row r="449" spans="1:12">
      <c r="B449" s="15">
        <v>2012</v>
      </c>
      <c r="C449" s="17">
        <f>L23</f>
        <v>1717230</v>
      </c>
      <c r="D449" s="17">
        <f>L31</f>
        <v>1549690</v>
      </c>
      <c r="E449" s="17">
        <f>L39</f>
        <v>250680</v>
      </c>
      <c r="F449" s="17">
        <f>L47</f>
        <v>186820</v>
      </c>
      <c r="H449" s="21"/>
    </row>
    <row r="450" spans="1:12">
      <c r="B450" s="15">
        <v>2013</v>
      </c>
      <c r="C450" s="17">
        <f>L24</f>
        <v>1779830</v>
      </c>
      <c r="D450" s="17">
        <f>L32</f>
        <v>1597430</v>
      </c>
      <c r="E450" s="17">
        <f>L40</f>
        <v>256790</v>
      </c>
      <c r="F450" s="17">
        <f>L48</f>
        <v>191730</v>
      </c>
      <c r="H450" s="21"/>
    </row>
    <row r="451" spans="1:12">
      <c r="B451" s="15">
        <v>2014</v>
      </c>
      <c r="C451" s="17">
        <f>L25</f>
        <v>1822880</v>
      </c>
      <c r="D451" s="17">
        <f>L33</f>
        <v>1637860</v>
      </c>
      <c r="E451" s="17">
        <f>L41</f>
        <v>258290</v>
      </c>
      <c r="F451" s="17">
        <f>L49</f>
        <v>196850</v>
      </c>
      <c r="H451" s="21"/>
    </row>
    <row r="452" spans="1:12">
      <c r="B452" s="15">
        <v>2015</v>
      </c>
      <c r="C452" s="17"/>
      <c r="D452" s="17"/>
      <c r="E452" s="17"/>
      <c r="F452" s="17"/>
      <c r="H452" s="21"/>
    </row>
    <row r="453" spans="1:12">
      <c r="B453" s="14"/>
      <c r="C453" s="17"/>
      <c r="D453" s="17"/>
      <c r="E453" s="17"/>
      <c r="F453" s="17"/>
      <c r="H453" s="21"/>
    </row>
    <row r="454" spans="1:12">
      <c r="A454" s="14" t="s">
        <v>381</v>
      </c>
      <c r="B454" s="14" t="s">
        <v>0</v>
      </c>
      <c r="C454" s="14" t="s">
        <v>344</v>
      </c>
      <c r="D454" s="15" t="s">
        <v>345</v>
      </c>
      <c r="E454" s="14">
        <v>24</v>
      </c>
      <c r="F454" s="14">
        <v>75</v>
      </c>
      <c r="G454" s="14"/>
      <c r="H454" s="21"/>
      <c r="I454" s="14"/>
      <c r="J454" s="14"/>
      <c r="K454" s="14"/>
      <c r="L454" s="14"/>
    </row>
    <row r="455" spans="1:12">
      <c r="B455" s="15">
        <v>2010</v>
      </c>
      <c r="C455" s="17">
        <f>L61</f>
        <v>836860</v>
      </c>
      <c r="D455" s="17">
        <f>L69</f>
        <v>737400</v>
      </c>
      <c r="E455" s="17">
        <f>L77</f>
        <v>118030</v>
      </c>
      <c r="F455" s="17">
        <f>L85</f>
        <v>74020</v>
      </c>
      <c r="H455" s="21"/>
      <c r="I455" s="12">
        <v>61</v>
      </c>
      <c r="J455" s="12">
        <f>I455+8</f>
        <v>69</v>
      </c>
      <c r="K455" s="12">
        <f>J455+8</f>
        <v>77</v>
      </c>
      <c r="L455" s="12">
        <f>K455+8</f>
        <v>85</v>
      </c>
    </row>
    <row r="456" spans="1:12">
      <c r="B456" s="15">
        <v>2011</v>
      </c>
      <c r="C456" s="17">
        <f>L62</f>
        <v>866500</v>
      </c>
      <c r="D456" s="17">
        <f>L70</f>
        <v>753250</v>
      </c>
      <c r="E456" s="17">
        <f>L78</f>
        <v>121460</v>
      </c>
      <c r="F456" s="17">
        <f>L86</f>
        <v>76520</v>
      </c>
      <c r="H456" s="21"/>
    </row>
    <row r="457" spans="1:12">
      <c r="B457" s="15">
        <v>2012</v>
      </c>
      <c r="C457" s="17">
        <f>L63</f>
        <v>903600</v>
      </c>
      <c r="D457" s="17">
        <f>L71</f>
        <v>775010</v>
      </c>
      <c r="E457" s="17">
        <f>L79</f>
        <v>125430</v>
      </c>
      <c r="F457" s="17">
        <f>L87</f>
        <v>78850</v>
      </c>
      <c r="H457" s="21"/>
    </row>
    <row r="458" spans="1:12">
      <c r="B458" s="15">
        <v>2013</v>
      </c>
      <c r="C458" s="17">
        <f>L64</f>
        <v>937970</v>
      </c>
      <c r="D458" s="17">
        <f>L72</f>
        <v>798860</v>
      </c>
      <c r="E458" s="17">
        <f>L80</f>
        <v>129500</v>
      </c>
      <c r="F458" s="17">
        <f>L88</f>
        <v>81420</v>
      </c>
      <c r="H458" s="21"/>
    </row>
    <row r="459" spans="1:12">
      <c r="B459" s="15">
        <v>2014</v>
      </c>
      <c r="C459" s="17">
        <f>L65</f>
        <v>960740</v>
      </c>
      <c r="D459" s="17">
        <f>L73</f>
        <v>819040</v>
      </c>
      <c r="E459" s="17">
        <f>L81</f>
        <v>130690</v>
      </c>
      <c r="F459" s="17">
        <f>L89</f>
        <v>84080</v>
      </c>
      <c r="H459" s="21"/>
    </row>
    <row r="460" spans="1:12">
      <c r="B460" s="15">
        <v>2015</v>
      </c>
      <c r="C460" s="17"/>
      <c r="D460" s="17"/>
      <c r="E460" s="17"/>
      <c r="F460" s="17"/>
      <c r="H460" s="21"/>
    </row>
    <row r="461" spans="1:12">
      <c r="B461" s="14"/>
      <c r="C461" s="14"/>
      <c r="D461" s="14"/>
      <c r="E461" s="14"/>
      <c r="F461" s="14"/>
      <c r="H461" s="21"/>
    </row>
    <row r="462" spans="1:12">
      <c r="A462" s="14" t="s">
        <v>382</v>
      </c>
      <c r="B462" s="14" t="s">
        <v>0</v>
      </c>
      <c r="C462" s="14" t="s">
        <v>344</v>
      </c>
      <c r="D462" s="15" t="s">
        <v>345</v>
      </c>
      <c r="E462" s="14">
        <v>24</v>
      </c>
      <c r="F462" s="14">
        <v>75</v>
      </c>
      <c r="G462" s="14"/>
      <c r="H462" s="21"/>
    </row>
    <row r="463" spans="1:12">
      <c r="B463" s="15">
        <v>2010</v>
      </c>
      <c r="C463" s="17">
        <f>L93</f>
        <v>761550</v>
      </c>
      <c r="D463" s="17">
        <f>L101</f>
        <v>736880</v>
      </c>
      <c r="E463" s="17">
        <f>L109</f>
        <v>120390</v>
      </c>
      <c r="F463" s="17">
        <f>L117</f>
        <v>103570</v>
      </c>
      <c r="H463" s="21"/>
      <c r="I463" s="12">
        <f>L455+8</f>
        <v>93</v>
      </c>
      <c r="J463" s="12">
        <f>I463+8</f>
        <v>101</v>
      </c>
      <c r="K463" s="12">
        <f>J463+8</f>
        <v>109</v>
      </c>
      <c r="L463" s="12">
        <f>K463+8</f>
        <v>117</v>
      </c>
    </row>
    <row r="464" spans="1:12">
      <c r="B464" s="15">
        <v>2011</v>
      </c>
      <c r="C464" s="17">
        <f t="shared" ref="C464:C467" si="96">L94</f>
        <v>784330</v>
      </c>
      <c r="D464" s="17">
        <f t="shared" ref="D464:D467" si="97">L102</f>
        <v>753140</v>
      </c>
      <c r="E464" s="17">
        <f t="shared" ref="E464:E467" si="98">L110</f>
        <v>122330</v>
      </c>
      <c r="F464" s="17">
        <f t="shared" ref="F464:F467" si="99">L118</f>
        <v>105750</v>
      </c>
      <c r="H464" s="21"/>
    </row>
    <row r="465" spans="1:12">
      <c r="B465" s="15">
        <v>2012</v>
      </c>
      <c r="C465" s="17">
        <f t="shared" si="96"/>
        <v>813630</v>
      </c>
      <c r="D465" s="17">
        <f t="shared" si="97"/>
        <v>774680</v>
      </c>
      <c r="E465" s="17">
        <f t="shared" si="98"/>
        <v>125260</v>
      </c>
      <c r="F465" s="17">
        <f t="shared" si="99"/>
        <v>107980</v>
      </c>
      <c r="H465" s="21"/>
    </row>
    <row r="466" spans="1:12">
      <c r="B466" s="15">
        <v>2013</v>
      </c>
      <c r="C466" s="17">
        <f t="shared" si="96"/>
        <v>841870</v>
      </c>
      <c r="D466" s="17">
        <f t="shared" si="97"/>
        <v>798570</v>
      </c>
      <c r="E466" s="17">
        <f t="shared" si="98"/>
        <v>127300</v>
      </c>
      <c r="F466" s="17">
        <f t="shared" si="99"/>
        <v>110310</v>
      </c>
      <c r="H466" s="21"/>
    </row>
    <row r="467" spans="1:12">
      <c r="B467" s="15">
        <v>2014</v>
      </c>
      <c r="C467" s="17">
        <f t="shared" si="96"/>
        <v>862140</v>
      </c>
      <c r="D467" s="17">
        <f t="shared" si="97"/>
        <v>818830</v>
      </c>
      <c r="E467" s="17">
        <f t="shared" si="98"/>
        <v>127600</v>
      </c>
      <c r="F467" s="17">
        <f t="shared" si="99"/>
        <v>112760</v>
      </c>
      <c r="H467" s="21"/>
    </row>
    <row r="468" spans="1:12">
      <c r="B468" s="15">
        <v>2015</v>
      </c>
      <c r="C468" s="17"/>
      <c r="D468" s="17"/>
      <c r="E468" s="17"/>
      <c r="F468" s="17"/>
      <c r="H468" s="21"/>
    </row>
    <row r="469" spans="1:12">
      <c r="B469" s="14"/>
      <c r="C469" s="14"/>
      <c r="D469" s="14"/>
      <c r="E469" s="14"/>
      <c r="F469" s="14"/>
      <c r="H469" s="21"/>
    </row>
    <row r="470" spans="1:12">
      <c r="A470" s="14" t="s">
        <v>383</v>
      </c>
      <c r="B470" s="14" t="s">
        <v>0</v>
      </c>
      <c r="C470" s="14" t="s">
        <v>344</v>
      </c>
      <c r="D470" s="15" t="s">
        <v>345</v>
      </c>
      <c r="E470" s="14">
        <v>24</v>
      </c>
      <c r="F470" s="14">
        <v>75</v>
      </c>
      <c r="G470" s="14"/>
      <c r="H470" s="21"/>
    </row>
    <row r="471" spans="1:12">
      <c r="B471" s="15">
        <v>2010</v>
      </c>
      <c r="C471" s="17">
        <f>L125</f>
        <v>75310</v>
      </c>
      <c r="D471" s="17">
        <f>L133</f>
        <v>520</v>
      </c>
      <c r="E471" s="17">
        <f>L141</f>
        <v>2360</v>
      </c>
      <c r="F471" s="17">
        <f>L149</f>
        <v>29550</v>
      </c>
      <c r="H471" s="21"/>
      <c r="I471" s="12">
        <f>L463+8</f>
        <v>125</v>
      </c>
      <c r="J471" s="12">
        <f>I471+8</f>
        <v>133</v>
      </c>
      <c r="K471" s="12">
        <f>J471+8</f>
        <v>141</v>
      </c>
      <c r="L471" s="12">
        <f>K471+8</f>
        <v>149</v>
      </c>
    </row>
    <row r="472" spans="1:12">
      <c r="B472" s="15">
        <v>2011</v>
      </c>
      <c r="C472" s="17">
        <f t="shared" ref="C472:C475" si="100">L126</f>
        <v>82170</v>
      </c>
      <c r="D472" s="17">
        <f t="shared" ref="D472:D475" si="101">L134</f>
        <v>110</v>
      </c>
      <c r="E472" s="17">
        <f t="shared" ref="E472:E475" si="102">L142</f>
        <v>870</v>
      </c>
      <c r="F472" s="17">
        <f t="shared" ref="F472:F475" si="103">L150</f>
        <v>29230</v>
      </c>
      <c r="H472" s="21"/>
    </row>
    <row r="473" spans="1:12">
      <c r="B473" s="15">
        <v>2012</v>
      </c>
      <c r="C473" s="17">
        <f t="shared" si="100"/>
        <v>89970</v>
      </c>
      <c r="D473" s="17">
        <f t="shared" si="101"/>
        <v>330</v>
      </c>
      <c r="E473" s="17">
        <f t="shared" si="102"/>
        <v>170</v>
      </c>
      <c r="F473" s="17">
        <f t="shared" si="103"/>
        <v>29130</v>
      </c>
      <c r="H473" s="21"/>
    </row>
    <row r="474" spans="1:12">
      <c r="B474" s="15">
        <v>2013</v>
      </c>
      <c r="C474" s="17">
        <f t="shared" si="100"/>
        <v>96100</v>
      </c>
      <c r="D474" s="17">
        <f t="shared" si="101"/>
        <v>290</v>
      </c>
      <c r="E474" s="17">
        <f t="shared" si="102"/>
        <v>2200</v>
      </c>
      <c r="F474" s="17">
        <f t="shared" si="103"/>
        <v>28890</v>
      </c>
      <c r="H474" s="21"/>
    </row>
    <row r="475" spans="1:12">
      <c r="B475" s="15">
        <v>2014</v>
      </c>
      <c r="C475" s="17">
        <f t="shared" si="100"/>
        <v>98600</v>
      </c>
      <c r="D475" s="17">
        <f t="shared" si="101"/>
        <v>210</v>
      </c>
      <c r="E475" s="17">
        <f t="shared" si="102"/>
        <v>3090</v>
      </c>
      <c r="F475" s="17">
        <f t="shared" si="103"/>
        <v>28680</v>
      </c>
      <c r="H475" s="21"/>
    </row>
    <row r="476" spans="1:12">
      <c r="B476" s="15">
        <v>2015</v>
      </c>
      <c r="C476" s="17"/>
      <c r="D476" s="17"/>
      <c r="E476" s="17"/>
      <c r="F476" s="17"/>
      <c r="H476" s="21"/>
    </row>
    <row r="477" spans="1:12">
      <c r="H477" s="21"/>
    </row>
    <row r="478" spans="1:12">
      <c r="A478" s="14" t="s">
        <v>384</v>
      </c>
      <c r="B478" s="14" t="s">
        <v>0</v>
      </c>
      <c r="C478" s="14" t="s">
        <v>344</v>
      </c>
      <c r="D478" s="15" t="s">
        <v>345</v>
      </c>
      <c r="E478" s="14">
        <v>24</v>
      </c>
      <c r="F478" s="14">
        <v>75</v>
      </c>
      <c r="G478" s="14"/>
      <c r="H478" s="21"/>
      <c r="I478" s="20"/>
      <c r="J478" s="20"/>
      <c r="K478" s="20"/>
      <c r="L478" s="20"/>
    </row>
    <row r="479" spans="1:12">
      <c r="B479" s="15">
        <v>2010</v>
      </c>
      <c r="C479" s="17">
        <f>M21</f>
        <v>1797140</v>
      </c>
      <c r="D479" s="12">
        <f>M29</f>
        <v>1798550</v>
      </c>
      <c r="E479" s="12">
        <f>M37</f>
        <v>259920</v>
      </c>
      <c r="F479" s="12">
        <f>M45</f>
        <v>301950</v>
      </c>
      <c r="H479" s="21" t="s">
        <v>91</v>
      </c>
      <c r="I479" s="12">
        <v>21</v>
      </c>
      <c r="J479" s="12">
        <f>I479+8</f>
        <v>29</v>
      </c>
      <c r="K479" s="12">
        <f>J479+8</f>
        <v>37</v>
      </c>
      <c r="L479" s="12">
        <f>K479+8</f>
        <v>45</v>
      </c>
    </row>
    <row r="480" spans="1:12">
      <c r="B480" s="15">
        <v>2011</v>
      </c>
      <c r="C480" s="17">
        <f>M22</f>
        <v>1819880</v>
      </c>
      <c r="D480" s="12">
        <f>M30</f>
        <v>1815700</v>
      </c>
      <c r="E480" s="12">
        <f>M38</f>
        <v>262680</v>
      </c>
      <c r="F480" s="12">
        <f>M46</f>
        <v>309500</v>
      </c>
      <c r="H480" s="21"/>
    </row>
    <row r="481" spans="1:12">
      <c r="B481" s="15">
        <v>2012</v>
      </c>
      <c r="C481" s="17">
        <f>M23</f>
        <v>1828090</v>
      </c>
      <c r="D481" s="12">
        <f>M31</f>
        <v>1828730</v>
      </c>
      <c r="E481" s="12">
        <f>M39</f>
        <v>262130</v>
      </c>
      <c r="F481" s="12">
        <f>M47</f>
        <v>316050</v>
      </c>
      <c r="H481" s="21"/>
    </row>
    <row r="482" spans="1:12">
      <c r="B482" s="15">
        <v>2013</v>
      </c>
      <c r="C482" s="17">
        <f>M24</f>
        <v>1850260</v>
      </c>
      <c r="D482" s="12">
        <f>M32</f>
        <v>1848920</v>
      </c>
      <c r="E482" s="12">
        <f>M40</f>
        <v>263380</v>
      </c>
      <c r="F482" s="12">
        <f>M48</f>
        <v>325230</v>
      </c>
      <c r="H482" s="21"/>
    </row>
    <row r="483" spans="1:12">
      <c r="B483" s="15">
        <v>2014</v>
      </c>
      <c r="C483" s="17">
        <f>M25</f>
        <v>1876930</v>
      </c>
      <c r="D483" s="12">
        <f>M33</f>
        <v>1873990</v>
      </c>
      <c r="E483" s="12">
        <f>M41</f>
        <v>266350</v>
      </c>
      <c r="F483" s="12">
        <f>M49</f>
        <v>333980</v>
      </c>
      <c r="H483" s="21"/>
    </row>
    <row r="484" spans="1:12">
      <c r="B484" s="15">
        <v>2015</v>
      </c>
      <c r="C484" s="17"/>
      <c r="H484" s="21"/>
    </row>
    <row r="485" spans="1:12">
      <c r="H485" s="21"/>
    </row>
    <row r="486" spans="1:12">
      <c r="A486" s="14" t="s">
        <v>385</v>
      </c>
      <c r="B486" s="14" t="s">
        <v>0</v>
      </c>
      <c r="C486" s="14" t="s">
        <v>344</v>
      </c>
      <c r="D486" s="15" t="s">
        <v>345</v>
      </c>
      <c r="E486" s="14">
        <v>24</v>
      </c>
      <c r="F486" s="14">
        <v>75</v>
      </c>
      <c r="G486" s="14"/>
      <c r="H486" s="21"/>
      <c r="I486" s="14"/>
      <c r="J486" s="14"/>
      <c r="K486" s="14"/>
      <c r="L486" s="14"/>
    </row>
    <row r="487" spans="1:12">
      <c r="B487" s="15">
        <v>2010</v>
      </c>
      <c r="C487" s="17">
        <f>M61</f>
        <v>922980</v>
      </c>
      <c r="D487" s="17">
        <f>M69</f>
        <v>899290</v>
      </c>
      <c r="E487" s="17">
        <f>M77</f>
        <v>127840</v>
      </c>
      <c r="F487" s="17">
        <f>M85</f>
        <v>129010</v>
      </c>
      <c r="H487" s="21"/>
      <c r="I487" s="12">
        <v>61</v>
      </c>
      <c r="J487" s="12">
        <f>I487+8</f>
        <v>69</v>
      </c>
      <c r="K487" s="12">
        <f>J487+8</f>
        <v>77</v>
      </c>
      <c r="L487" s="12">
        <f>K487+8</f>
        <v>85</v>
      </c>
    </row>
    <row r="488" spans="1:12">
      <c r="B488" s="15">
        <v>2011</v>
      </c>
      <c r="C488" s="17">
        <f>M62</f>
        <v>936530</v>
      </c>
      <c r="D488" s="17">
        <f>M70</f>
        <v>907760</v>
      </c>
      <c r="E488" s="17">
        <f>M78</f>
        <v>129840</v>
      </c>
      <c r="F488" s="17">
        <f>M86</f>
        <v>132990</v>
      </c>
      <c r="H488" s="21"/>
    </row>
    <row r="489" spans="1:12">
      <c r="B489" s="15">
        <v>2012</v>
      </c>
      <c r="C489" s="17">
        <f>M63</f>
        <v>939740</v>
      </c>
      <c r="D489" s="17">
        <f>M71</f>
        <v>914240</v>
      </c>
      <c r="E489" s="17">
        <f>M79</f>
        <v>130120</v>
      </c>
      <c r="F489" s="17">
        <f>M87</f>
        <v>136510</v>
      </c>
      <c r="H489" s="21"/>
    </row>
    <row r="490" spans="1:12">
      <c r="B490" s="15">
        <v>2013</v>
      </c>
      <c r="C490" s="17">
        <f>M64</f>
        <v>952080</v>
      </c>
      <c r="D490" s="17">
        <f>M72</f>
        <v>924300</v>
      </c>
      <c r="E490" s="17">
        <f>M80</f>
        <v>131190</v>
      </c>
      <c r="F490" s="17">
        <f>M88</f>
        <v>141290</v>
      </c>
      <c r="H490" s="21"/>
    </row>
    <row r="491" spans="1:12">
      <c r="B491" s="15">
        <v>2014</v>
      </c>
      <c r="C491" s="17">
        <f>M65</f>
        <v>965750</v>
      </c>
      <c r="D491" s="17">
        <f>M73</f>
        <v>936870</v>
      </c>
      <c r="E491" s="17">
        <f>M81</f>
        <v>133130</v>
      </c>
      <c r="F491" s="17">
        <f>M89</f>
        <v>146080</v>
      </c>
      <c r="H491" s="21"/>
    </row>
    <row r="492" spans="1:12">
      <c r="B492" s="15">
        <v>2015</v>
      </c>
      <c r="C492" s="14"/>
      <c r="D492" s="14"/>
      <c r="E492" s="14"/>
      <c r="F492" s="14"/>
      <c r="H492" s="21"/>
    </row>
    <row r="493" spans="1:12">
      <c r="B493" s="14"/>
      <c r="C493" s="14"/>
      <c r="D493" s="14"/>
      <c r="E493" s="14"/>
      <c r="F493" s="14"/>
      <c r="H493" s="21"/>
    </row>
    <row r="494" spans="1:12">
      <c r="A494" s="14" t="s">
        <v>386</v>
      </c>
      <c r="B494" s="14" t="s">
        <v>0</v>
      </c>
      <c r="C494" s="14" t="s">
        <v>344</v>
      </c>
      <c r="D494" s="15" t="s">
        <v>345</v>
      </c>
      <c r="E494" s="14">
        <v>24</v>
      </c>
      <c r="F494" s="14">
        <v>75</v>
      </c>
      <c r="G494" s="14"/>
      <c r="H494" s="21"/>
    </row>
    <row r="495" spans="1:12">
      <c r="B495" s="15">
        <v>2010</v>
      </c>
      <c r="C495" s="17">
        <f>M93</f>
        <v>874160</v>
      </c>
      <c r="D495" s="17">
        <f>M101</f>
        <v>899260</v>
      </c>
      <c r="E495" s="17">
        <f>M109</f>
        <v>132070</v>
      </c>
      <c r="F495" s="17">
        <f>M117</f>
        <v>172940</v>
      </c>
      <c r="H495" s="21" t="s">
        <v>91</v>
      </c>
      <c r="I495" s="12">
        <f>L487+8</f>
        <v>93</v>
      </c>
      <c r="J495" s="12">
        <f>I495+8</f>
        <v>101</v>
      </c>
      <c r="K495" s="12">
        <f>J495+8</f>
        <v>109</v>
      </c>
      <c r="L495" s="12">
        <f>K495+8</f>
        <v>117</v>
      </c>
    </row>
    <row r="496" spans="1:12">
      <c r="B496" s="15">
        <v>2011</v>
      </c>
      <c r="C496" s="17">
        <f t="shared" ref="C496:C499" si="104">M94</f>
        <v>883350</v>
      </c>
      <c r="D496" s="17">
        <f t="shared" ref="D496:D499" si="105">M102</f>
        <v>907940</v>
      </c>
      <c r="E496" s="17">
        <f t="shared" ref="E496:E499" si="106">M110</f>
        <v>132840</v>
      </c>
      <c r="F496" s="17">
        <f t="shared" ref="F496:F499" si="107">M118</f>
        <v>176510</v>
      </c>
      <c r="H496" s="21"/>
    </row>
    <row r="497" spans="1:12">
      <c r="B497" s="15">
        <v>2012</v>
      </c>
      <c r="C497" s="17">
        <f t="shared" si="104"/>
        <v>888350</v>
      </c>
      <c r="D497" s="17">
        <f t="shared" si="105"/>
        <v>914490</v>
      </c>
      <c r="E497" s="17">
        <f t="shared" si="106"/>
        <v>132000</v>
      </c>
      <c r="F497" s="17">
        <f t="shared" si="107"/>
        <v>179540</v>
      </c>
      <c r="H497" s="21"/>
    </row>
    <row r="498" spans="1:12">
      <c r="B498" s="15">
        <v>2013</v>
      </c>
      <c r="C498" s="17">
        <f t="shared" si="104"/>
        <v>898170</v>
      </c>
      <c r="D498" s="17">
        <f t="shared" si="105"/>
        <v>924620</v>
      </c>
      <c r="E498" s="17">
        <f t="shared" si="106"/>
        <v>132200</v>
      </c>
      <c r="F498" s="17">
        <f t="shared" si="107"/>
        <v>183950</v>
      </c>
      <c r="H498" s="21"/>
    </row>
    <row r="499" spans="1:12">
      <c r="B499" s="15">
        <v>2014</v>
      </c>
      <c r="C499" s="17">
        <f t="shared" si="104"/>
        <v>911180</v>
      </c>
      <c r="D499" s="17">
        <f t="shared" si="105"/>
        <v>937120</v>
      </c>
      <c r="E499" s="17">
        <f t="shared" si="106"/>
        <v>133220</v>
      </c>
      <c r="F499" s="17">
        <f t="shared" si="107"/>
        <v>187900</v>
      </c>
      <c r="H499" s="21"/>
    </row>
    <row r="500" spans="1:12">
      <c r="B500" s="15">
        <v>2015</v>
      </c>
      <c r="C500" s="17"/>
      <c r="D500" s="17"/>
      <c r="E500" s="17"/>
      <c r="F500" s="17"/>
      <c r="H500" s="21"/>
    </row>
    <row r="501" spans="1:12">
      <c r="B501" s="14"/>
      <c r="C501" s="14"/>
      <c r="D501" s="14"/>
      <c r="E501" s="14"/>
      <c r="F501" s="14"/>
      <c r="H501" s="21"/>
    </row>
    <row r="502" spans="1:12">
      <c r="A502" s="14" t="s">
        <v>387</v>
      </c>
      <c r="B502" s="14" t="s">
        <v>0</v>
      </c>
      <c r="C502" s="14" t="s">
        <v>344</v>
      </c>
      <c r="D502" s="15" t="s">
        <v>345</v>
      </c>
      <c r="E502" s="14">
        <v>24</v>
      </c>
      <c r="F502" s="14">
        <v>75</v>
      </c>
      <c r="G502" s="14"/>
      <c r="H502" s="21"/>
    </row>
    <row r="503" spans="1:12">
      <c r="B503" s="15">
        <v>2010</v>
      </c>
      <c r="C503" s="17">
        <f>M125</f>
        <v>48820</v>
      </c>
      <c r="D503" s="17">
        <f>M133</f>
        <v>30</v>
      </c>
      <c r="E503" s="17">
        <f>M141</f>
        <v>4230</v>
      </c>
      <c r="F503" s="17">
        <f>M149</f>
        <v>43930</v>
      </c>
      <c r="H503" s="21"/>
      <c r="I503" s="12">
        <f>L495+8</f>
        <v>125</v>
      </c>
      <c r="J503" s="12">
        <f>I503+8</f>
        <v>133</v>
      </c>
      <c r="K503" s="12">
        <f>J503+8</f>
        <v>141</v>
      </c>
      <c r="L503" s="12">
        <f>K503+8</f>
        <v>149</v>
      </c>
    </row>
    <row r="504" spans="1:12">
      <c r="B504" s="15">
        <v>2011</v>
      </c>
      <c r="C504" s="17">
        <f t="shared" ref="C504:C507" si="108">M126</f>
        <v>53180</v>
      </c>
      <c r="D504" s="17">
        <f t="shared" ref="D504:D507" si="109">M134</f>
        <v>180</v>
      </c>
      <c r="E504" s="17">
        <f t="shared" ref="E504:E507" si="110">M142</f>
        <v>3000</v>
      </c>
      <c r="F504" s="17">
        <f t="shared" ref="F504:F507" si="111">M150</f>
        <v>43520</v>
      </c>
      <c r="H504" s="21"/>
    </row>
    <row r="505" spans="1:12">
      <c r="B505" s="15">
        <v>2012</v>
      </c>
      <c r="C505" s="17">
        <f t="shared" si="108"/>
        <v>51390</v>
      </c>
      <c r="D505" s="17">
        <f t="shared" si="109"/>
        <v>250</v>
      </c>
      <c r="E505" s="17">
        <f t="shared" si="110"/>
        <v>1880</v>
      </c>
      <c r="F505" s="17">
        <f t="shared" si="111"/>
        <v>43030</v>
      </c>
      <c r="H505" s="21"/>
    </row>
    <row r="506" spans="1:12">
      <c r="B506" s="15">
        <v>2013</v>
      </c>
      <c r="C506" s="17">
        <f t="shared" si="108"/>
        <v>53910</v>
      </c>
      <c r="D506" s="17">
        <f t="shared" si="109"/>
        <v>320</v>
      </c>
      <c r="E506" s="17">
        <f t="shared" si="110"/>
        <v>1010</v>
      </c>
      <c r="F506" s="17">
        <f t="shared" si="111"/>
        <v>42660</v>
      </c>
      <c r="H506" s="21"/>
    </row>
    <row r="507" spans="1:12">
      <c r="B507" s="15">
        <v>2014</v>
      </c>
      <c r="C507" s="17">
        <f t="shared" si="108"/>
        <v>54570</v>
      </c>
      <c r="D507" s="17">
        <f t="shared" si="109"/>
        <v>250</v>
      </c>
      <c r="E507" s="17">
        <f t="shared" si="110"/>
        <v>90</v>
      </c>
      <c r="F507" s="17">
        <f t="shared" si="111"/>
        <v>41820</v>
      </c>
      <c r="H507" s="21"/>
    </row>
    <row r="508" spans="1:12">
      <c r="B508" s="15">
        <v>2015</v>
      </c>
      <c r="C508" s="17"/>
      <c r="D508" s="17"/>
      <c r="E508" s="17"/>
      <c r="F508" s="17"/>
      <c r="H508" s="21"/>
    </row>
    <row r="509" spans="1:12">
      <c r="H509" s="21"/>
    </row>
    <row r="510" spans="1:12">
      <c r="A510" s="14" t="s">
        <v>388</v>
      </c>
      <c r="B510" s="14" t="s">
        <v>0</v>
      </c>
      <c r="C510" s="14" t="s">
        <v>344</v>
      </c>
      <c r="D510" s="15" t="s">
        <v>345</v>
      </c>
      <c r="E510" s="14">
        <v>24</v>
      </c>
      <c r="F510" s="14">
        <v>75</v>
      </c>
      <c r="G510" s="14"/>
      <c r="H510" s="21"/>
      <c r="I510" s="20"/>
      <c r="J510" s="20"/>
      <c r="K510" s="20"/>
      <c r="L510" s="20"/>
    </row>
    <row r="511" spans="1:12">
      <c r="B511" s="15">
        <v>2010</v>
      </c>
      <c r="C511" s="17">
        <f>N21</f>
        <v>16530</v>
      </c>
      <c r="D511" s="12">
        <f>N29</f>
        <v>10170</v>
      </c>
      <c r="E511" s="12">
        <f>N37</f>
        <v>2090</v>
      </c>
      <c r="F511" s="12">
        <f>N45</f>
        <v>990</v>
      </c>
      <c r="H511" s="21" t="s">
        <v>408</v>
      </c>
      <c r="I511" s="12">
        <v>21</v>
      </c>
      <c r="J511" s="12">
        <f>I511+8</f>
        <v>29</v>
      </c>
      <c r="K511" s="12">
        <f>J511+8</f>
        <v>37</v>
      </c>
      <c r="L511" s="12">
        <f>K511+8</f>
        <v>45</v>
      </c>
    </row>
    <row r="512" spans="1:12">
      <c r="B512" s="15">
        <v>2011</v>
      </c>
      <c r="C512" s="17">
        <f>N22</f>
        <v>16970</v>
      </c>
      <c r="D512" s="12">
        <f>N30</f>
        <v>10480</v>
      </c>
      <c r="E512" s="12">
        <f>N38</f>
        <v>2140</v>
      </c>
      <c r="F512" s="12">
        <f>N46</f>
        <v>1000</v>
      </c>
      <c r="H512" s="21"/>
    </row>
    <row r="513" spans="1:12">
      <c r="B513" s="15">
        <v>2012</v>
      </c>
      <c r="C513" s="17">
        <f>N23</f>
        <v>17130</v>
      </c>
      <c r="D513" s="12">
        <f>N31</f>
        <v>10470</v>
      </c>
      <c r="E513" s="12">
        <f>N39</f>
        <v>2140</v>
      </c>
      <c r="F513" s="12">
        <f>N47</f>
        <v>1090</v>
      </c>
      <c r="H513" s="21"/>
    </row>
    <row r="514" spans="1:12">
      <c r="B514" s="15">
        <v>2013</v>
      </c>
      <c r="C514" s="17">
        <f>N24</f>
        <v>17150</v>
      </c>
      <c r="D514" s="12">
        <f>N32</f>
        <v>10630</v>
      </c>
      <c r="E514" s="12">
        <f>N40</f>
        <v>2070</v>
      </c>
      <c r="F514" s="12">
        <f>N48</f>
        <v>1140</v>
      </c>
      <c r="H514" s="21"/>
    </row>
    <row r="515" spans="1:12">
      <c r="B515" s="15">
        <v>2014</v>
      </c>
      <c r="C515" s="17">
        <f>N25</f>
        <v>17270</v>
      </c>
      <c r="D515" s="12">
        <f>N33</f>
        <v>10810</v>
      </c>
      <c r="E515" s="12">
        <f>N41</f>
        <v>2020</v>
      </c>
      <c r="F515" s="12">
        <f>N49</f>
        <v>1190</v>
      </c>
      <c r="H515" s="21"/>
    </row>
    <row r="516" spans="1:12">
      <c r="B516" s="15">
        <v>2015</v>
      </c>
      <c r="C516" s="17"/>
      <c r="H516" s="21"/>
    </row>
    <row r="517" spans="1:12">
      <c r="H517" s="21"/>
    </row>
    <row r="518" spans="1:12">
      <c r="A518" s="14" t="s">
        <v>389</v>
      </c>
      <c r="B518" s="14" t="s">
        <v>0</v>
      </c>
      <c r="C518" s="14" t="s">
        <v>344</v>
      </c>
      <c r="D518" s="15" t="s">
        <v>345</v>
      </c>
      <c r="E518" s="14">
        <v>24</v>
      </c>
      <c r="F518" s="14">
        <v>75</v>
      </c>
      <c r="G518" s="14"/>
      <c r="H518" s="21"/>
      <c r="I518" s="14"/>
      <c r="J518" s="14"/>
      <c r="K518" s="14"/>
      <c r="L518" s="14"/>
    </row>
    <row r="519" spans="1:12">
      <c r="B519" s="15">
        <v>2010</v>
      </c>
      <c r="C519" s="12">
        <f>N61</f>
        <v>8560</v>
      </c>
      <c r="D519" s="12">
        <f>N69</f>
        <v>5070</v>
      </c>
      <c r="E519" s="12">
        <f>N77</f>
        <v>1060</v>
      </c>
      <c r="F519" s="12">
        <f>N85</f>
        <v>460</v>
      </c>
      <c r="H519" s="21"/>
      <c r="I519" s="12">
        <v>61</v>
      </c>
      <c r="J519" s="12">
        <f>I519+8</f>
        <v>69</v>
      </c>
      <c r="K519" s="12">
        <f>J519+8</f>
        <v>77</v>
      </c>
      <c r="L519" s="12">
        <f>K519+8</f>
        <v>85</v>
      </c>
    </row>
    <row r="520" spans="1:12">
      <c r="B520" s="15">
        <v>2011</v>
      </c>
      <c r="C520" s="12">
        <f>N62</f>
        <v>8810</v>
      </c>
      <c r="D520" s="12">
        <f>N70</f>
        <v>5230</v>
      </c>
      <c r="E520" s="12">
        <f>N78</f>
        <v>1110</v>
      </c>
      <c r="F520" s="12">
        <f>N86</f>
        <v>460</v>
      </c>
      <c r="H520" s="21"/>
    </row>
    <row r="521" spans="1:12">
      <c r="B521" s="15">
        <v>2012</v>
      </c>
      <c r="C521" s="12">
        <f>N63</f>
        <v>8880</v>
      </c>
      <c r="D521" s="12">
        <f>N71</f>
        <v>5220</v>
      </c>
      <c r="E521" s="12">
        <f>N79</f>
        <v>1120</v>
      </c>
      <c r="F521" s="12">
        <f>N87</f>
        <v>510</v>
      </c>
      <c r="H521" s="21"/>
    </row>
    <row r="522" spans="1:12">
      <c r="B522" s="15">
        <v>2013</v>
      </c>
      <c r="C522" s="12">
        <f>N64</f>
        <v>8820</v>
      </c>
      <c r="D522" s="12">
        <f>N72</f>
        <v>5300</v>
      </c>
      <c r="E522" s="12">
        <f>N80</f>
        <v>1080</v>
      </c>
      <c r="F522" s="12">
        <f>N88</f>
        <v>540</v>
      </c>
      <c r="H522" s="21"/>
    </row>
    <row r="523" spans="1:12">
      <c r="B523" s="15">
        <v>2014</v>
      </c>
      <c r="C523" s="12">
        <f>N65</f>
        <v>8930</v>
      </c>
      <c r="D523" s="12">
        <f>N73</f>
        <v>5380</v>
      </c>
      <c r="E523" s="12">
        <f>N81</f>
        <v>1030</v>
      </c>
      <c r="F523" s="12">
        <f>N89</f>
        <v>570</v>
      </c>
      <c r="H523" s="21"/>
    </row>
    <row r="524" spans="1:12">
      <c r="B524" s="15">
        <v>2015</v>
      </c>
      <c r="H524" s="21"/>
    </row>
    <row r="525" spans="1:12">
      <c r="H525" s="21"/>
    </row>
    <row r="526" spans="1:12">
      <c r="A526" s="14" t="s">
        <v>390</v>
      </c>
      <c r="B526" s="14" t="s">
        <v>0</v>
      </c>
      <c r="C526" s="14" t="s">
        <v>344</v>
      </c>
      <c r="D526" s="15" t="s">
        <v>345</v>
      </c>
      <c r="E526" s="14">
        <v>24</v>
      </c>
      <c r="F526" s="14">
        <v>75</v>
      </c>
      <c r="G526" s="14"/>
      <c r="H526" s="21"/>
    </row>
    <row r="527" spans="1:12">
      <c r="B527" s="15">
        <v>2010</v>
      </c>
      <c r="C527" s="14">
        <f>N93</f>
        <v>7970</v>
      </c>
      <c r="D527" s="14">
        <f>N101</f>
        <v>5090</v>
      </c>
      <c r="E527" s="14">
        <f>N109</f>
        <v>1030</v>
      </c>
      <c r="F527" s="14">
        <f>N117</f>
        <v>530</v>
      </c>
      <c r="H527" s="21" t="s">
        <v>408</v>
      </c>
      <c r="I527" s="12">
        <f>L519+8</f>
        <v>93</v>
      </c>
      <c r="J527" s="12">
        <f>I527+8</f>
        <v>101</v>
      </c>
      <c r="K527" s="12">
        <f>J527+8</f>
        <v>109</v>
      </c>
      <c r="L527" s="12">
        <f>K527+8</f>
        <v>117</v>
      </c>
    </row>
    <row r="528" spans="1:12">
      <c r="B528" s="15">
        <v>2011</v>
      </c>
      <c r="C528" s="14">
        <f t="shared" ref="C528:C531" si="112">N94</f>
        <v>8160</v>
      </c>
      <c r="D528" s="14">
        <f t="shared" ref="D528:D531" si="113">N102</f>
        <v>5250</v>
      </c>
      <c r="E528" s="14">
        <f t="shared" ref="E528:E531" si="114">N110</f>
        <v>1030</v>
      </c>
      <c r="F528" s="14">
        <f t="shared" ref="F528:F531" si="115">N118</f>
        <v>540</v>
      </c>
      <c r="H528" s="21"/>
    </row>
    <row r="529" spans="1:12">
      <c r="B529" s="15">
        <v>2012</v>
      </c>
      <c r="C529" s="14">
        <f t="shared" si="112"/>
        <v>8250</v>
      </c>
      <c r="D529" s="14">
        <f t="shared" si="113"/>
        <v>5240</v>
      </c>
      <c r="E529" s="14">
        <f t="shared" si="114"/>
        <v>1020</v>
      </c>
      <c r="F529" s="14">
        <f t="shared" si="115"/>
        <v>570</v>
      </c>
      <c r="H529" s="21"/>
    </row>
    <row r="530" spans="1:12">
      <c r="B530" s="15">
        <v>2013</v>
      </c>
      <c r="C530" s="14">
        <f t="shared" si="112"/>
        <v>8330</v>
      </c>
      <c r="D530" s="14">
        <f t="shared" si="113"/>
        <v>5330</v>
      </c>
      <c r="E530" s="14">
        <f t="shared" si="114"/>
        <v>1000</v>
      </c>
      <c r="F530" s="14">
        <f t="shared" si="115"/>
        <v>600</v>
      </c>
      <c r="H530" s="21"/>
    </row>
    <row r="531" spans="1:12">
      <c r="B531" s="15">
        <v>2014</v>
      </c>
      <c r="C531" s="14">
        <f t="shared" si="112"/>
        <v>8350</v>
      </c>
      <c r="D531" s="14">
        <f t="shared" si="113"/>
        <v>5430</v>
      </c>
      <c r="E531" s="14">
        <f t="shared" si="114"/>
        <v>990</v>
      </c>
      <c r="F531" s="14">
        <f t="shared" si="115"/>
        <v>620</v>
      </c>
      <c r="H531" s="21"/>
    </row>
    <row r="532" spans="1:12">
      <c r="B532" s="15">
        <v>2015</v>
      </c>
      <c r="C532" s="14"/>
      <c r="D532" s="14"/>
      <c r="E532" s="14"/>
      <c r="F532" s="14"/>
      <c r="H532" s="21"/>
    </row>
    <row r="533" spans="1:12">
      <c r="H533" s="21"/>
    </row>
    <row r="534" spans="1:12">
      <c r="A534" s="14" t="s">
        <v>391</v>
      </c>
      <c r="B534" s="14" t="s">
        <v>0</v>
      </c>
      <c r="C534" s="14" t="s">
        <v>344</v>
      </c>
      <c r="D534" s="15" t="s">
        <v>345</v>
      </c>
      <c r="E534" s="14">
        <v>24</v>
      </c>
      <c r="F534" s="14">
        <v>75</v>
      </c>
      <c r="G534" s="14"/>
      <c r="H534" s="21"/>
    </row>
    <row r="535" spans="1:12">
      <c r="B535" s="15">
        <v>2010</v>
      </c>
      <c r="C535" s="12">
        <f>N125</f>
        <v>590</v>
      </c>
      <c r="D535" s="12">
        <f>N133</f>
        <v>20</v>
      </c>
      <c r="E535" s="12">
        <f>N141</f>
        <v>30</v>
      </c>
      <c r="F535" s="12">
        <f>N149</f>
        <v>70</v>
      </c>
      <c r="H535" s="21"/>
      <c r="I535" s="12">
        <f>L527+8</f>
        <v>125</v>
      </c>
      <c r="J535" s="12">
        <f>I535+8</f>
        <v>133</v>
      </c>
      <c r="K535" s="12">
        <f>J535+8</f>
        <v>141</v>
      </c>
      <c r="L535" s="12">
        <f>K535+8</f>
        <v>149</v>
      </c>
    </row>
    <row r="536" spans="1:12">
      <c r="B536" s="15">
        <v>2011</v>
      </c>
      <c r="C536" s="12">
        <f t="shared" ref="C536:C539" si="116">N126</f>
        <v>650</v>
      </c>
      <c r="D536" s="12">
        <f t="shared" ref="D536:D539" si="117">N134</f>
        <v>20</v>
      </c>
      <c r="E536" s="12">
        <f t="shared" ref="E536:E539" si="118">N142</f>
        <v>80</v>
      </c>
      <c r="F536" s="12">
        <f t="shared" ref="F536:F539" si="119">N150</f>
        <v>80</v>
      </c>
      <c r="H536" s="21"/>
    </row>
    <row r="537" spans="1:12">
      <c r="B537" s="15">
        <v>2012</v>
      </c>
      <c r="C537" s="12">
        <f t="shared" si="116"/>
        <v>630</v>
      </c>
      <c r="D537" s="12">
        <f t="shared" si="117"/>
        <v>20</v>
      </c>
      <c r="E537" s="12">
        <f t="shared" si="118"/>
        <v>100</v>
      </c>
      <c r="F537" s="12">
        <f t="shared" si="119"/>
        <v>60</v>
      </c>
      <c r="H537" s="21"/>
    </row>
    <row r="538" spans="1:12">
      <c r="B538" s="15">
        <v>2013</v>
      </c>
      <c r="C538" s="12">
        <f t="shared" si="116"/>
        <v>490</v>
      </c>
      <c r="D538" s="12">
        <f t="shared" si="117"/>
        <v>30</v>
      </c>
      <c r="E538" s="12">
        <f t="shared" si="118"/>
        <v>80</v>
      </c>
      <c r="F538" s="12">
        <f t="shared" si="119"/>
        <v>60</v>
      </c>
      <c r="H538" s="21"/>
    </row>
    <row r="539" spans="1:12">
      <c r="B539" s="15">
        <v>2014</v>
      </c>
      <c r="C539" s="12">
        <f t="shared" si="116"/>
        <v>580</v>
      </c>
      <c r="D539" s="12">
        <f t="shared" si="117"/>
        <v>50</v>
      </c>
      <c r="E539" s="12">
        <f t="shared" si="118"/>
        <v>40</v>
      </c>
      <c r="F539" s="12">
        <f t="shared" si="119"/>
        <v>50</v>
      </c>
      <c r="H539" s="21"/>
    </row>
    <row r="540" spans="1:12">
      <c r="B540" s="15">
        <v>2015</v>
      </c>
      <c r="H540" s="21"/>
    </row>
    <row r="541" spans="1:12">
      <c r="H541" s="21"/>
    </row>
    <row r="542" spans="1:12">
      <c r="A542" s="14" t="s">
        <v>392</v>
      </c>
      <c r="B542" s="14" t="s">
        <v>0</v>
      </c>
      <c r="C542" s="14" t="s">
        <v>344</v>
      </c>
      <c r="D542" s="15" t="s">
        <v>345</v>
      </c>
      <c r="E542" s="14">
        <v>24</v>
      </c>
      <c r="F542" s="14">
        <v>75</v>
      </c>
      <c r="G542" s="14"/>
      <c r="H542" s="21"/>
      <c r="I542" s="20"/>
      <c r="J542" s="20"/>
      <c r="K542" s="20"/>
      <c r="L542" s="20"/>
    </row>
    <row r="543" spans="1:12">
      <c r="B543" s="15">
        <v>2010</v>
      </c>
      <c r="C543" s="17">
        <f>O21</f>
        <v>22880</v>
      </c>
      <c r="D543" s="12">
        <f>O29</f>
        <v>11130</v>
      </c>
      <c r="E543" s="12">
        <f>37</f>
        <v>37</v>
      </c>
      <c r="F543" s="12">
        <f>O45</f>
        <v>810</v>
      </c>
      <c r="H543" s="21" t="s">
        <v>90</v>
      </c>
      <c r="I543" s="12">
        <v>21</v>
      </c>
      <c r="J543" s="12">
        <f>I543+8</f>
        <v>29</v>
      </c>
      <c r="K543" s="12">
        <f>J543+8</f>
        <v>37</v>
      </c>
      <c r="L543" s="12">
        <f>K543+8</f>
        <v>45</v>
      </c>
    </row>
    <row r="544" spans="1:12">
      <c r="B544" s="15">
        <v>2011</v>
      </c>
      <c r="C544" s="17">
        <f>O22</f>
        <v>22830</v>
      </c>
      <c r="D544" s="12">
        <f>O30</f>
        <v>11110</v>
      </c>
      <c r="E544" s="12">
        <f>37</f>
        <v>37</v>
      </c>
      <c r="F544" s="12">
        <f>O46</f>
        <v>830</v>
      </c>
      <c r="H544" s="21"/>
    </row>
    <row r="545" spans="1:12">
      <c r="B545" s="15">
        <v>2012</v>
      </c>
      <c r="C545" s="17">
        <f>O23</f>
        <v>22910</v>
      </c>
      <c r="D545" s="12">
        <f>O31</f>
        <v>11150</v>
      </c>
      <c r="E545" s="12">
        <f>37</f>
        <v>37</v>
      </c>
      <c r="F545" s="12">
        <f>O47</f>
        <v>870</v>
      </c>
      <c r="H545" s="21"/>
    </row>
    <row r="546" spans="1:12">
      <c r="B546" s="15">
        <v>2013</v>
      </c>
      <c r="C546" s="17">
        <f>O24</f>
        <v>22870</v>
      </c>
      <c r="D546" s="12">
        <f>O32</f>
        <v>11180</v>
      </c>
      <c r="E546" s="12">
        <f>37</f>
        <v>37</v>
      </c>
      <c r="F546" s="12">
        <f>O48</f>
        <v>900</v>
      </c>
      <c r="H546" s="21"/>
    </row>
    <row r="547" spans="1:12">
      <c r="B547" s="15">
        <v>2014</v>
      </c>
      <c r="C547" s="17">
        <f>O25</f>
        <v>23130</v>
      </c>
      <c r="D547" s="12">
        <f>O33</f>
        <v>11250</v>
      </c>
      <c r="E547" s="12">
        <f>37</f>
        <v>37</v>
      </c>
      <c r="F547" s="12">
        <f>O49</f>
        <v>940</v>
      </c>
      <c r="H547" s="21"/>
    </row>
    <row r="548" spans="1:12">
      <c r="B548" s="15">
        <v>2015</v>
      </c>
      <c r="C548" s="17"/>
      <c r="H548" s="21"/>
    </row>
    <row r="549" spans="1:12">
      <c r="H549" s="21"/>
    </row>
    <row r="550" spans="1:12">
      <c r="A550" s="14" t="s">
        <v>393</v>
      </c>
      <c r="B550" s="14" t="s">
        <v>0</v>
      </c>
      <c r="C550" s="14" t="s">
        <v>344</v>
      </c>
      <c r="D550" s="15" t="s">
        <v>345</v>
      </c>
      <c r="E550" s="14">
        <v>24</v>
      </c>
      <c r="F550" s="14">
        <v>75</v>
      </c>
      <c r="G550" s="14"/>
      <c r="H550" s="21"/>
      <c r="I550" s="14"/>
      <c r="J550" s="14"/>
      <c r="K550" s="14"/>
      <c r="L550" s="14"/>
    </row>
    <row r="551" spans="1:12">
      <c r="B551" s="15">
        <v>2010</v>
      </c>
      <c r="C551" s="12">
        <f>O61</f>
        <v>11980</v>
      </c>
      <c r="D551" s="12">
        <f>O69</f>
        <v>5550</v>
      </c>
      <c r="E551" s="12">
        <f>O77</f>
        <v>1600</v>
      </c>
      <c r="F551" s="12">
        <f>O85</f>
        <v>380</v>
      </c>
      <c r="H551" s="21"/>
      <c r="I551" s="12">
        <v>61</v>
      </c>
      <c r="J551" s="12">
        <f>I551+8</f>
        <v>69</v>
      </c>
      <c r="K551" s="12">
        <f>J551+8</f>
        <v>77</v>
      </c>
      <c r="L551" s="12">
        <f>K551+8</f>
        <v>85</v>
      </c>
    </row>
    <row r="552" spans="1:12">
      <c r="B552" s="15">
        <v>2011</v>
      </c>
      <c r="C552" s="12">
        <f>O62</f>
        <v>11970</v>
      </c>
      <c r="D552" s="12">
        <f>O70</f>
        <v>5540</v>
      </c>
      <c r="E552" s="12">
        <f>O78</f>
        <v>1610</v>
      </c>
      <c r="F552" s="12">
        <f>O86</f>
        <v>390</v>
      </c>
      <c r="H552" s="21"/>
    </row>
    <row r="553" spans="1:12">
      <c r="B553" s="15">
        <v>2012</v>
      </c>
      <c r="C553" s="12">
        <f>O63</f>
        <v>11980</v>
      </c>
      <c r="D553" s="12">
        <f>O71</f>
        <v>5550</v>
      </c>
      <c r="E553" s="12">
        <f>O79</f>
        <v>1580</v>
      </c>
      <c r="F553" s="12">
        <f>O87</f>
        <v>410</v>
      </c>
      <c r="H553" s="21"/>
    </row>
    <row r="554" spans="1:12">
      <c r="B554" s="15">
        <v>2013</v>
      </c>
      <c r="C554" s="12">
        <f>O64</f>
        <v>11950</v>
      </c>
      <c r="D554" s="12">
        <f>O72</f>
        <v>5570</v>
      </c>
      <c r="E554" s="12">
        <f>O80</f>
        <v>1600</v>
      </c>
      <c r="F554" s="12">
        <f>O88</f>
        <v>430</v>
      </c>
      <c r="H554" s="21"/>
    </row>
    <row r="555" spans="1:12">
      <c r="B555" s="15">
        <v>2014</v>
      </c>
      <c r="C555" s="12">
        <f>O65</f>
        <v>12070</v>
      </c>
      <c r="D555" s="12">
        <f>O73</f>
        <v>5590</v>
      </c>
      <c r="E555" s="12">
        <f>O81</f>
        <v>1570</v>
      </c>
      <c r="F555" s="12">
        <f>O89</f>
        <v>440</v>
      </c>
      <c r="H555" s="21"/>
    </row>
    <row r="556" spans="1:12">
      <c r="B556" s="15">
        <v>2015</v>
      </c>
      <c r="H556" s="21"/>
    </row>
    <row r="557" spans="1:12">
      <c r="H557" s="21"/>
    </row>
    <row r="558" spans="1:12">
      <c r="A558" s="14" t="s">
        <v>394</v>
      </c>
      <c r="B558" s="14" t="s">
        <v>0</v>
      </c>
      <c r="C558" s="14" t="s">
        <v>344</v>
      </c>
      <c r="D558" s="15" t="s">
        <v>345</v>
      </c>
      <c r="E558" s="14">
        <v>24</v>
      </c>
      <c r="F558" s="14">
        <v>75</v>
      </c>
      <c r="G558" s="14"/>
      <c r="H558" s="21"/>
    </row>
    <row r="559" spans="1:12">
      <c r="B559" s="15">
        <v>2010</v>
      </c>
      <c r="C559" s="12">
        <f>93</f>
        <v>93</v>
      </c>
      <c r="D559" s="12">
        <f>O101</f>
        <v>5580</v>
      </c>
      <c r="E559" s="12">
        <f>109</f>
        <v>109</v>
      </c>
      <c r="F559" s="12">
        <f>O117</f>
        <v>430</v>
      </c>
      <c r="H559" s="21" t="s">
        <v>90</v>
      </c>
      <c r="I559" s="12">
        <f>L551+8</f>
        <v>93</v>
      </c>
      <c r="J559" s="12">
        <f>I559+8</f>
        <v>101</v>
      </c>
      <c r="K559" s="12">
        <f>J559+8</f>
        <v>109</v>
      </c>
      <c r="L559" s="12">
        <f>K559+8</f>
        <v>117</v>
      </c>
    </row>
    <row r="560" spans="1:12">
      <c r="B560" s="15">
        <v>2011</v>
      </c>
      <c r="C560" s="12">
        <f>93</f>
        <v>93</v>
      </c>
      <c r="D560" s="12">
        <f t="shared" ref="D560:D563" si="120">O102</f>
        <v>5560</v>
      </c>
      <c r="E560" s="12">
        <f>109</f>
        <v>109</v>
      </c>
      <c r="F560" s="12">
        <f t="shared" ref="F560:F563" si="121">O118</f>
        <v>440</v>
      </c>
      <c r="H560" s="21"/>
    </row>
    <row r="561" spans="1:12">
      <c r="B561" s="15">
        <v>2012</v>
      </c>
      <c r="C561" s="12">
        <f>93</f>
        <v>93</v>
      </c>
      <c r="D561" s="12">
        <f t="shared" si="120"/>
        <v>5600</v>
      </c>
      <c r="E561" s="12">
        <f>109</f>
        <v>109</v>
      </c>
      <c r="F561" s="12">
        <f t="shared" si="121"/>
        <v>460</v>
      </c>
      <c r="H561" s="21"/>
    </row>
    <row r="562" spans="1:12">
      <c r="B562" s="15">
        <v>2013</v>
      </c>
      <c r="C562" s="12">
        <f>93</f>
        <v>93</v>
      </c>
      <c r="D562" s="12">
        <f t="shared" si="120"/>
        <v>5610</v>
      </c>
      <c r="E562" s="12">
        <f>109</f>
        <v>109</v>
      </c>
      <c r="F562" s="12">
        <f t="shared" si="121"/>
        <v>480</v>
      </c>
      <c r="H562" s="21"/>
    </row>
    <row r="563" spans="1:12">
      <c r="B563" s="15">
        <v>2014</v>
      </c>
      <c r="C563" s="12">
        <f>93</f>
        <v>93</v>
      </c>
      <c r="D563" s="12">
        <f t="shared" si="120"/>
        <v>5660</v>
      </c>
      <c r="E563" s="12">
        <f>109</f>
        <v>109</v>
      </c>
      <c r="F563" s="12">
        <f t="shared" si="121"/>
        <v>500</v>
      </c>
      <c r="H563" s="21"/>
    </row>
    <row r="564" spans="1:12">
      <c r="B564" s="15">
        <v>2015</v>
      </c>
      <c r="H564" s="21"/>
    </row>
    <row r="565" spans="1:12">
      <c r="H565" s="21"/>
    </row>
    <row r="566" spans="1:12">
      <c r="A566" s="14" t="s">
        <v>395</v>
      </c>
      <c r="B566" s="14" t="s">
        <v>0</v>
      </c>
      <c r="C566" s="14" t="s">
        <v>344</v>
      </c>
      <c r="D566" s="15" t="s">
        <v>345</v>
      </c>
      <c r="E566" s="14">
        <v>24</v>
      </c>
      <c r="F566" s="14">
        <v>75</v>
      </c>
      <c r="G566" s="14"/>
      <c r="H566" s="21"/>
    </row>
    <row r="567" spans="1:12">
      <c r="B567" s="15">
        <v>2010</v>
      </c>
      <c r="C567" s="12">
        <f>125</f>
        <v>125</v>
      </c>
      <c r="D567" s="12">
        <f>O133</f>
        <v>30</v>
      </c>
      <c r="E567" s="12">
        <f>O141</f>
        <v>0</v>
      </c>
      <c r="F567" s="12">
        <f>O149</f>
        <v>50</v>
      </c>
      <c r="H567" s="21"/>
      <c r="I567" s="12">
        <f>L559+8</f>
        <v>125</v>
      </c>
      <c r="J567" s="12">
        <f>I567+8</f>
        <v>133</v>
      </c>
      <c r="K567" s="12">
        <f>J567+8</f>
        <v>141</v>
      </c>
      <c r="L567" s="12">
        <f>K567+8</f>
        <v>149</v>
      </c>
    </row>
    <row r="568" spans="1:12">
      <c r="B568" s="15">
        <v>2011</v>
      </c>
      <c r="C568" s="12">
        <f>125</f>
        <v>125</v>
      </c>
      <c r="D568" s="12">
        <f t="shared" ref="D568:D571" si="122">O134</f>
        <v>20</v>
      </c>
      <c r="E568" s="12">
        <f t="shared" ref="E568:E571" si="123">O142</f>
        <v>40</v>
      </c>
      <c r="F568" s="12">
        <f t="shared" ref="F568:F571" si="124">O150</f>
        <v>50</v>
      </c>
      <c r="H568" s="21"/>
    </row>
    <row r="569" spans="1:12">
      <c r="B569" s="15">
        <v>2012</v>
      </c>
      <c r="C569" s="12">
        <f>125</f>
        <v>125</v>
      </c>
      <c r="D569" s="12">
        <f t="shared" si="122"/>
        <v>50</v>
      </c>
      <c r="E569" s="12">
        <f t="shared" si="123"/>
        <v>40</v>
      </c>
      <c r="F569" s="12">
        <f t="shared" si="124"/>
        <v>50</v>
      </c>
      <c r="H569" s="21"/>
    </row>
    <row r="570" spans="1:12">
      <c r="B570" s="15">
        <v>2013</v>
      </c>
      <c r="C570" s="12">
        <f>125</f>
        <v>125</v>
      </c>
      <c r="D570" s="12">
        <f t="shared" si="122"/>
        <v>40</v>
      </c>
      <c r="E570" s="12">
        <f t="shared" si="123"/>
        <v>20</v>
      </c>
      <c r="F570" s="12">
        <f t="shared" si="124"/>
        <v>50</v>
      </c>
      <c r="H570" s="21"/>
    </row>
    <row r="571" spans="1:12">
      <c r="B571" s="15">
        <v>2014</v>
      </c>
      <c r="C571" s="12">
        <f>125</f>
        <v>125</v>
      </c>
      <c r="D571" s="12">
        <f t="shared" si="122"/>
        <v>70</v>
      </c>
      <c r="E571" s="12">
        <f t="shared" si="123"/>
        <v>40</v>
      </c>
      <c r="F571" s="12">
        <f t="shared" si="124"/>
        <v>60</v>
      </c>
      <c r="H571" s="21"/>
    </row>
    <row r="572" spans="1:12">
      <c r="B572" s="15">
        <v>2015</v>
      </c>
      <c r="H572" s="21"/>
    </row>
    <row r="573" spans="1:12">
      <c r="H573" s="21"/>
    </row>
    <row r="574" spans="1:12">
      <c r="A574" s="14" t="s">
        <v>396</v>
      </c>
      <c r="B574" s="14" t="s">
        <v>0</v>
      </c>
      <c r="C574" s="14" t="s">
        <v>344</v>
      </c>
      <c r="D574" s="15" t="s">
        <v>345</v>
      </c>
      <c r="E574" s="14">
        <v>24</v>
      </c>
      <c r="F574" s="14">
        <v>75</v>
      </c>
      <c r="G574" s="14"/>
      <c r="H574" s="21"/>
      <c r="I574" s="20"/>
      <c r="J574" s="20"/>
      <c r="K574" s="20"/>
      <c r="L574" s="20"/>
    </row>
    <row r="575" spans="1:12">
      <c r="B575" s="15">
        <v>2010</v>
      </c>
      <c r="C575" s="17">
        <f>P21</f>
        <v>20070</v>
      </c>
      <c r="D575" s="12">
        <f>P29</f>
        <v>6100</v>
      </c>
      <c r="E575" s="12">
        <f>P37</f>
        <v>2690</v>
      </c>
      <c r="F575" s="12">
        <f>P45</f>
        <v>290</v>
      </c>
      <c r="H575" s="21" t="s">
        <v>409</v>
      </c>
      <c r="I575" s="12">
        <v>21</v>
      </c>
      <c r="J575" s="12">
        <f>I575+8</f>
        <v>29</v>
      </c>
      <c r="K575" s="12">
        <f>J575+8</f>
        <v>37</v>
      </c>
      <c r="L575" s="12">
        <f>K575+8</f>
        <v>45</v>
      </c>
    </row>
    <row r="576" spans="1:12">
      <c r="B576" s="15">
        <v>2011</v>
      </c>
      <c r="C576" s="17">
        <f>P22</f>
        <v>20530</v>
      </c>
      <c r="D576" s="12">
        <f>P30</f>
        <v>6130</v>
      </c>
      <c r="E576" s="12">
        <f>P38</f>
        <v>2730</v>
      </c>
      <c r="F576" s="12">
        <f>P46</f>
        <v>290</v>
      </c>
      <c r="H576" s="21"/>
    </row>
    <row r="577" spans="1:12">
      <c r="B577" s="15">
        <v>2012</v>
      </c>
      <c r="C577" s="17">
        <f>P23</f>
        <v>20890</v>
      </c>
      <c r="D577" s="12">
        <f>P31</f>
        <v>6250</v>
      </c>
      <c r="E577" s="12">
        <f>P39</f>
        <v>2700</v>
      </c>
      <c r="F577" s="12">
        <f>P47</f>
        <v>300</v>
      </c>
      <c r="H577" s="21"/>
    </row>
    <row r="578" spans="1:12">
      <c r="B578" s="15">
        <v>2013</v>
      </c>
      <c r="C578" s="17">
        <f>P24</f>
        <v>21290</v>
      </c>
      <c r="D578" s="12">
        <f>P32</f>
        <v>6220</v>
      </c>
      <c r="E578" s="12">
        <f>P40</f>
        <v>2690</v>
      </c>
      <c r="F578" s="12">
        <f>P48</f>
        <v>320</v>
      </c>
      <c r="H578" s="21"/>
    </row>
    <row r="579" spans="1:12">
      <c r="B579" s="15">
        <v>2014</v>
      </c>
      <c r="C579" s="17">
        <f>P25</f>
        <v>21750</v>
      </c>
      <c r="D579" s="12">
        <f>P33</f>
        <v>6210</v>
      </c>
      <c r="E579" s="12">
        <f>P41</f>
        <v>2770</v>
      </c>
      <c r="F579" s="12">
        <f>P49</f>
        <v>330</v>
      </c>
      <c r="H579" s="21"/>
    </row>
    <row r="580" spans="1:12">
      <c r="B580" s="15">
        <v>2015</v>
      </c>
      <c r="C580" s="17"/>
      <c r="H580" s="21"/>
    </row>
    <row r="581" spans="1:12">
      <c r="H581" s="21"/>
    </row>
    <row r="582" spans="1:12">
      <c r="A582" s="14" t="s">
        <v>397</v>
      </c>
      <c r="B582" s="14" t="s">
        <v>0</v>
      </c>
      <c r="C582" s="14" t="s">
        <v>344</v>
      </c>
      <c r="D582" s="15" t="s">
        <v>345</v>
      </c>
      <c r="E582" s="14">
        <v>24</v>
      </c>
      <c r="F582" s="14">
        <v>75</v>
      </c>
      <c r="G582" s="14"/>
      <c r="H582" s="21"/>
      <c r="I582" s="14"/>
      <c r="J582" s="14"/>
      <c r="K582" s="14"/>
      <c r="L582" s="14"/>
    </row>
    <row r="583" spans="1:12">
      <c r="B583" s="15">
        <v>2010</v>
      </c>
      <c r="C583" s="12">
        <f>P61</f>
        <v>10310</v>
      </c>
      <c r="D583" s="12">
        <f>P69</f>
        <v>3040</v>
      </c>
      <c r="E583" s="12">
        <f>P77</f>
        <v>1330</v>
      </c>
      <c r="F583" s="12">
        <f>P85</f>
        <v>120</v>
      </c>
      <c r="H583" s="21"/>
      <c r="I583" s="12">
        <v>61</v>
      </c>
      <c r="J583" s="12">
        <f>I583+8</f>
        <v>69</v>
      </c>
      <c r="K583" s="12">
        <f>J583+8</f>
        <v>77</v>
      </c>
      <c r="L583" s="12">
        <f>K583+8</f>
        <v>85</v>
      </c>
    </row>
    <row r="584" spans="1:12">
      <c r="B584" s="15">
        <v>2011</v>
      </c>
      <c r="C584" s="12">
        <f>P62</f>
        <v>10510</v>
      </c>
      <c r="D584" s="12">
        <f>P70</f>
        <v>3050</v>
      </c>
      <c r="E584" s="12">
        <f>P78</f>
        <v>1320</v>
      </c>
      <c r="F584" s="12">
        <f>P86</f>
        <v>130</v>
      </c>
      <c r="H584" s="21"/>
    </row>
    <row r="585" spans="1:12">
      <c r="B585" s="15">
        <v>2012</v>
      </c>
      <c r="C585" s="12">
        <f>P63</f>
        <v>10640</v>
      </c>
      <c r="D585" s="12">
        <f>P71</f>
        <v>3120</v>
      </c>
      <c r="E585" s="12">
        <f>P79</f>
        <v>1320</v>
      </c>
      <c r="F585" s="12">
        <f>P87</f>
        <v>140</v>
      </c>
      <c r="H585" s="21"/>
    </row>
    <row r="586" spans="1:12">
      <c r="B586" s="15">
        <v>2013</v>
      </c>
      <c r="C586" s="12">
        <f>P64</f>
        <v>10890</v>
      </c>
      <c r="D586" s="12">
        <f>P72</f>
        <v>3100</v>
      </c>
      <c r="E586" s="12">
        <f>P80</f>
        <v>1300</v>
      </c>
      <c r="F586" s="12">
        <f>P88</f>
        <v>150</v>
      </c>
      <c r="H586" s="21"/>
    </row>
    <row r="587" spans="1:12">
      <c r="B587" s="15">
        <v>2014</v>
      </c>
      <c r="C587" s="12">
        <f>P65</f>
        <v>11120</v>
      </c>
      <c r="D587" s="12">
        <f>P73</f>
        <v>3100</v>
      </c>
      <c r="E587" s="12">
        <f>P81</f>
        <v>1360</v>
      </c>
      <c r="F587" s="12">
        <f>P89</f>
        <v>150</v>
      </c>
      <c r="H587" s="21"/>
    </row>
    <row r="588" spans="1:12">
      <c r="B588" s="15">
        <v>2015</v>
      </c>
      <c r="H588" s="21"/>
    </row>
    <row r="589" spans="1:12">
      <c r="H589" s="21"/>
    </row>
    <row r="590" spans="1:12">
      <c r="A590" s="14" t="s">
        <v>398</v>
      </c>
      <c r="B590" s="14" t="s">
        <v>0</v>
      </c>
      <c r="C590" s="14" t="s">
        <v>344</v>
      </c>
      <c r="D590" s="15" t="s">
        <v>345</v>
      </c>
      <c r="E590" s="14">
        <v>24</v>
      </c>
      <c r="F590" s="14">
        <v>75</v>
      </c>
      <c r="G590" s="14"/>
      <c r="H590" s="21"/>
    </row>
    <row r="591" spans="1:12">
      <c r="B591" s="15">
        <v>2010</v>
      </c>
      <c r="C591" s="12">
        <f>P93</f>
        <v>9760</v>
      </c>
      <c r="D591" s="12">
        <f>P101</f>
        <v>3060</v>
      </c>
      <c r="E591" s="12">
        <f>P109</f>
        <v>1360</v>
      </c>
      <c r="F591" s="12">
        <f>P117</f>
        <v>170</v>
      </c>
      <c r="H591" s="21" t="s">
        <v>409</v>
      </c>
      <c r="I591" s="12">
        <f>L583+8</f>
        <v>93</v>
      </c>
      <c r="J591" s="12">
        <f>I591+8</f>
        <v>101</v>
      </c>
      <c r="K591" s="12">
        <f>J591+8</f>
        <v>109</v>
      </c>
      <c r="L591" s="12">
        <f>K591+8</f>
        <v>117</v>
      </c>
    </row>
    <row r="592" spans="1:12">
      <c r="B592" s="15">
        <v>2011</v>
      </c>
      <c r="C592" s="12">
        <f t="shared" ref="C592:C595" si="125">P94</f>
        <v>10020</v>
      </c>
      <c r="D592" s="12">
        <f t="shared" ref="D592:D595" si="126">P102</f>
        <v>3080</v>
      </c>
      <c r="E592" s="12">
        <f t="shared" ref="E592:E595" si="127">P110</f>
        <v>1410</v>
      </c>
      <c r="F592" s="12">
        <f t="shared" ref="F592:F595" si="128">P118</f>
        <v>160</v>
      </c>
      <c r="H592" s="21"/>
    </row>
    <row r="593" spans="1:12">
      <c r="B593" s="15">
        <v>2012</v>
      </c>
      <c r="C593" s="12">
        <f t="shared" si="125"/>
        <v>10250</v>
      </c>
      <c r="D593" s="12">
        <f t="shared" si="126"/>
        <v>3130</v>
      </c>
      <c r="E593" s="12">
        <f t="shared" si="127"/>
        <v>1380</v>
      </c>
      <c r="F593" s="12">
        <f t="shared" si="128"/>
        <v>160</v>
      </c>
      <c r="H593" s="21"/>
    </row>
    <row r="594" spans="1:12">
      <c r="B594" s="15">
        <v>2013</v>
      </c>
      <c r="C594" s="12">
        <f t="shared" si="125"/>
        <v>10400</v>
      </c>
      <c r="D594" s="12">
        <f t="shared" si="126"/>
        <v>3120</v>
      </c>
      <c r="E594" s="12">
        <f t="shared" si="127"/>
        <v>1380</v>
      </c>
      <c r="F594" s="12">
        <f t="shared" si="128"/>
        <v>170</v>
      </c>
      <c r="H594" s="21"/>
    </row>
    <row r="595" spans="1:12">
      <c r="B595" s="15">
        <v>2014</v>
      </c>
      <c r="C595" s="12">
        <f t="shared" si="125"/>
        <v>10630</v>
      </c>
      <c r="D595" s="12">
        <f t="shared" si="126"/>
        <v>3120</v>
      </c>
      <c r="E595" s="12">
        <f t="shared" si="127"/>
        <v>1410</v>
      </c>
      <c r="F595" s="12">
        <f t="shared" si="128"/>
        <v>190</v>
      </c>
      <c r="H595" s="21"/>
    </row>
    <row r="596" spans="1:12">
      <c r="B596" s="15">
        <v>2015</v>
      </c>
      <c r="H596" s="21"/>
    </row>
    <row r="597" spans="1:12">
      <c r="H597" s="21"/>
    </row>
    <row r="598" spans="1:12">
      <c r="A598" s="14" t="s">
        <v>399</v>
      </c>
      <c r="B598" s="14" t="s">
        <v>0</v>
      </c>
      <c r="C598" s="14" t="s">
        <v>344</v>
      </c>
      <c r="D598" s="15" t="s">
        <v>345</v>
      </c>
      <c r="E598" s="14">
        <v>24</v>
      </c>
      <c r="F598" s="14">
        <v>75</v>
      </c>
      <c r="G598" s="14"/>
      <c r="H598" s="21"/>
    </row>
    <row r="599" spans="1:12">
      <c r="B599" s="15">
        <v>2010</v>
      </c>
      <c r="C599" s="12">
        <f>P125</f>
        <v>550</v>
      </c>
      <c r="D599" s="12">
        <f>P133</f>
        <v>20</v>
      </c>
      <c r="E599" s="12">
        <f>P141</f>
        <v>30</v>
      </c>
      <c r="F599" s="12">
        <f>P149</f>
        <v>50</v>
      </c>
      <c r="H599" s="21"/>
      <c r="I599" s="12">
        <f>L591+8</f>
        <v>125</v>
      </c>
      <c r="J599" s="12">
        <f>I599+8</f>
        <v>133</v>
      </c>
      <c r="K599" s="12">
        <f>J599+8</f>
        <v>141</v>
      </c>
      <c r="L599" s="12">
        <f>K599+8</f>
        <v>149</v>
      </c>
    </row>
    <row r="600" spans="1:12">
      <c r="B600" s="15">
        <v>2011</v>
      </c>
      <c r="C600" s="12">
        <f t="shared" ref="C600:C603" si="129">P126</f>
        <v>490</v>
      </c>
      <c r="D600" s="12">
        <f t="shared" ref="D600:D603" si="130">P134</f>
        <v>30</v>
      </c>
      <c r="E600" s="12">
        <f t="shared" ref="E600:E603" si="131">P142</f>
        <v>90</v>
      </c>
      <c r="F600" s="12">
        <f t="shared" ref="F600:F603" si="132">P150</f>
        <v>30</v>
      </c>
      <c r="H600" s="21"/>
    </row>
    <row r="601" spans="1:12">
      <c r="B601" s="15">
        <v>2012</v>
      </c>
      <c r="C601" s="12">
        <f t="shared" si="129"/>
        <v>390</v>
      </c>
      <c r="D601" s="12">
        <f t="shared" si="130"/>
        <v>10</v>
      </c>
      <c r="E601" s="12">
        <f t="shared" si="131"/>
        <v>60</v>
      </c>
      <c r="F601" s="12">
        <f t="shared" si="132"/>
        <v>20</v>
      </c>
      <c r="H601" s="21"/>
    </row>
    <row r="602" spans="1:12">
      <c r="B602" s="15">
        <v>2013</v>
      </c>
      <c r="C602" s="12">
        <f t="shared" si="129"/>
        <v>490</v>
      </c>
      <c r="D602" s="12">
        <f t="shared" si="130"/>
        <v>20</v>
      </c>
      <c r="E602" s="12">
        <f t="shared" si="131"/>
        <v>80</v>
      </c>
      <c r="F602" s="12">
        <f t="shared" si="132"/>
        <v>20</v>
      </c>
      <c r="H602" s="21"/>
    </row>
    <row r="603" spans="1:12">
      <c r="B603" s="15">
        <v>2014</v>
      </c>
      <c r="C603" s="12">
        <f t="shared" si="129"/>
        <v>490</v>
      </c>
      <c r="D603" s="12">
        <f t="shared" si="130"/>
        <v>20</v>
      </c>
      <c r="E603" s="12">
        <f t="shared" si="131"/>
        <v>50</v>
      </c>
      <c r="F603" s="12">
        <f t="shared" si="132"/>
        <v>40</v>
      </c>
      <c r="H603" s="21"/>
    </row>
    <row r="604" spans="1:12">
      <c r="B604" s="15">
        <v>2015</v>
      </c>
    </row>
  </sheetData>
  <mergeCells count="3">
    <mergeCell ref="A156:P156"/>
    <mergeCell ref="A1:P1"/>
    <mergeCell ref="A2:P2"/>
  </mergeCells>
  <phoneticPr fontId="6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1"/>
  <sheetViews>
    <sheetView workbookViewId="0">
      <selection sqref="A1:G1"/>
    </sheetView>
  </sheetViews>
  <sheetFormatPr baseColWidth="10" defaultRowHeight="15" x14ac:dyDescent="0"/>
  <cols>
    <col min="1" max="1" width="10.83203125" style="6"/>
  </cols>
  <sheetData>
    <row r="1" spans="1:8">
      <c r="A1" s="32" t="s">
        <v>411</v>
      </c>
      <c r="B1" s="32"/>
      <c r="C1" s="32"/>
      <c r="D1" s="32"/>
      <c r="E1" s="32"/>
      <c r="F1" s="32"/>
      <c r="G1" s="32"/>
    </row>
    <row r="2" spans="1:8">
      <c r="A2" s="32" t="s">
        <v>400</v>
      </c>
      <c r="B2" s="32"/>
      <c r="C2" s="32"/>
      <c r="D2" s="32"/>
      <c r="E2" s="32"/>
      <c r="F2" s="32"/>
      <c r="G2" s="32"/>
    </row>
    <row r="4" spans="1:8">
      <c r="A4" s="6" t="s">
        <v>6</v>
      </c>
      <c r="B4" s="1"/>
      <c r="C4" s="1"/>
      <c r="D4" s="1"/>
      <c r="E4" s="1"/>
      <c r="F4" s="1"/>
      <c r="G4" s="1"/>
      <c r="H4" s="1"/>
    </row>
    <row r="5" spans="1:8">
      <c r="A5" s="6" t="s">
        <v>0</v>
      </c>
      <c r="B5" s="2">
        <v>2010</v>
      </c>
      <c r="C5" s="2">
        <v>2011</v>
      </c>
      <c r="D5" s="2">
        <v>2012</v>
      </c>
      <c r="E5" s="2">
        <v>2013</v>
      </c>
      <c r="F5" s="2">
        <v>2014</v>
      </c>
      <c r="G5" s="2">
        <v>2015</v>
      </c>
      <c r="H5" s="2"/>
    </row>
    <row r="6" spans="1:8">
      <c r="A6" s="6" t="s">
        <v>1</v>
      </c>
      <c r="B6" s="3">
        <v>55787</v>
      </c>
      <c r="C6" s="3">
        <v>55820</v>
      </c>
      <c r="D6" s="3">
        <v>55673</v>
      </c>
      <c r="E6" s="3">
        <v>55252</v>
      </c>
      <c r="F6" s="3">
        <v>54650</v>
      </c>
      <c r="G6" s="3">
        <v>54445</v>
      </c>
    </row>
    <row r="7" spans="1:8">
      <c r="A7" s="6" t="s">
        <v>2</v>
      </c>
      <c r="B7" s="3">
        <v>13281</v>
      </c>
      <c r="C7" s="3">
        <v>13604</v>
      </c>
      <c r="D7" s="3">
        <v>13832</v>
      </c>
      <c r="E7" s="3">
        <v>13998</v>
      </c>
      <c r="F7" s="3">
        <v>14156</v>
      </c>
      <c r="G7" s="3">
        <v>14332</v>
      </c>
    </row>
    <row r="9" spans="1:8">
      <c r="A9" s="6" t="s">
        <v>7</v>
      </c>
      <c r="B9" s="1"/>
      <c r="C9" s="1"/>
      <c r="D9" s="1"/>
      <c r="E9" s="1"/>
      <c r="F9" s="1"/>
      <c r="G9" s="1"/>
    </row>
    <row r="10" spans="1:8">
      <c r="A10" s="6" t="s">
        <v>0</v>
      </c>
      <c r="B10" s="2">
        <v>2010</v>
      </c>
      <c r="C10" s="2">
        <v>2011</v>
      </c>
      <c r="D10" s="2">
        <v>2012</v>
      </c>
      <c r="E10" s="2">
        <v>2013</v>
      </c>
      <c r="F10" s="2">
        <v>2014</v>
      </c>
      <c r="G10" s="2">
        <v>2015</v>
      </c>
    </row>
    <row r="11" spans="1:8">
      <c r="A11" s="6" t="s">
        <v>1</v>
      </c>
      <c r="B11" s="3">
        <v>55787</v>
      </c>
      <c r="C11" s="3">
        <v>55820</v>
      </c>
      <c r="D11" s="3">
        <v>55673</v>
      </c>
      <c r="E11" s="3">
        <v>55252</v>
      </c>
      <c r="F11" s="3">
        <v>54650</v>
      </c>
      <c r="G11" s="3">
        <v>54445</v>
      </c>
    </row>
    <row r="12" spans="1:8">
      <c r="A12" s="6" t="s">
        <v>2</v>
      </c>
      <c r="B12" s="3">
        <v>13281</v>
      </c>
      <c r="C12" s="3">
        <v>13604</v>
      </c>
      <c r="D12" s="3">
        <v>13832</v>
      </c>
      <c r="E12" s="3">
        <v>13998</v>
      </c>
      <c r="F12" s="3">
        <v>14156</v>
      </c>
      <c r="G12" s="3">
        <v>14332</v>
      </c>
    </row>
    <row r="13" spans="1:8">
      <c r="A13" s="6" t="s">
        <v>3</v>
      </c>
      <c r="B13" s="3">
        <v>42506</v>
      </c>
      <c r="C13" s="3">
        <v>42216</v>
      </c>
      <c r="D13" s="3">
        <v>41841</v>
      </c>
      <c r="E13" s="3">
        <v>41254</v>
      </c>
      <c r="F13" s="3">
        <v>40494</v>
      </c>
      <c r="G13" s="3">
        <v>40113</v>
      </c>
    </row>
    <row r="15" spans="1:8">
      <c r="A15" s="6" t="s">
        <v>31</v>
      </c>
      <c r="B15" s="1"/>
      <c r="C15" s="1"/>
      <c r="D15" s="1"/>
      <c r="E15" s="1"/>
      <c r="F15" s="1"/>
      <c r="G15" s="1"/>
    </row>
    <row r="16" spans="1:8">
      <c r="A16" s="6" t="s">
        <v>0</v>
      </c>
      <c r="B16" s="2">
        <v>2010</v>
      </c>
      <c r="C16" s="2">
        <v>2011</v>
      </c>
      <c r="D16" s="2">
        <v>2012</v>
      </c>
      <c r="E16" s="2">
        <v>2013</v>
      </c>
      <c r="F16" s="2">
        <v>2014</v>
      </c>
      <c r="G16" s="2">
        <v>2015</v>
      </c>
    </row>
    <row r="17" spans="1:7">
      <c r="A17" s="6" t="s">
        <v>4</v>
      </c>
      <c r="B17" s="4">
        <v>14236880</v>
      </c>
      <c r="C17" s="4">
        <v>14416150</v>
      </c>
      <c r="D17" s="4">
        <v>14573530</v>
      </c>
      <c r="E17" s="4">
        <v>14749470</v>
      </c>
      <c r="F17" s="4">
        <v>14922630</v>
      </c>
      <c r="G17" s="3"/>
    </row>
    <row r="18" spans="1:7">
      <c r="A18" s="6" t="s">
        <v>18</v>
      </c>
      <c r="B18" s="4">
        <v>205830</v>
      </c>
      <c r="C18" s="4">
        <v>206740</v>
      </c>
      <c r="D18" s="4">
        <v>207080</v>
      </c>
      <c r="E18" s="4">
        <v>207310</v>
      </c>
      <c r="F18" s="4">
        <v>208650</v>
      </c>
      <c r="G18" s="4"/>
    </row>
    <row r="19" spans="1:7">
      <c r="A19" s="6" t="s">
        <v>51</v>
      </c>
      <c r="B19" s="4">
        <v>58930</v>
      </c>
      <c r="C19" s="4">
        <v>59070</v>
      </c>
      <c r="D19" s="4">
        <v>58630</v>
      </c>
      <c r="E19" s="4">
        <v>58480</v>
      </c>
      <c r="F19" s="4">
        <v>58720</v>
      </c>
    </row>
    <row r="20" spans="1:7">
      <c r="A20" s="6" t="s">
        <v>65</v>
      </c>
      <c r="B20" s="4">
        <v>382650</v>
      </c>
      <c r="C20" s="4">
        <v>383330</v>
      </c>
      <c r="D20" s="4">
        <v>381040</v>
      </c>
      <c r="E20" s="4">
        <v>381010</v>
      </c>
      <c r="F20" s="4">
        <v>381540</v>
      </c>
      <c r="G20" s="4"/>
    </row>
    <row r="21" spans="1:7">
      <c r="A21" s="6" t="s">
        <v>78</v>
      </c>
      <c r="B21" s="4">
        <v>302780</v>
      </c>
      <c r="C21" s="4">
        <v>302150</v>
      </c>
      <c r="D21" s="4">
        <v>300100</v>
      </c>
      <c r="E21" s="4">
        <v>298560</v>
      </c>
      <c r="F21" s="4">
        <v>299360</v>
      </c>
      <c r="G21" s="4"/>
    </row>
    <row r="22" spans="1:7">
      <c r="A22" s="6" t="s">
        <v>104</v>
      </c>
      <c r="B22" s="4">
        <v>3330360</v>
      </c>
      <c r="C22" s="4">
        <v>3365750</v>
      </c>
      <c r="D22" s="4">
        <v>3396010</v>
      </c>
      <c r="E22" s="4">
        <v>3420020</v>
      </c>
      <c r="F22" s="4">
        <v>3448690</v>
      </c>
      <c r="G22" s="4"/>
    </row>
    <row r="23" spans="1:7">
      <c r="A23" s="6" t="s">
        <v>117</v>
      </c>
      <c r="B23" s="4">
        <v>5479920</v>
      </c>
      <c r="C23" s="4">
        <v>5526970</v>
      </c>
      <c r="D23" s="4">
        <v>5569180</v>
      </c>
      <c r="E23" s="4">
        <v>5623700</v>
      </c>
      <c r="F23" s="4">
        <v>5681420</v>
      </c>
      <c r="G23" s="4"/>
    </row>
    <row r="24" spans="1:7">
      <c r="A24" s="6" t="s">
        <v>130</v>
      </c>
      <c r="B24" s="4">
        <v>550740</v>
      </c>
      <c r="C24" s="4">
        <v>559000</v>
      </c>
      <c r="D24" s="4">
        <v>564890</v>
      </c>
      <c r="E24" s="4">
        <v>571780</v>
      </c>
      <c r="F24" s="4">
        <v>578420</v>
      </c>
      <c r="G24" s="4"/>
    </row>
    <row r="25" spans="1:7">
      <c r="A25" s="6" t="s">
        <v>143</v>
      </c>
      <c r="B25" s="4">
        <v>470660</v>
      </c>
      <c r="C25" s="4">
        <v>482110</v>
      </c>
      <c r="D25" s="4">
        <v>490370</v>
      </c>
      <c r="E25" s="4">
        <v>497220</v>
      </c>
      <c r="F25" s="4">
        <v>503860</v>
      </c>
      <c r="G25" s="4"/>
    </row>
    <row r="26" spans="1:7">
      <c r="A26" s="6" t="s">
        <v>156</v>
      </c>
      <c r="B26" s="4">
        <v>1598410</v>
      </c>
      <c r="C26" s="4">
        <v>1650840</v>
      </c>
      <c r="D26" s="4">
        <v>1717230</v>
      </c>
      <c r="E26" s="4">
        <v>1779830</v>
      </c>
      <c r="F26" s="4">
        <v>1822880</v>
      </c>
      <c r="G26" s="4"/>
    </row>
    <row r="27" spans="1:7">
      <c r="A27" s="6" t="s">
        <v>169</v>
      </c>
      <c r="B27" s="4">
        <v>1797140</v>
      </c>
      <c r="C27" s="4">
        <v>1819880</v>
      </c>
      <c r="D27" s="4">
        <v>1828090</v>
      </c>
      <c r="E27" s="4">
        <v>1850260</v>
      </c>
      <c r="F27" s="4">
        <v>1876930</v>
      </c>
      <c r="G27" s="4"/>
    </row>
    <row r="28" spans="1:7">
      <c r="A28" s="6" t="s">
        <v>182</v>
      </c>
      <c r="B28" s="4">
        <v>16530</v>
      </c>
      <c r="C28" s="4">
        <v>16970</v>
      </c>
      <c r="D28" s="4">
        <v>17130</v>
      </c>
      <c r="E28" s="4">
        <v>17150</v>
      </c>
      <c r="F28" s="4">
        <v>17270</v>
      </c>
    </row>
    <row r="29" spans="1:7">
      <c r="A29" s="6" t="s">
        <v>195</v>
      </c>
      <c r="B29" s="4">
        <v>22880</v>
      </c>
      <c r="C29" s="4">
        <v>22830</v>
      </c>
      <c r="D29" s="4">
        <v>22910</v>
      </c>
      <c r="E29" s="4">
        <v>22870</v>
      </c>
      <c r="F29" s="4">
        <v>23130</v>
      </c>
    </row>
    <row r="30" spans="1:7">
      <c r="A30" s="6" t="s">
        <v>208</v>
      </c>
      <c r="B30" s="4">
        <v>20070</v>
      </c>
      <c r="C30" s="4">
        <v>20530</v>
      </c>
      <c r="D30" s="4">
        <v>20890</v>
      </c>
      <c r="E30" s="4">
        <v>21290</v>
      </c>
      <c r="F30" s="4">
        <v>21750</v>
      </c>
      <c r="G30" s="4"/>
    </row>
    <row r="32" spans="1:7">
      <c r="A32" s="6" t="s">
        <v>32</v>
      </c>
      <c r="B32" s="1"/>
      <c r="C32" s="1"/>
      <c r="D32" s="1"/>
      <c r="E32" s="1"/>
      <c r="F32" s="1"/>
      <c r="G32" s="1"/>
    </row>
    <row r="33" spans="1:7">
      <c r="A33" s="6" t="s">
        <v>0</v>
      </c>
      <c r="B33" s="2">
        <v>2010</v>
      </c>
      <c r="C33" s="2">
        <v>2011</v>
      </c>
      <c r="D33" s="2">
        <v>2012</v>
      </c>
      <c r="E33" s="2">
        <v>2013</v>
      </c>
      <c r="F33" s="2">
        <v>2014</v>
      </c>
      <c r="G33" s="2">
        <v>2015</v>
      </c>
    </row>
    <row r="34" spans="1:7">
      <c r="A34" s="7" t="s">
        <v>5</v>
      </c>
      <c r="B34" s="3">
        <v>12747920</v>
      </c>
      <c r="C34" s="3">
        <v>12849240</v>
      </c>
      <c r="D34" s="3">
        <v>12948940</v>
      </c>
      <c r="E34" s="3">
        <v>13053370</v>
      </c>
      <c r="F34" s="3">
        <v>13163280</v>
      </c>
      <c r="G34" s="3"/>
    </row>
    <row r="35" spans="1:7">
      <c r="A35" s="7" t="s">
        <v>19</v>
      </c>
      <c r="B35" s="3">
        <v>225350</v>
      </c>
      <c r="C35" s="3">
        <v>225910</v>
      </c>
      <c r="D35" s="3">
        <v>225760</v>
      </c>
      <c r="E35" s="3">
        <v>225990</v>
      </c>
      <c r="F35" s="3">
        <v>226490</v>
      </c>
      <c r="G35" s="3"/>
    </row>
    <row r="36" spans="1:7">
      <c r="A36" s="7" t="s">
        <v>52</v>
      </c>
      <c r="B36" s="3">
        <v>58960</v>
      </c>
      <c r="C36" s="3">
        <v>59170</v>
      </c>
      <c r="D36" s="3">
        <v>59190</v>
      </c>
      <c r="E36" s="3">
        <v>59020</v>
      </c>
      <c r="F36" s="3">
        <v>59240</v>
      </c>
    </row>
    <row r="37" spans="1:7">
      <c r="A37" s="7" t="s">
        <v>66</v>
      </c>
      <c r="B37" s="3">
        <v>365010</v>
      </c>
      <c r="C37" s="3">
        <v>364550</v>
      </c>
      <c r="D37" s="3">
        <v>362910</v>
      </c>
      <c r="E37" s="3">
        <v>361150</v>
      </c>
      <c r="F37" s="3">
        <v>360140</v>
      </c>
      <c r="G37" s="3"/>
    </row>
    <row r="38" spans="1:7">
      <c r="A38" s="6" t="s">
        <v>79</v>
      </c>
      <c r="B38" s="4">
        <v>299470</v>
      </c>
      <c r="C38" s="4">
        <v>298920</v>
      </c>
      <c r="D38" s="4">
        <v>298130</v>
      </c>
      <c r="E38" s="4">
        <v>296410</v>
      </c>
      <c r="F38" s="4">
        <v>295600</v>
      </c>
      <c r="G38" s="4"/>
    </row>
    <row r="39" spans="1:7">
      <c r="A39" s="7" t="s">
        <v>105</v>
      </c>
      <c r="B39" s="3">
        <v>2316960</v>
      </c>
      <c r="C39" s="3">
        <v>2318250</v>
      </c>
      <c r="D39" s="3">
        <v>2319520</v>
      </c>
      <c r="E39" s="3">
        <v>2316210</v>
      </c>
      <c r="F39" s="3">
        <v>2311820</v>
      </c>
      <c r="G39" s="3"/>
    </row>
    <row r="40" spans="1:7">
      <c r="A40" s="7" t="s">
        <v>118</v>
      </c>
      <c r="B40" s="3">
        <v>5303640</v>
      </c>
      <c r="C40" s="3">
        <v>5343040</v>
      </c>
      <c r="D40" s="3">
        <v>5376040</v>
      </c>
      <c r="E40" s="3">
        <v>5409690</v>
      </c>
      <c r="F40" s="3">
        <v>5449970</v>
      </c>
      <c r="G40" s="3"/>
    </row>
    <row r="41" spans="1:7">
      <c r="A41" s="7" t="s">
        <v>131</v>
      </c>
      <c r="B41" s="3">
        <v>470400</v>
      </c>
      <c r="C41" s="3">
        <v>475680</v>
      </c>
      <c r="D41" s="3">
        <v>480250</v>
      </c>
      <c r="E41" s="3">
        <v>484480</v>
      </c>
      <c r="F41" s="3">
        <v>489190</v>
      </c>
      <c r="G41" s="3"/>
    </row>
    <row r="42" spans="1:7">
      <c r="A42" s="7" t="s">
        <v>144</v>
      </c>
      <c r="B42" s="3">
        <v>407900</v>
      </c>
      <c r="C42" s="3">
        <v>413920</v>
      </c>
      <c r="D42" s="3">
        <v>420850</v>
      </c>
      <c r="E42" s="3">
        <v>426060</v>
      </c>
      <c r="F42" s="3">
        <v>430690</v>
      </c>
      <c r="G42" s="3"/>
    </row>
    <row r="43" spans="1:7">
      <c r="A43" s="6" t="s">
        <v>157</v>
      </c>
      <c r="B43" s="4">
        <v>1474280</v>
      </c>
      <c r="C43" s="4">
        <v>1506390</v>
      </c>
      <c r="D43" s="4">
        <v>1549690</v>
      </c>
      <c r="E43" s="4">
        <v>1597430</v>
      </c>
      <c r="F43" s="4">
        <v>1637860</v>
      </c>
      <c r="G43" s="4"/>
    </row>
    <row r="44" spans="1:7">
      <c r="A44" s="6" t="s">
        <v>170</v>
      </c>
      <c r="B44" s="4">
        <v>1798550</v>
      </c>
      <c r="C44" s="4">
        <v>1815700</v>
      </c>
      <c r="D44" s="4">
        <v>1828730</v>
      </c>
      <c r="E44" s="4">
        <v>1848920</v>
      </c>
      <c r="F44" s="4">
        <v>1873990</v>
      </c>
      <c r="G44" s="4"/>
    </row>
    <row r="45" spans="1:7">
      <c r="A45" s="6" t="s">
        <v>183</v>
      </c>
      <c r="B45" s="4">
        <v>10170</v>
      </c>
      <c r="C45" s="4">
        <v>10480</v>
      </c>
      <c r="D45" s="4">
        <v>10470</v>
      </c>
      <c r="E45" s="4">
        <v>10630</v>
      </c>
      <c r="F45" s="4">
        <v>10810</v>
      </c>
    </row>
    <row r="46" spans="1:7">
      <c r="A46" s="6" t="s">
        <v>196</v>
      </c>
      <c r="B46" s="4">
        <v>11130</v>
      </c>
      <c r="C46" s="4">
        <v>11110</v>
      </c>
      <c r="D46" s="4">
        <v>11150</v>
      </c>
      <c r="E46" s="4">
        <v>11180</v>
      </c>
      <c r="F46" s="4">
        <v>11250</v>
      </c>
    </row>
    <row r="47" spans="1:7">
      <c r="A47" s="6" t="s">
        <v>209</v>
      </c>
      <c r="B47" s="4">
        <v>6100</v>
      </c>
      <c r="C47" s="4">
        <v>6130</v>
      </c>
      <c r="D47" s="4">
        <v>6250</v>
      </c>
      <c r="E47" s="4">
        <v>6220</v>
      </c>
      <c r="F47" s="4">
        <v>6210</v>
      </c>
      <c r="G47" s="4"/>
    </row>
    <row r="49" spans="1:7">
      <c r="A49" s="6" t="s">
        <v>33</v>
      </c>
      <c r="B49" s="1"/>
      <c r="C49" s="1"/>
      <c r="D49" s="1"/>
      <c r="E49" s="1"/>
      <c r="F49" s="1"/>
      <c r="G49" s="1"/>
    </row>
    <row r="50" spans="1:7">
      <c r="A50" s="6" t="s">
        <v>0</v>
      </c>
      <c r="B50" s="2">
        <v>2010</v>
      </c>
      <c r="C50" s="2">
        <v>2011</v>
      </c>
      <c r="D50" s="2">
        <v>2012</v>
      </c>
      <c r="E50" s="2">
        <v>2013</v>
      </c>
      <c r="F50" s="2">
        <v>2014</v>
      </c>
      <c r="G50" s="2">
        <v>2015</v>
      </c>
    </row>
    <row r="51" spans="1:7">
      <c r="A51" s="6" t="s">
        <v>8</v>
      </c>
      <c r="B51" s="4">
        <v>2026310</v>
      </c>
      <c r="C51" s="4">
        <v>2061230</v>
      </c>
      <c r="D51" s="4">
        <v>2085710</v>
      </c>
      <c r="E51" s="4">
        <v>2103860</v>
      </c>
      <c r="F51" s="4">
        <v>2112200</v>
      </c>
      <c r="G51" s="3"/>
    </row>
    <row r="52" spans="1:7">
      <c r="A52" s="7" t="s">
        <v>20</v>
      </c>
      <c r="B52" s="3">
        <v>29470</v>
      </c>
      <c r="C52" s="3">
        <v>29450</v>
      </c>
      <c r="D52" s="3">
        <v>29120</v>
      </c>
      <c r="E52" s="3">
        <v>28650</v>
      </c>
      <c r="F52" s="3">
        <v>28240</v>
      </c>
      <c r="G52" s="3"/>
    </row>
    <row r="53" spans="1:7">
      <c r="A53" s="7" t="s">
        <v>53</v>
      </c>
      <c r="B53" s="3">
        <v>8810</v>
      </c>
      <c r="C53" s="3">
        <v>8890</v>
      </c>
      <c r="D53" s="3">
        <v>8840</v>
      </c>
      <c r="E53" s="3">
        <v>8650</v>
      </c>
      <c r="F53" s="3">
        <v>8520</v>
      </c>
    </row>
    <row r="54" spans="1:7">
      <c r="A54" s="7" t="s">
        <v>67</v>
      </c>
      <c r="B54" s="3">
        <v>54960</v>
      </c>
      <c r="C54" s="3">
        <v>55560</v>
      </c>
      <c r="D54" s="3">
        <v>54910</v>
      </c>
      <c r="E54" s="3">
        <v>54470</v>
      </c>
      <c r="F54" s="3">
        <v>53570</v>
      </c>
      <c r="G54" s="3"/>
    </row>
    <row r="55" spans="1:7">
      <c r="A55" s="6" t="s">
        <v>80</v>
      </c>
      <c r="B55" s="4">
        <v>43640</v>
      </c>
      <c r="C55" s="4">
        <v>43460</v>
      </c>
      <c r="D55" s="4">
        <v>42960</v>
      </c>
      <c r="E55" s="4">
        <v>41870</v>
      </c>
      <c r="F55" s="4">
        <v>41610</v>
      </c>
      <c r="G55" s="4"/>
    </row>
    <row r="56" spans="1:7">
      <c r="A56" s="7" t="s">
        <v>106</v>
      </c>
      <c r="B56" s="3">
        <v>447550</v>
      </c>
      <c r="C56" s="3">
        <v>460420</v>
      </c>
      <c r="D56" s="3">
        <v>472120</v>
      </c>
      <c r="E56" s="3">
        <v>478530</v>
      </c>
      <c r="F56" s="3">
        <v>478340</v>
      </c>
      <c r="G56" s="3"/>
    </row>
    <row r="57" spans="1:7">
      <c r="A57" s="7" t="s">
        <v>119</v>
      </c>
      <c r="B57" s="3">
        <v>784580</v>
      </c>
      <c r="C57" s="3">
        <v>793430</v>
      </c>
      <c r="D57" s="3">
        <v>800070</v>
      </c>
      <c r="E57" s="3">
        <v>805890</v>
      </c>
      <c r="F57" s="3">
        <v>812420</v>
      </c>
      <c r="G57" s="3"/>
    </row>
    <row r="58" spans="1:7">
      <c r="A58" s="7" t="s">
        <v>132</v>
      </c>
      <c r="B58" s="3">
        <v>80170</v>
      </c>
      <c r="C58" s="3">
        <v>82370</v>
      </c>
      <c r="D58" s="3">
        <v>83300</v>
      </c>
      <c r="E58" s="3">
        <v>84400</v>
      </c>
      <c r="F58" s="3">
        <v>84900</v>
      </c>
      <c r="G58" s="3"/>
    </row>
    <row r="59" spans="1:7">
      <c r="A59" s="7" t="s">
        <v>145</v>
      </c>
      <c r="B59" s="3">
        <v>70800</v>
      </c>
      <c r="C59" s="3">
        <v>73080</v>
      </c>
      <c r="D59" s="3">
        <v>73540</v>
      </c>
      <c r="E59" s="3">
        <v>73300</v>
      </c>
      <c r="F59" s="3">
        <v>72080</v>
      </c>
      <c r="G59" s="3"/>
    </row>
    <row r="60" spans="1:7">
      <c r="A60" s="6" t="s">
        <v>158</v>
      </c>
      <c r="B60" s="4">
        <v>238430</v>
      </c>
      <c r="C60" s="4">
        <v>243780</v>
      </c>
      <c r="D60" s="4">
        <v>250680</v>
      </c>
      <c r="E60" s="4">
        <v>256790</v>
      </c>
      <c r="F60" s="4">
        <v>258290</v>
      </c>
      <c r="G60" s="4"/>
    </row>
    <row r="61" spans="1:7">
      <c r="A61" s="6" t="s">
        <v>171</v>
      </c>
      <c r="B61" s="4">
        <v>259920</v>
      </c>
      <c r="C61" s="4">
        <v>262680</v>
      </c>
      <c r="D61" s="4">
        <v>262130</v>
      </c>
      <c r="E61" s="4">
        <v>263380</v>
      </c>
      <c r="F61" s="4">
        <v>266350</v>
      </c>
      <c r="G61" s="4"/>
    </row>
    <row r="62" spans="1:7">
      <c r="A62" s="6" t="s">
        <v>184</v>
      </c>
      <c r="B62" s="4">
        <v>2090</v>
      </c>
      <c r="C62" s="4">
        <v>2140</v>
      </c>
      <c r="D62" s="4">
        <v>2140</v>
      </c>
      <c r="E62" s="4">
        <v>2070</v>
      </c>
      <c r="F62" s="4">
        <v>2020</v>
      </c>
    </row>
    <row r="63" spans="1:7">
      <c r="A63" s="6" t="s">
        <v>197</v>
      </c>
      <c r="B63" s="4">
        <v>3200</v>
      </c>
      <c r="C63" s="4">
        <v>3250</v>
      </c>
      <c r="D63" s="4">
        <v>3190</v>
      </c>
      <c r="E63" s="4">
        <v>3170</v>
      </c>
      <c r="F63" s="4">
        <v>3100</v>
      </c>
    </row>
    <row r="64" spans="1:7">
      <c r="A64" s="6" t="s">
        <v>210</v>
      </c>
      <c r="B64" s="4">
        <v>2690</v>
      </c>
      <c r="C64" s="4">
        <v>2730</v>
      </c>
      <c r="D64" s="4">
        <v>2700</v>
      </c>
      <c r="E64" s="4">
        <v>2690</v>
      </c>
      <c r="F64" s="4">
        <v>2770</v>
      </c>
      <c r="G64" s="4"/>
    </row>
    <row r="66" spans="1:7">
      <c r="A66" s="6" t="s">
        <v>34</v>
      </c>
      <c r="B66" s="1"/>
      <c r="C66" s="1"/>
      <c r="D66" s="1"/>
      <c r="E66" s="1"/>
      <c r="F66" s="1"/>
      <c r="G66" s="1"/>
    </row>
    <row r="67" spans="1:7">
      <c r="A67" s="6" t="s">
        <v>0</v>
      </c>
      <c r="B67" s="2">
        <v>2010</v>
      </c>
      <c r="C67" s="2">
        <v>2011</v>
      </c>
      <c r="D67" s="2">
        <v>2012</v>
      </c>
      <c r="E67" s="2">
        <v>2013</v>
      </c>
      <c r="F67" s="2">
        <v>2014</v>
      </c>
      <c r="G67" s="2">
        <v>2015</v>
      </c>
    </row>
    <row r="68" spans="1:7">
      <c r="A68" s="6" t="s">
        <v>9</v>
      </c>
      <c r="B68" s="4">
        <v>2173790</v>
      </c>
      <c r="C68" s="4">
        <v>2222820</v>
      </c>
      <c r="D68" s="4">
        <v>2268780</v>
      </c>
      <c r="E68" s="4">
        <v>2324870</v>
      </c>
      <c r="F68" s="4">
        <v>2381640</v>
      </c>
      <c r="G68" s="3"/>
    </row>
    <row r="69" spans="1:7">
      <c r="A69" s="7" t="s">
        <v>21</v>
      </c>
      <c r="B69" s="3">
        <v>32270</v>
      </c>
      <c r="C69" s="3">
        <v>33090</v>
      </c>
      <c r="D69" s="3">
        <v>33770</v>
      </c>
      <c r="E69" s="3">
        <v>34570</v>
      </c>
      <c r="F69" s="3">
        <v>35500</v>
      </c>
      <c r="G69" s="3"/>
    </row>
    <row r="70" spans="1:7">
      <c r="A70" s="7" t="s">
        <v>54</v>
      </c>
      <c r="B70" s="3">
        <v>9830</v>
      </c>
      <c r="C70" s="3">
        <v>10020</v>
      </c>
      <c r="D70" s="3">
        <v>10180</v>
      </c>
      <c r="E70" s="3">
        <v>10340</v>
      </c>
      <c r="F70" s="3">
        <v>10520</v>
      </c>
    </row>
    <row r="71" spans="1:7">
      <c r="A71" s="7" t="s">
        <v>68</v>
      </c>
      <c r="B71" s="3">
        <v>65810</v>
      </c>
      <c r="C71" s="3">
        <v>66900</v>
      </c>
      <c r="D71" s="3">
        <v>67970</v>
      </c>
      <c r="E71" s="3">
        <v>69400</v>
      </c>
      <c r="F71" s="3">
        <v>70770</v>
      </c>
      <c r="G71" s="3"/>
    </row>
    <row r="72" spans="1:7">
      <c r="A72" s="6" t="s">
        <v>81</v>
      </c>
      <c r="B72" s="4">
        <v>52670</v>
      </c>
      <c r="C72" s="4">
        <v>53600</v>
      </c>
      <c r="D72" s="4">
        <v>54570</v>
      </c>
      <c r="E72" s="4">
        <v>55760</v>
      </c>
      <c r="F72" s="4">
        <v>56940</v>
      </c>
      <c r="G72" s="4"/>
    </row>
    <row r="73" spans="1:7">
      <c r="A73" s="7" t="s">
        <v>107</v>
      </c>
      <c r="B73" s="3">
        <v>538200</v>
      </c>
      <c r="C73" s="3">
        <v>550870</v>
      </c>
      <c r="D73" s="3">
        <v>561860</v>
      </c>
      <c r="E73" s="3">
        <v>576160</v>
      </c>
      <c r="F73" s="3">
        <v>591030</v>
      </c>
      <c r="G73" s="3"/>
    </row>
    <row r="74" spans="1:7">
      <c r="A74" s="7" t="s">
        <v>120</v>
      </c>
      <c r="B74" s="3">
        <v>835720</v>
      </c>
      <c r="C74" s="3">
        <v>856580</v>
      </c>
      <c r="D74" s="3">
        <v>877120</v>
      </c>
      <c r="E74" s="3">
        <v>900430</v>
      </c>
      <c r="F74" s="3">
        <v>924400</v>
      </c>
      <c r="G74" s="3"/>
    </row>
    <row r="75" spans="1:7">
      <c r="A75" s="7" t="s">
        <v>133</v>
      </c>
      <c r="B75" s="3">
        <v>81780</v>
      </c>
      <c r="C75" s="3">
        <v>82000</v>
      </c>
      <c r="D75" s="3">
        <v>82510</v>
      </c>
      <c r="E75" s="3">
        <v>83260</v>
      </c>
      <c r="F75" s="3">
        <v>83540</v>
      </c>
      <c r="G75" s="3"/>
    </row>
    <row r="76" spans="1:7">
      <c r="A76" s="7" t="s">
        <v>146</v>
      </c>
      <c r="B76" s="3">
        <v>75890</v>
      </c>
      <c r="C76" s="3">
        <v>75860</v>
      </c>
      <c r="D76" s="3">
        <v>75670</v>
      </c>
      <c r="E76" s="3">
        <v>75630</v>
      </c>
      <c r="F76" s="3">
        <v>75660</v>
      </c>
      <c r="G76" s="3"/>
    </row>
    <row r="77" spans="1:7">
      <c r="A77" s="6" t="s">
        <v>159</v>
      </c>
      <c r="B77" s="4">
        <v>177590</v>
      </c>
      <c r="C77" s="4">
        <v>182280</v>
      </c>
      <c r="D77" s="4">
        <v>186820</v>
      </c>
      <c r="E77" s="4">
        <v>191730</v>
      </c>
      <c r="F77" s="4">
        <v>196850</v>
      </c>
      <c r="G77" s="4"/>
    </row>
    <row r="78" spans="1:7">
      <c r="A78" s="6" t="s">
        <v>172</v>
      </c>
      <c r="B78" s="4">
        <v>301950</v>
      </c>
      <c r="C78" s="4">
        <v>309500</v>
      </c>
      <c r="D78" s="4">
        <v>316050</v>
      </c>
      <c r="E78" s="4">
        <v>325230</v>
      </c>
      <c r="F78" s="4">
        <v>333980</v>
      </c>
      <c r="G78" s="4"/>
    </row>
    <row r="79" spans="1:7">
      <c r="A79" s="6" t="s">
        <v>185</v>
      </c>
      <c r="B79" s="4">
        <v>990</v>
      </c>
      <c r="C79" s="4">
        <v>1000</v>
      </c>
      <c r="D79" s="4">
        <v>1090</v>
      </c>
      <c r="E79" s="4">
        <v>1140</v>
      </c>
      <c r="F79" s="4">
        <v>1190</v>
      </c>
    </row>
    <row r="80" spans="1:7">
      <c r="A80" s="6" t="s">
        <v>198</v>
      </c>
      <c r="B80" s="4">
        <v>810</v>
      </c>
      <c r="C80" s="4">
        <v>830</v>
      </c>
      <c r="D80" s="4">
        <v>870</v>
      </c>
      <c r="E80" s="4">
        <v>900</v>
      </c>
      <c r="F80" s="4">
        <v>940</v>
      </c>
    </row>
    <row r="81" spans="1:7">
      <c r="A81" s="6" t="s">
        <v>211</v>
      </c>
      <c r="B81" s="4">
        <v>290</v>
      </c>
      <c r="C81" s="4">
        <v>290</v>
      </c>
      <c r="D81" s="4">
        <v>300</v>
      </c>
      <c r="E81" s="4">
        <v>320</v>
      </c>
      <c r="F81" s="4">
        <v>330</v>
      </c>
      <c r="G81" s="4"/>
    </row>
    <row r="83" spans="1:7">
      <c r="A83" s="7" t="s">
        <v>26</v>
      </c>
      <c r="B83" s="2"/>
      <c r="C83" s="2"/>
      <c r="D83" s="2"/>
      <c r="E83" s="2"/>
      <c r="F83" s="2"/>
      <c r="G83" s="2"/>
    </row>
    <row r="84" spans="1:7">
      <c r="A84" s="7" t="s">
        <v>0</v>
      </c>
      <c r="B84" s="2">
        <v>2010</v>
      </c>
      <c r="C84" s="2">
        <v>2011</v>
      </c>
      <c r="D84" s="2">
        <v>2012</v>
      </c>
      <c r="E84" s="2">
        <v>2013</v>
      </c>
      <c r="F84" s="2">
        <v>2014</v>
      </c>
      <c r="G84" s="2">
        <v>2015</v>
      </c>
    </row>
    <row r="85" spans="1:7">
      <c r="A85" s="7" t="s">
        <v>10</v>
      </c>
      <c r="B85" s="3">
        <v>39</v>
      </c>
      <c r="C85" s="3">
        <v>39</v>
      </c>
      <c r="D85" s="3">
        <v>39</v>
      </c>
      <c r="E85" s="3">
        <v>40</v>
      </c>
      <c r="F85" s="3">
        <v>40</v>
      </c>
      <c r="G85" s="3"/>
    </row>
    <row r="86" spans="1:7">
      <c r="A86" s="7" t="s">
        <v>23</v>
      </c>
      <c r="B86" s="3">
        <v>41</v>
      </c>
      <c r="C86" s="3">
        <v>41</v>
      </c>
      <c r="D86" s="3">
        <v>42</v>
      </c>
      <c r="E86" s="3">
        <v>42</v>
      </c>
      <c r="F86" s="3">
        <v>42</v>
      </c>
      <c r="G86" s="3"/>
    </row>
    <row r="87" spans="1:7">
      <c r="A87" s="7" t="s">
        <v>55</v>
      </c>
      <c r="B87" s="3">
        <v>40</v>
      </c>
      <c r="C87" s="3">
        <v>40</v>
      </c>
      <c r="D87" s="3">
        <v>41</v>
      </c>
      <c r="E87" s="3">
        <v>41</v>
      </c>
      <c r="F87" s="3">
        <v>41</v>
      </c>
      <c r="G87" s="3"/>
    </row>
    <row r="88" spans="1:7">
      <c r="A88" s="7" t="s">
        <v>69</v>
      </c>
      <c r="B88" s="3">
        <v>41</v>
      </c>
      <c r="C88" s="3">
        <v>41</v>
      </c>
      <c r="D88" s="3">
        <v>42</v>
      </c>
      <c r="E88" s="3">
        <v>42</v>
      </c>
      <c r="F88" s="3">
        <v>42</v>
      </c>
      <c r="G88" s="3"/>
    </row>
    <row r="89" spans="1:7">
      <c r="A89" s="7" t="s">
        <v>82</v>
      </c>
      <c r="B89" s="3">
        <v>41</v>
      </c>
      <c r="C89" s="3">
        <v>41</v>
      </c>
      <c r="D89" s="3">
        <v>42</v>
      </c>
      <c r="E89" s="3">
        <v>42</v>
      </c>
      <c r="F89" s="3">
        <v>42</v>
      </c>
      <c r="G89" s="3"/>
    </row>
    <row r="90" spans="1:7">
      <c r="A90" s="7" t="s">
        <v>108</v>
      </c>
      <c r="B90" s="3">
        <v>40</v>
      </c>
      <c r="C90" s="3">
        <v>40</v>
      </c>
      <c r="D90" s="3">
        <v>41</v>
      </c>
      <c r="E90" s="3">
        <v>41</v>
      </c>
      <c r="F90" s="3">
        <v>41</v>
      </c>
      <c r="G90" s="3"/>
    </row>
    <row r="91" spans="1:7">
      <c r="A91" s="7" t="s">
        <v>121</v>
      </c>
      <c r="B91" s="3">
        <v>39</v>
      </c>
      <c r="C91" s="3">
        <v>39</v>
      </c>
      <c r="D91" s="3">
        <v>39</v>
      </c>
      <c r="E91" s="3">
        <v>40</v>
      </c>
      <c r="F91" s="3">
        <v>40</v>
      </c>
      <c r="G91" s="3"/>
    </row>
    <row r="92" spans="1:7">
      <c r="A92" s="7" t="s">
        <v>134</v>
      </c>
      <c r="B92" s="3">
        <v>38</v>
      </c>
      <c r="C92" s="3">
        <v>38</v>
      </c>
      <c r="D92" s="3">
        <v>38</v>
      </c>
      <c r="E92" s="3">
        <v>38</v>
      </c>
      <c r="F92" s="3">
        <v>38</v>
      </c>
      <c r="G92" s="3"/>
    </row>
    <row r="93" spans="1:7">
      <c r="A93" s="7" t="s">
        <v>147</v>
      </c>
      <c r="B93" s="3">
        <v>38</v>
      </c>
      <c r="C93" s="3">
        <v>38</v>
      </c>
      <c r="D93" s="3">
        <v>38</v>
      </c>
      <c r="E93" s="3">
        <v>38</v>
      </c>
      <c r="F93" s="3">
        <v>38</v>
      </c>
      <c r="G93" s="3"/>
    </row>
    <row r="94" spans="1:7">
      <c r="A94" s="7" t="s">
        <v>160</v>
      </c>
      <c r="B94" s="3">
        <v>36</v>
      </c>
      <c r="C94" s="3">
        <v>36</v>
      </c>
      <c r="D94" s="3">
        <v>36</v>
      </c>
      <c r="E94" s="3">
        <v>36</v>
      </c>
      <c r="F94" s="3">
        <v>36</v>
      </c>
      <c r="G94" s="3"/>
    </row>
    <row r="95" spans="1:7">
      <c r="A95" s="7" t="s">
        <v>173</v>
      </c>
      <c r="B95" s="3">
        <v>40</v>
      </c>
      <c r="C95" s="3">
        <v>41</v>
      </c>
      <c r="D95" s="3">
        <v>41</v>
      </c>
      <c r="E95" s="3">
        <v>41</v>
      </c>
      <c r="F95" s="3">
        <v>41</v>
      </c>
      <c r="G95" s="3"/>
    </row>
    <row r="96" spans="1:7">
      <c r="A96" s="7" t="s">
        <v>186</v>
      </c>
      <c r="B96" s="3">
        <v>37</v>
      </c>
      <c r="C96" s="3">
        <v>37</v>
      </c>
      <c r="D96" s="3">
        <v>37</v>
      </c>
      <c r="E96" s="3">
        <v>38</v>
      </c>
      <c r="F96" s="3">
        <v>38</v>
      </c>
      <c r="G96" s="3"/>
    </row>
    <row r="97" spans="1:7">
      <c r="A97" s="7" t="s">
        <v>199</v>
      </c>
      <c r="B97" s="3">
        <v>32</v>
      </c>
      <c r="C97" s="3">
        <v>33</v>
      </c>
      <c r="D97" s="3">
        <v>33</v>
      </c>
      <c r="E97" s="3">
        <v>33</v>
      </c>
      <c r="F97" s="3">
        <v>33</v>
      </c>
      <c r="G97" s="3"/>
    </row>
    <row r="98" spans="1:7">
      <c r="A98" s="7" t="s">
        <v>212</v>
      </c>
      <c r="B98" s="3">
        <v>26</v>
      </c>
      <c r="C98" s="3">
        <v>26</v>
      </c>
      <c r="D98" s="3">
        <v>26</v>
      </c>
      <c r="E98" s="3">
        <v>26</v>
      </c>
      <c r="F98" s="3">
        <v>26</v>
      </c>
      <c r="G98" s="3"/>
    </row>
    <row r="100" spans="1:7">
      <c r="A100" s="7" t="s">
        <v>35</v>
      </c>
      <c r="B100" s="2"/>
      <c r="C100" s="2"/>
      <c r="D100" s="2"/>
      <c r="E100" s="2"/>
      <c r="F100" s="2"/>
      <c r="G100" s="2"/>
    </row>
    <row r="101" spans="1:7">
      <c r="A101" s="7" t="s">
        <v>0</v>
      </c>
      <c r="B101" s="2">
        <v>2010</v>
      </c>
      <c r="C101" s="2">
        <v>2011</v>
      </c>
      <c r="D101" s="2">
        <v>2012</v>
      </c>
      <c r="E101" s="2">
        <v>2013</v>
      </c>
      <c r="F101" s="2">
        <v>2014</v>
      </c>
      <c r="G101" s="2">
        <v>2015</v>
      </c>
    </row>
    <row r="102" spans="1:7">
      <c r="A102" s="7" t="s">
        <v>11</v>
      </c>
      <c r="B102" s="3">
        <v>7334820</v>
      </c>
      <c r="C102" s="3">
        <v>7431240</v>
      </c>
      <c r="D102" s="3">
        <v>7511130</v>
      </c>
      <c r="E102" s="3">
        <v>7605360</v>
      </c>
      <c r="F102" s="3">
        <v>7697830</v>
      </c>
      <c r="G102" s="3"/>
    </row>
    <row r="103" spans="1:7">
      <c r="A103" s="7" t="s">
        <v>24</v>
      </c>
      <c r="B103" s="3">
        <v>107340</v>
      </c>
      <c r="C103" s="3">
        <v>107900</v>
      </c>
      <c r="D103" s="3">
        <v>108120</v>
      </c>
      <c r="E103" s="3">
        <v>108220</v>
      </c>
      <c r="F103" s="3">
        <v>109050</v>
      </c>
      <c r="G103" s="3"/>
    </row>
    <row r="104" spans="1:7">
      <c r="A104" s="7" t="s">
        <v>56</v>
      </c>
      <c r="B104" s="3">
        <v>30150</v>
      </c>
      <c r="C104" s="3">
        <v>30190</v>
      </c>
      <c r="D104" s="3">
        <v>29940</v>
      </c>
      <c r="E104" s="3">
        <v>29820</v>
      </c>
      <c r="F104" s="3">
        <v>29860</v>
      </c>
      <c r="G104" s="3"/>
    </row>
    <row r="105" spans="1:7">
      <c r="A105" s="7" t="s">
        <v>70</v>
      </c>
      <c r="B105" s="3">
        <v>195630</v>
      </c>
      <c r="C105" s="3">
        <v>196050</v>
      </c>
      <c r="D105" s="3">
        <v>194630</v>
      </c>
      <c r="E105" s="3">
        <v>194500</v>
      </c>
      <c r="F105" s="3">
        <v>194740</v>
      </c>
      <c r="G105" s="3"/>
    </row>
    <row r="106" spans="1:7">
      <c r="A106" s="7" t="s">
        <v>83</v>
      </c>
      <c r="B106" s="3">
        <v>157660</v>
      </c>
      <c r="C106" s="3">
        <v>157280</v>
      </c>
      <c r="D106" s="3">
        <v>155880</v>
      </c>
      <c r="E106" s="3">
        <v>154990</v>
      </c>
      <c r="F106" s="3">
        <v>155540</v>
      </c>
      <c r="G106" s="3"/>
    </row>
    <row r="107" spans="1:7">
      <c r="A107" s="7" t="s">
        <v>109</v>
      </c>
      <c r="B107" s="3">
        <v>1727550</v>
      </c>
      <c r="C107" s="3">
        <v>1747380</v>
      </c>
      <c r="D107" s="3">
        <v>1763570</v>
      </c>
      <c r="E107" s="3">
        <v>1776600</v>
      </c>
      <c r="F107" s="3">
        <v>1792600</v>
      </c>
      <c r="G107" s="3"/>
    </row>
    <row r="108" spans="1:7">
      <c r="A108" s="7" t="s">
        <v>122</v>
      </c>
      <c r="B108" s="3">
        <v>2795790</v>
      </c>
      <c r="C108" s="3">
        <v>2816590</v>
      </c>
      <c r="D108" s="3">
        <v>2835610</v>
      </c>
      <c r="E108" s="3">
        <v>2863660</v>
      </c>
      <c r="F108" s="3">
        <v>2894770</v>
      </c>
      <c r="G108" s="3"/>
    </row>
    <row r="109" spans="1:7">
      <c r="A109" s="7" t="s">
        <v>135</v>
      </c>
      <c r="B109" s="3">
        <v>284940</v>
      </c>
      <c r="C109" s="3">
        <v>289430</v>
      </c>
      <c r="D109" s="3">
        <v>292370</v>
      </c>
      <c r="E109" s="3">
        <v>295990</v>
      </c>
      <c r="F109" s="3">
        <v>299650</v>
      </c>
      <c r="G109" s="3"/>
    </row>
    <row r="110" spans="1:7">
      <c r="A110" s="7" t="s">
        <v>148</v>
      </c>
      <c r="B110" s="3">
        <v>245090</v>
      </c>
      <c r="C110" s="3">
        <v>252110</v>
      </c>
      <c r="D110" s="3">
        <v>256190</v>
      </c>
      <c r="E110" s="3">
        <v>259890</v>
      </c>
      <c r="F110" s="3">
        <v>263010</v>
      </c>
      <c r="G110" s="3"/>
    </row>
    <row r="111" spans="1:7">
      <c r="A111" s="7" t="s">
        <v>161</v>
      </c>
      <c r="B111" s="3">
        <v>836860</v>
      </c>
      <c r="C111" s="3">
        <v>866500</v>
      </c>
      <c r="D111" s="3">
        <v>903600</v>
      </c>
      <c r="E111" s="3">
        <v>937970</v>
      </c>
      <c r="F111" s="3">
        <v>960740</v>
      </c>
      <c r="G111" s="3"/>
    </row>
    <row r="112" spans="1:7">
      <c r="A112" s="7" t="s">
        <v>174</v>
      </c>
      <c r="B112" s="3">
        <v>922980</v>
      </c>
      <c r="C112" s="3">
        <v>936530</v>
      </c>
      <c r="D112" s="3">
        <v>939740</v>
      </c>
      <c r="E112" s="3">
        <v>952080</v>
      </c>
      <c r="F112" s="3">
        <v>965750</v>
      </c>
      <c r="G112" s="3"/>
    </row>
    <row r="113" spans="1:7">
      <c r="A113" s="7" t="s">
        <v>187</v>
      </c>
      <c r="B113" s="3">
        <v>8560</v>
      </c>
      <c r="C113" s="3">
        <v>8810</v>
      </c>
      <c r="D113" s="3">
        <v>8880</v>
      </c>
      <c r="E113" s="3">
        <v>8820</v>
      </c>
      <c r="F113" s="3">
        <v>8930</v>
      </c>
      <c r="G113" s="3"/>
    </row>
    <row r="114" spans="1:7">
      <c r="A114" s="7" t="s">
        <v>200</v>
      </c>
      <c r="B114" s="3">
        <v>11980</v>
      </c>
      <c r="C114" s="3">
        <v>11970</v>
      </c>
      <c r="D114" s="3">
        <v>11980</v>
      </c>
      <c r="E114" s="3">
        <v>11950</v>
      </c>
      <c r="F114" s="3">
        <v>12070</v>
      </c>
      <c r="G114" s="3"/>
    </row>
    <row r="115" spans="1:7">
      <c r="A115" s="7" t="s">
        <v>213</v>
      </c>
      <c r="B115" s="3">
        <v>10310</v>
      </c>
      <c r="C115" s="3">
        <v>10510</v>
      </c>
      <c r="D115" s="3">
        <v>10640</v>
      </c>
      <c r="E115" s="3">
        <v>10890</v>
      </c>
      <c r="F115" s="3">
        <v>11120</v>
      </c>
      <c r="G115" s="3"/>
    </row>
    <row r="117" spans="1:7">
      <c r="A117" s="6" t="s">
        <v>36</v>
      </c>
      <c r="B117" s="1"/>
      <c r="C117" s="1"/>
      <c r="D117" s="1"/>
      <c r="E117" s="1"/>
      <c r="F117" s="1"/>
      <c r="G117" s="1"/>
    </row>
    <row r="118" spans="1:7">
      <c r="A118" s="6" t="s">
        <v>0</v>
      </c>
      <c r="B118" s="2">
        <v>2010</v>
      </c>
      <c r="C118" s="2">
        <v>2011</v>
      </c>
      <c r="D118" s="2">
        <v>2012</v>
      </c>
      <c r="E118" s="2">
        <v>2013</v>
      </c>
      <c r="F118" s="2">
        <v>2014</v>
      </c>
      <c r="G118" s="2">
        <v>2015</v>
      </c>
    </row>
    <row r="119" spans="1:7">
      <c r="A119" s="7" t="s">
        <v>12</v>
      </c>
      <c r="B119" s="3">
        <v>6375140</v>
      </c>
      <c r="C119" s="3">
        <v>6424930</v>
      </c>
      <c r="D119" s="3">
        <v>6475020</v>
      </c>
      <c r="E119" s="3">
        <v>6527180</v>
      </c>
      <c r="F119" s="3">
        <v>6581720</v>
      </c>
      <c r="G119" s="3"/>
    </row>
    <row r="120" spans="1:7">
      <c r="A120" s="7" t="s">
        <v>25</v>
      </c>
      <c r="B120" s="3">
        <v>112610</v>
      </c>
      <c r="C120" s="3">
        <v>112870</v>
      </c>
      <c r="D120" s="3">
        <v>112810</v>
      </c>
      <c r="E120" s="3">
        <v>112930</v>
      </c>
      <c r="F120" s="3">
        <v>113170</v>
      </c>
      <c r="G120" s="3"/>
    </row>
    <row r="121" spans="1:7">
      <c r="A121" s="7" t="s">
        <v>57</v>
      </c>
      <c r="B121" s="3">
        <v>29470</v>
      </c>
      <c r="C121" s="3">
        <v>29570</v>
      </c>
      <c r="D121" s="3">
        <v>29570</v>
      </c>
      <c r="E121" s="3">
        <v>29480</v>
      </c>
      <c r="F121" s="3">
        <v>29600</v>
      </c>
      <c r="G121" s="3"/>
    </row>
    <row r="122" spans="1:7">
      <c r="A122" s="6" t="s">
        <v>71</v>
      </c>
      <c r="B122" s="4">
        <v>182350</v>
      </c>
      <c r="C122" s="4">
        <v>182070</v>
      </c>
      <c r="D122" s="4">
        <v>181250</v>
      </c>
      <c r="E122" s="4">
        <v>180420</v>
      </c>
      <c r="F122" s="4">
        <v>179860</v>
      </c>
      <c r="G122" s="4"/>
    </row>
    <row r="123" spans="1:7">
      <c r="A123" s="7" t="s">
        <v>84</v>
      </c>
      <c r="B123" s="3">
        <v>149630</v>
      </c>
      <c r="C123" s="3">
        <v>149320</v>
      </c>
      <c r="D123" s="3">
        <v>148930</v>
      </c>
      <c r="E123" s="3">
        <v>148050</v>
      </c>
      <c r="F123" s="3">
        <v>147650</v>
      </c>
      <c r="G123" s="3"/>
    </row>
    <row r="124" spans="1:7">
      <c r="A124" s="7" t="s">
        <v>110</v>
      </c>
      <c r="B124" s="3">
        <v>1158880</v>
      </c>
      <c r="C124" s="3">
        <v>1159400</v>
      </c>
      <c r="D124" s="3">
        <v>1160050</v>
      </c>
      <c r="E124" s="3">
        <v>1158440</v>
      </c>
      <c r="F124" s="3">
        <v>1156210</v>
      </c>
      <c r="G124" s="3"/>
    </row>
    <row r="125" spans="1:7">
      <c r="A125" s="7" t="s">
        <v>123</v>
      </c>
      <c r="B125" s="3">
        <v>2652880</v>
      </c>
      <c r="C125" s="3">
        <v>2672260</v>
      </c>
      <c r="D125" s="3">
        <v>2688940</v>
      </c>
      <c r="E125" s="3">
        <v>2705620</v>
      </c>
      <c r="F125" s="3">
        <v>2725470</v>
      </c>
      <c r="G125" s="3"/>
    </row>
    <row r="126" spans="1:7">
      <c r="A126" s="7" t="s">
        <v>136</v>
      </c>
      <c r="B126" s="3">
        <v>235110</v>
      </c>
      <c r="C126" s="3">
        <v>237760</v>
      </c>
      <c r="D126" s="3">
        <v>240010</v>
      </c>
      <c r="E126" s="3">
        <v>242150</v>
      </c>
      <c r="F126" s="3">
        <v>244520</v>
      </c>
      <c r="G126" s="3"/>
    </row>
    <row r="127" spans="1:7">
      <c r="A127" s="6" t="s">
        <v>149</v>
      </c>
      <c r="B127" s="4">
        <v>203850</v>
      </c>
      <c r="C127" s="4">
        <v>206850</v>
      </c>
      <c r="D127" s="4">
        <v>210330</v>
      </c>
      <c r="E127" s="4">
        <v>212970</v>
      </c>
      <c r="F127" s="4">
        <v>215270</v>
      </c>
      <c r="G127" s="4"/>
    </row>
    <row r="128" spans="1:7">
      <c r="A128" s="6" t="s">
        <v>162</v>
      </c>
      <c r="B128" s="4">
        <v>737400</v>
      </c>
      <c r="C128" s="4">
        <v>753250</v>
      </c>
      <c r="D128" s="4">
        <v>775010</v>
      </c>
      <c r="E128" s="4">
        <v>798860</v>
      </c>
      <c r="F128" s="4">
        <v>819040</v>
      </c>
      <c r="G128" s="4"/>
    </row>
    <row r="129" spans="1:7">
      <c r="A129" s="6" t="s">
        <v>175</v>
      </c>
      <c r="B129" s="4">
        <v>899290</v>
      </c>
      <c r="C129" s="4">
        <v>907760</v>
      </c>
      <c r="D129" s="4">
        <v>914240</v>
      </c>
      <c r="E129" s="4">
        <v>924300</v>
      </c>
      <c r="F129" s="4">
        <v>936870</v>
      </c>
      <c r="G129" s="4"/>
    </row>
    <row r="130" spans="1:7">
      <c r="A130" s="6" t="s">
        <v>188</v>
      </c>
      <c r="B130" s="4">
        <v>5070</v>
      </c>
      <c r="C130" s="4">
        <v>5230</v>
      </c>
      <c r="D130" s="4">
        <v>5220</v>
      </c>
      <c r="E130" s="4">
        <v>5300</v>
      </c>
      <c r="F130" s="4">
        <v>5380</v>
      </c>
    </row>
    <row r="131" spans="1:7">
      <c r="A131" s="6" t="s">
        <v>201</v>
      </c>
      <c r="B131" s="4">
        <v>5550</v>
      </c>
      <c r="C131" s="4">
        <v>5540</v>
      </c>
      <c r="D131" s="4">
        <v>5550</v>
      </c>
      <c r="E131" s="4">
        <v>5570</v>
      </c>
      <c r="F131" s="4">
        <v>5590</v>
      </c>
      <c r="G131" s="4"/>
    </row>
    <row r="132" spans="1:7">
      <c r="A132" s="6" t="s">
        <v>214</v>
      </c>
      <c r="B132" s="4">
        <v>3040</v>
      </c>
      <c r="C132" s="4">
        <v>3050</v>
      </c>
      <c r="D132" s="4">
        <v>3120</v>
      </c>
      <c r="E132" s="4">
        <v>3100</v>
      </c>
      <c r="F132" s="4">
        <v>3100</v>
      </c>
      <c r="G132" s="4"/>
    </row>
    <row r="134" spans="1:7">
      <c r="A134" s="7" t="s">
        <v>37</v>
      </c>
      <c r="B134" s="2"/>
      <c r="C134" s="2"/>
      <c r="D134" s="2"/>
      <c r="E134" s="2"/>
      <c r="F134" s="2"/>
      <c r="G134" s="2"/>
    </row>
    <row r="135" spans="1:7">
      <c r="A135" s="7" t="s">
        <v>0</v>
      </c>
      <c r="B135" s="2">
        <v>2010</v>
      </c>
      <c r="C135" s="2">
        <v>2011</v>
      </c>
      <c r="D135" s="2">
        <v>2012</v>
      </c>
      <c r="E135" s="2">
        <v>2013</v>
      </c>
      <c r="F135" s="2">
        <v>2014</v>
      </c>
      <c r="G135" s="2">
        <v>2015</v>
      </c>
    </row>
    <row r="136" spans="1:7">
      <c r="A136" s="7" t="s">
        <v>13</v>
      </c>
      <c r="B136" s="3">
        <v>1004410</v>
      </c>
      <c r="C136" s="3">
        <v>1023990</v>
      </c>
      <c r="D136" s="3">
        <v>1037950</v>
      </c>
      <c r="E136" s="3">
        <v>1049690</v>
      </c>
      <c r="F136" s="3">
        <v>1056450</v>
      </c>
      <c r="G136" s="3"/>
    </row>
    <row r="137" spans="1:7">
      <c r="A137" s="7" t="s">
        <v>27</v>
      </c>
      <c r="B137" s="3">
        <v>14520</v>
      </c>
      <c r="C137" s="3">
        <v>14570</v>
      </c>
      <c r="D137" s="3">
        <v>14510</v>
      </c>
      <c r="E137" s="3">
        <v>14240</v>
      </c>
      <c r="F137" s="3">
        <v>14120</v>
      </c>
      <c r="G137" s="3"/>
    </row>
    <row r="138" spans="1:7">
      <c r="A138" s="7" t="s">
        <v>58</v>
      </c>
      <c r="B138" s="3">
        <v>4340</v>
      </c>
      <c r="C138" s="3">
        <v>4340</v>
      </c>
      <c r="D138" s="3">
        <v>4390</v>
      </c>
      <c r="E138" s="3">
        <v>4300</v>
      </c>
      <c r="F138" s="3">
        <v>4190</v>
      </c>
      <c r="G138" s="3"/>
    </row>
    <row r="139" spans="1:7">
      <c r="A139" s="7" t="s">
        <v>72</v>
      </c>
      <c r="B139" s="3">
        <v>27020</v>
      </c>
      <c r="C139" s="3">
        <v>27450</v>
      </c>
      <c r="D139" s="3">
        <v>27140</v>
      </c>
      <c r="E139" s="3">
        <v>26770</v>
      </c>
      <c r="F139" s="3">
        <v>26380</v>
      </c>
      <c r="G139" s="3"/>
    </row>
    <row r="140" spans="1:7">
      <c r="A140" s="7" t="s">
        <v>85</v>
      </c>
      <c r="B140" s="3">
        <v>21800</v>
      </c>
      <c r="C140" s="3">
        <v>21820</v>
      </c>
      <c r="D140" s="3">
        <v>21460</v>
      </c>
      <c r="E140" s="3">
        <v>20880</v>
      </c>
      <c r="F140" s="3">
        <v>20740</v>
      </c>
      <c r="G140" s="3"/>
    </row>
    <row r="141" spans="1:7">
      <c r="A141" s="7" t="s">
        <v>111</v>
      </c>
      <c r="B141" s="3">
        <v>222090</v>
      </c>
      <c r="C141" s="3">
        <v>228810</v>
      </c>
      <c r="D141" s="3">
        <v>234900</v>
      </c>
      <c r="E141" s="3">
        <v>238350</v>
      </c>
      <c r="F141" s="3">
        <v>238280</v>
      </c>
      <c r="G141" s="3"/>
    </row>
    <row r="142" spans="1:7">
      <c r="A142" s="7" t="s">
        <v>124</v>
      </c>
      <c r="B142" s="3">
        <v>389630</v>
      </c>
      <c r="C142" s="3">
        <v>393930</v>
      </c>
      <c r="D142" s="3">
        <v>397560</v>
      </c>
      <c r="E142" s="3">
        <v>401400</v>
      </c>
      <c r="F142" s="3">
        <v>406260</v>
      </c>
      <c r="G142" s="3"/>
    </row>
    <row r="143" spans="1:7">
      <c r="A143" s="7" t="s">
        <v>137</v>
      </c>
      <c r="B143" s="3">
        <v>39870</v>
      </c>
      <c r="C143" s="3">
        <v>41050</v>
      </c>
      <c r="D143" s="3">
        <v>41510</v>
      </c>
      <c r="E143" s="3">
        <v>42240</v>
      </c>
      <c r="F143" s="3">
        <v>42580</v>
      </c>
      <c r="G143" s="3"/>
    </row>
    <row r="144" spans="1:7">
      <c r="A144" s="7" t="s">
        <v>150</v>
      </c>
      <c r="B144" s="3">
        <v>35270</v>
      </c>
      <c r="C144" s="3">
        <v>36680</v>
      </c>
      <c r="D144" s="3">
        <v>36910</v>
      </c>
      <c r="E144" s="3">
        <v>36850</v>
      </c>
      <c r="F144" s="3">
        <v>36120</v>
      </c>
      <c r="G144" s="3"/>
    </row>
    <row r="145" spans="1:7">
      <c r="A145" s="7" t="s">
        <v>163</v>
      </c>
      <c r="B145" s="3">
        <v>118030</v>
      </c>
      <c r="C145" s="3">
        <v>121460</v>
      </c>
      <c r="D145" s="3">
        <v>125430</v>
      </c>
      <c r="E145" s="3">
        <v>129500</v>
      </c>
      <c r="F145" s="3">
        <v>130690</v>
      </c>
      <c r="G145" s="3"/>
    </row>
    <row r="146" spans="1:7">
      <c r="A146" s="7" t="s">
        <v>176</v>
      </c>
      <c r="B146" s="3">
        <v>127840</v>
      </c>
      <c r="C146" s="3">
        <v>129840</v>
      </c>
      <c r="D146" s="3">
        <v>130120</v>
      </c>
      <c r="E146" s="3">
        <v>131190</v>
      </c>
      <c r="F146" s="3">
        <v>133130</v>
      </c>
      <c r="G146" s="3"/>
    </row>
    <row r="147" spans="1:7">
      <c r="A147" s="7" t="s">
        <v>189</v>
      </c>
      <c r="B147" s="3">
        <v>1060</v>
      </c>
      <c r="C147" s="3">
        <v>1110</v>
      </c>
      <c r="D147" s="3">
        <v>1120</v>
      </c>
      <c r="E147" s="3">
        <v>1080</v>
      </c>
      <c r="F147" s="3">
        <v>1030</v>
      </c>
      <c r="G147" s="3"/>
    </row>
    <row r="148" spans="1:7">
      <c r="A148" s="7" t="s">
        <v>202</v>
      </c>
      <c r="B148" s="3">
        <v>1600</v>
      </c>
      <c r="C148" s="3">
        <v>1610</v>
      </c>
      <c r="D148" s="3">
        <v>1580</v>
      </c>
      <c r="E148" s="3">
        <v>1600</v>
      </c>
      <c r="F148" s="3">
        <v>1570</v>
      </c>
      <c r="G148" s="3"/>
    </row>
    <row r="149" spans="1:7">
      <c r="A149" s="7" t="s">
        <v>215</v>
      </c>
      <c r="B149" s="3">
        <v>1330</v>
      </c>
      <c r="C149" s="3">
        <v>1320</v>
      </c>
      <c r="D149" s="3">
        <v>1320</v>
      </c>
      <c r="E149" s="3">
        <v>1300</v>
      </c>
      <c r="F149" s="3">
        <v>1360</v>
      </c>
      <c r="G149" s="3"/>
    </row>
    <row r="151" spans="1:7">
      <c r="A151" s="6" t="s">
        <v>38</v>
      </c>
      <c r="B151" s="1"/>
      <c r="C151" s="1"/>
      <c r="D151" s="1"/>
      <c r="E151" s="1"/>
      <c r="F151" s="1"/>
      <c r="G151" s="1"/>
    </row>
    <row r="152" spans="1:7">
      <c r="A152" s="6" t="s">
        <v>0</v>
      </c>
      <c r="B152" s="2">
        <v>2010</v>
      </c>
      <c r="C152" s="2">
        <v>2011</v>
      </c>
      <c r="D152" s="2">
        <v>2012</v>
      </c>
      <c r="E152" s="2">
        <v>2013</v>
      </c>
      <c r="F152" s="2">
        <v>2014</v>
      </c>
      <c r="G152" s="2">
        <v>2015</v>
      </c>
    </row>
    <row r="153" spans="1:7">
      <c r="A153" s="7" t="s">
        <v>14</v>
      </c>
      <c r="B153" s="3">
        <v>878690</v>
      </c>
      <c r="C153" s="3">
        <v>905200</v>
      </c>
      <c r="D153" s="3">
        <v>930090</v>
      </c>
      <c r="E153" s="3">
        <v>960300</v>
      </c>
      <c r="F153" s="3">
        <v>990410</v>
      </c>
      <c r="G153" s="3"/>
    </row>
    <row r="154" spans="1:7">
      <c r="A154" s="7" t="s">
        <v>28</v>
      </c>
      <c r="B154" s="3">
        <v>13350</v>
      </c>
      <c r="C154" s="3">
        <v>13800</v>
      </c>
      <c r="D154" s="3">
        <v>14160</v>
      </c>
      <c r="E154" s="3">
        <v>14630</v>
      </c>
      <c r="F154" s="3">
        <v>15170</v>
      </c>
      <c r="G154" s="3"/>
    </row>
    <row r="155" spans="1:7">
      <c r="A155" s="7" t="s">
        <v>59</v>
      </c>
      <c r="B155" s="3">
        <v>3870</v>
      </c>
      <c r="C155" s="3">
        <v>3990</v>
      </c>
      <c r="D155" s="3">
        <v>4120</v>
      </c>
      <c r="E155" s="3">
        <v>4200</v>
      </c>
      <c r="F155" s="3">
        <v>4340</v>
      </c>
      <c r="G155" s="3"/>
    </row>
    <row r="156" spans="1:7">
      <c r="A156" s="6" t="s">
        <v>73</v>
      </c>
      <c r="B156" s="4">
        <v>25930</v>
      </c>
      <c r="C156" s="4">
        <v>26660</v>
      </c>
      <c r="D156" s="4">
        <v>27360</v>
      </c>
      <c r="E156" s="4">
        <v>28200</v>
      </c>
      <c r="F156" s="4">
        <v>29000</v>
      </c>
    </row>
    <row r="157" spans="1:7">
      <c r="A157" s="7" t="s">
        <v>86</v>
      </c>
      <c r="B157" s="3">
        <v>20760</v>
      </c>
      <c r="C157" s="3">
        <v>21370</v>
      </c>
      <c r="D157" s="3">
        <v>21950</v>
      </c>
      <c r="E157" s="3">
        <v>22730</v>
      </c>
      <c r="F157" s="3">
        <v>23450</v>
      </c>
      <c r="G157" s="3"/>
    </row>
    <row r="158" spans="1:7">
      <c r="A158" s="7" t="s">
        <v>112</v>
      </c>
      <c r="B158" s="3">
        <v>207610</v>
      </c>
      <c r="C158" s="3">
        <v>214280</v>
      </c>
      <c r="D158" s="3">
        <v>220340</v>
      </c>
      <c r="E158" s="3">
        <v>228350</v>
      </c>
      <c r="F158" s="3">
        <v>236220</v>
      </c>
      <c r="G158" s="3"/>
    </row>
    <row r="159" spans="1:7">
      <c r="A159" s="7" t="s">
        <v>125</v>
      </c>
      <c r="B159" s="3">
        <v>340270</v>
      </c>
      <c r="C159" s="3">
        <v>351210</v>
      </c>
      <c r="D159" s="3">
        <v>361970</v>
      </c>
      <c r="E159" s="3">
        <v>373860</v>
      </c>
      <c r="F159" s="3">
        <v>385980</v>
      </c>
      <c r="G159" s="3"/>
    </row>
    <row r="160" spans="1:7">
      <c r="A160" s="7" t="s">
        <v>138</v>
      </c>
      <c r="B160" s="3">
        <v>32140</v>
      </c>
      <c r="C160" s="3">
        <v>32460</v>
      </c>
      <c r="D160" s="3">
        <v>32880</v>
      </c>
      <c r="E160" s="3">
        <v>33480</v>
      </c>
      <c r="F160" s="3">
        <v>33750</v>
      </c>
      <c r="G160" s="3"/>
    </row>
    <row r="161" spans="1:7">
      <c r="A161" s="6" t="s">
        <v>151</v>
      </c>
      <c r="B161" s="4">
        <v>30770</v>
      </c>
      <c r="C161" s="4">
        <v>30930</v>
      </c>
      <c r="D161" s="4">
        <v>30900</v>
      </c>
      <c r="E161" s="4">
        <v>31020</v>
      </c>
      <c r="F161" s="4">
        <v>31180</v>
      </c>
      <c r="G161" s="4"/>
    </row>
    <row r="162" spans="1:7">
      <c r="A162" s="6" t="s">
        <v>164</v>
      </c>
      <c r="B162" s="4">
        <v>74020</v>
      </c>
      <c r="C162" s="4">
        <v>76520</v>
      </c>
      <c r="D162" s="4">
        <v>78850</v>
      </c>
      <c r="E162" s="4">
        <v>81420</v>
      </c>
      <c r="F162" s="4">
        <v>84080</v>
      </c>
      <c r="G162" s="4"/>
    </row>
    <row r="163" spans="1:7">
      <c r="A163" s="6" t="s">
        <v>177</v>
      </c>
      <c r="B163" s="4">
        <v>129010</v>
      </c>
      <c r="C163" s="4">
        <v>132990</v>
      </c>
      <c r="D163" s="4">
        <v>136510</v>
      </c>
      <c r="E163" s="4">
        <v>141290</v>
      </c>
      <c r="F163" s="4">
        <v>146080</v>
      </c>
      <c r="G163" s="4"/>
    </row>
    <row r="164" spans="1:7">
      <c r="A164" s="6" t="s">
        <v>190</v>
      </c>
      <c r="B164" s="4">
        <v>460</v>
      </c>
      <c r="C164" s="4">
        <v>460</v>
      </c>
      <c r="D164" s="4">
        <v>510</v>
      </c>
      <c r="E164" s="4">
        <v>540</v>
      </c>
      <c r="F164" s="4">
        <v>570</v>
      </c>
    </row>
    <row r="165" spans="1:7">
      <c r="A165" s="6" t="s">
        <v>203</v>
      </c>
      <c r="B165" s="4">
        <v>380</v>
      </c>
      <c r="C165" s="4">
        <v>390</v>
      </c>
      <c r="D165" s="4">
        <v>410</v>
      </c>
      <c r="E165" s="4">
        <v>430</v>
      </c>
      <c r="F165" s="4">
        <v>440</v>
      </c>
      <c r="G165" s="4"/>
    </row>
    <row r="166" spans="1:7">
      <c r="A166" s="6" t="s">
        <v>216</v>
      </c>
      <c r="B166" s="4">
        <v>120</v>
      </c>
      <c r="C166" s="4">
        <v>130</v>
      </c>
      <c r="D166" s="4">
        <v>140</v>
      </c>
      <c r="E166" s="4">
        <v>150</v>
      </c>
      <c r="F166" s="4">
        <v>150</v>
      </c>
      <c r="G166" s="4"/>
    </row>
    <row r="168" spans="1:7">
      <c r="A168" s="7" t="s">
        <v>39</v>
      </c>
      <c r="B168" s="2"/>
      <c r="C168" s="2"/>
      <c r="D168" s="2"/>
      <c r="E168" s="2"/>
      <c r="F168" s="2"/>
      <c r="G168" s="2"/>
    </row>
    <row r="169" spans="1:7">
      <c r="A169" s="7" t="s">
        <v>0</v>
      </c>
      <c r="B169" s="2">
        <v>2010</v>
      </c>
      <c r="C169" s="2">
        <v>2011</v>
      </c>
      <c r="D169" s="2">
        <v>2012</v>
      </c>
      <c r="E169" s="2">
        <v>2013</v>
      </c>
      <c r="F169" s="2">
        <v>2014</v>
      </c>
      <c r="G169" s="2">
        <v>2015</v>
      </c>
    </row>
    <row r="170" spans="1:7">
      <c r="A170" s="7" t="s">
        <v>15</v>
      </c>
      <c r="B170" s="3">
        <v>6902060</v>
      </c>
      <c r="C170" s="3">
        <v>6984920</v>
      </c>
      <c r="D170" s="3">
        <v>7062400</v>
      </c>
      <c r="E170" s="3">
        <v>7144110</v>
      </c>
      <c r="F170" s="3">
        <v>7224810</v>
      </c>
      <c r="G170" s="3"/>
    </row>
    <row r="171" spans="1:7">
      <c r="A171" s="7" t="s">
        <v>29</v>
      </c>
      <c r="B171" s="3">
        <v>98490</v>
      </c>
      <c r="C171" s="3">
        <v>98840</v>
      </c>
      <c r="D171" s="3">
        <v>98960</v>
      </c>
      <c r="E171" s="3">
        <v>99090</v>
      </c>
      <c r="F171" s="3">
        <v>99610</v>
      </c>
      <c r="G171" s="3"/>
    </row>
    <row r="172" spans="1:7">
      <c r="A172" s="7" t="s">
        <v>60</v>
      </c>
      <c r="B172" s="3">
        <v>28780</v>
      </c>
      <c r="C172" s="3">
        <v>28880</v>
      </c>
      <c r="D172" s="3">
        <v>28690</v>
      </c>
      <c r="E172" s="3">
        <v>28660</v>
      </c>
      <c r="F172" s="3">
        <v>28860</v>
      </c>
      <c r="G172" s="3"/>
    </row>
    <row r="173" spans="1:7">
      <c r="A173" s="7" t="s">
        <v>74</v>
      </c>
      <c r="B173" s="3">
        <v>187020</v>
      </c>
      <c r="C173" s="3">
        <v>187280</v>
      </c>
      <c r="D173" s="3">
        <v>186420</v>
      </c>
      <c r="E173" s="3">
        <v>186510</v>
      </c>
      <c r="F173" s="3">
        <v>186810</v>
      </c>
      <c r="G173" s="3"/>
    </row>
    <row r="174" spans="1:7">
      <c r="A174" s="7" t="s">
        <v>100</v>
      </c>
      <c r="B174" s="3">
        <v>145120</v>
      </c>
      <c r="C174" s="3">
        <v>144860</v>
      </c>
      <c r="D174" s="3">
        <v>144220</v>
      </c>
      <c r="E174" s="3">
        <v>143570</v>
      </c>
      <c r="F174" s="3">
        <v>143820</v>
      </c>
      <c r="G174" s="3"/>
    </row>
    <row r="175" spans="1:7">
      <c r="A175" s="7" t="s">
        <v>113</v>
      </c>
      <c r="B175" s="3">
        <v>1602820</v>
      </c>
      <c r="C175" s="3">
        <v>1618370</v>
      </c>
      <c r="D175" s="3">
        <v>1632440</v>
      </c>
      <c r="E175" s="3">
        <v>1643420</v>
      </c>
      <c r="F175" s="3">
        <v>1656080</v>
      </c>
      <c r="G175" s="3"/>
    </row>
    <row r="176" spans="1:7">
      <c r="A176" s="7" t="s">
        <v>126</v>
      </c>
      <c r="B176" s="3">
        <v>2684130</v>
      </c>
      <c r="C176" s="3">
        <v>2710380</v>
      </c>
      <c r="D176" s="3">
        <v>2733570</v>
      </c>
      <c r="E176" s="3">
        <v>2760040</v>
      </c>
      <c r="F176" s="3">
        <v>2786650</v>
      </c>
      <c r="G176" s="3"/>
    </row>
    <row r="177" spans="1:7">
      <c r="A177" s="7" t="s">
        <v>139</v>
      </c>
      <c r="B177" s="3">
        <v>265800</v>
      </c>
      <c r="C177" s="3">
        <v>269570</v>
      </c>
      <c r="D177" s="3">
        <v>272520</v>
      </c>
      <c r="E177" s="3">
        <v>275790</v>
      </c>
      <c r="F177" s="3">
        <v>278770</v>
      </c>
      <c r="G177" s="3"/>
    </row>
    <row r="178" spans="1:7">
      <c r="A178" s="7" t="s">
        <v>152</v>
      </c>
      <c r="B178" s="3">
        <v>225570</v>
      </c>
      <c r="C178" s="3">
        <v>230000</v>
      </c>
      <c r="D178" s="3">
        <v>234190</v>
      </c>
      <c r="E178" s="3">
        <v>237330</v>
      </c>
      <c r="F178" s="3">
        <v>240850</v>
      </c>
      <c r="G178" s="3"/>
    </row>
    <row r="179" spans="1:7">
      <c r="A179" s="7" t="s">
        <v>165</v>
      </c>
      <c r="B179" s="3">
        <v>761550</v>
      </c>
      <c r="C179" s="3">
        <v>784330</v>
      </c>
      <c r="D179" s="3">
        <v>813630</v>
      </c>
      <c r="E179" s="3">
        <v>841870</v>
      </c>
      <c r="F179" s="3">
        <v>862140</v>
      </c>
      <c r="G179" s="3"/>
    </row>
    <row r="180" spans="1:7">
      <c r="A180" s="7" t="s">
        <v>178</v>
      </c>
      <c r="B180" s="3">
        <v>874160</v>
      </c>
      <c r="C180" s="3">
        <v>883350</v>
      </c>
      <c r="D180" s="3">
        <v>888350</v>
      </c>
      <c r="E180" s="3">
        <v>898170</v>
      </c>
      <c r="F180" s="3">
        <v>911180</v>
      </c>
      <c r="G180" s="3"/>
    </row>
    <row r="181" spans="1:7">
      <c r="A181" s="7" t="s">
        <v>191</v>
      </c>
      <c r="B181" s="3">
        <v>7970</v>
      </c>
      <c r="C181" s="3">
        <v>8160</v>
      </c>
      <c r="D181" s="3">
        <v>8250</v>
      </c>
      <c r="E181" s="3">
        <v>8330</v>
      </c>
      <c r="F181" s="3">
        <v>8350</v>
      </c>
      <c r="G181" s="3"/>
    </row>
    <row r="182" spans="1:7">
      <c r="A182" s="7" t="s">
        <v>204</v>
      </c>
      <c r="B182" s="3">
        <v>10900</v>
      </c>
      <c r="C182" s="3">
        <v>10860</v>
      </c>
      <c r="D182" s="3">
        <v>10930</v>
      </c>
      <c r="E182" s="3">
        <v>10930</v>
      </c>
      <c r="F182" s="3">
        <v>11060</v>
      </c>
      <c r="G182" s="3"/>
    </row>
    <row r="183" spans="1:7">
      <c r="A183" s="7" t="s">
        <v>217</v>
      </c>
      <c r="B183" s="3">
        <v>9760</v>
      </c>
      <c r="C183" s="3">
        <v>10020</v>
      </c>
      <c r="D183" s="3">
        <v>10250</v>
      </c>
      <c r="E183" s="3">
        <v>10400</v>
      </c>
      <c r="F183" s="3">
        <v>10630</v>
      </c>
      <c r="G183" s="3"/>
    </row>
    <row r="185" spans="1:7">
      <c r="A185" s="6" t="s">
        <v>40</v>
      </c>
      <c r="B185" s="1"/>
      <c r="C185" s="1"/>
      <c r="D185" s="1"/>
      <c r="E185" s="1"/>
      <c r="F185" s="1"/>
      <c r="G185" s="1"/>
    </row>
    <row r="186" spans="1:7">
      <c r="A186" s="6" t="s">
        <v>0</v>
      </c>
      <c r="B186" s="2">
        <v>2010</v>
      </c>
      <c r="C186" s="2">
        <v>2011</v>
      </c>
      <c r="D186" s="2">
        <v>2012</v>
      </c>
      <c r="E186" s="2">
        <v>2013</v>
      </c>
      <c r="F186" s="2">
        <v>2014</v>
      </c>
      <c r="G186" s="2">
        <v>2015</v>
      </c>
    </row>
    <row r="187" spans="1:7">
      <c r="A187" s="7" t="s">
        <v>22</v>
      </c>
      <c r="B187" s="3">
        <v>6372780</v>
      </c>
      <c r="C187" s="3">
        <v>6424310</v>
      </c>
      <c r="D187" s="3">
        <v>6473920</v>
      </c>
      <c r="E187" s="3">
        <v>6526190</v>
      </c>
      <c r="F187" s="3">
        <v>6581560</v>
      </c>
    </row>
    <row r="188" spans="1:7">
      <c r="A188" s="7" t="s">
        <v>30</v>
      </c>
      <c r="B188" s="3">
        <v>112740</v>
      </c>
      <c r="C188" s="3">
        <v>113040</v>
      </c>
      <c r="D188" s="3">
        <v>112950</v>
      </c>
      <c r="E188" s="3">
        <v>113060</v>
      </c>
      <c r="F188" s="3">
        <v>113330</v>
      </c>
    </row>
    <row r="189" spans="1:7">
      <c r="A189" s="7" t="s">
        <v>61</v>
      </c>
      <c r="B189" s="3">
        <v>29480</v>
      </c>
      <c r="C189" s="3">
        <v>29610</v>
      </c>
      <c r="D189" s="3">
        <v>29620</v>
      </c>
      <c r="E189" s="3">
        <v>29540</v>
      </c>
      <c r="F189" s="3">
        <v>29640</v>
      </c>
    </row>
    <row r="190" spans="1:7">
      <c r="A190" s="6" t="s">
        <v>75</v>
      </c>
      <c r="B190" s="4">
        <v>182650</v>
      </c>
      <c r="C190" s="4">
        <v>182480</v>
      </c>
      <c r="D190" s="4">
        <v>181660</v>
      </c>
      <c r="E190" s="4">
        <v>180730</v>
      </c>
      <c r="F190" s="4">
        <v>180280</v>
      </c>
      <c r="G190" s="4"/>
    </row>
    <row r="191" spans="1:7">
      <c r="A191" s="7" t="s">
        <v>101</v>
      </c>
      <c r="B191" s="3">
        <v>149840</v>
      </c>
      <c r="C191" s="3">
        <v>149600</v>
      </c>
      <c r="D191" s="3">
        <v>149200</v>
      </c>
      <c r="E191" s="3">
        <v>148360</v>
      </c>
      <c r="F191" s="3">
        <v>147950</v>
      </c>
    </row>
    <row r="192" spans="1:7">
      <c r="A192" s="7" t="s">
        <v>114</v>
      </c>
      <c r="B192" s="3">
        <v>1158080</v>
      </c>
      <c r="C192" s="3">
        <v>1158850</v>
      </c>
      <c r="D192" s="3">
        <v>1159480</v>
      </c>
      <c r="E192" s="3">
        <v>1157770</v>
      </c>
      <c r="F192" s="3">
        <v>1155620</v>
      </c>
      <c r="G192" s="3"/>
    </row>
    <row r="193" spans="1:7">
      <c r="A193" s="6" t="s">
        <v>127</v>
      </c>
      <c r="B193" s="4">
        <v>2650760</v>
      </c>
      <c r="C193" s="4">
        <v>2670780</v>
      </c>
      <c r="D193" s="4">
        <v>2687110</v>
      </c>
      <c r="E193" s="4">
        <v>2704070</v>
      </c>
      <c r="F193" s="4">
        <v>2724510</v>
      </c>
      <c r="G193" s="4"/>
    </row>
    <row r="194" spans="1:7">
      <c r="A194" s="7" t="s">
        <v>140</v>
      </c>
      <c r="B194" s="3">
        <v>235300</v>
      </c>
      <c r="C194" s="3">
        <v>237920</v>
      </c>
      <c r="D194" s="3">
        <v>240250</v>
      </c>
      <c r="E194" s="3">
        <v>242320</v>
      </c>
      <c r="F194" s="3">
        <v>244670</v>
      </c>
      <c r="G194" s="3"/>
    </row>
    <row r="195" spans="1:7">
      <c r="A195" s="6" t="s">
        <v>153</v>
      </c>
      <c r="B195" s="4">
        <v>204050</v>
      </c>
      <c r="C195" s="4">
        <v>207070</v>
      </c>
      <c r="D195" s="4">
        <v>210520</v>
      </c>
      <c r="E195" s="4">
        <v>213090</v>
      </c>
      <c r="F195" s="4">
        <v>215420</v>
      </c>
      <c r="G195" s="4"/>
    </row>
    <row r="196" spans="1:7">
      <c r="A196" s="6" t="s">
        <v>166</v>
      </c>
      <c r="B196" s="4">
        <v>736880</v>
      </c>
      <c r="C196" s="4">
        <v>753140</v>
      </c>
      <c r="D196" s="4">
        <v>774680</v>
      </c>
      <c r="E196" s="4">
        <v>798570</v>
      </c>
      <c r="F196" s="4">
        <v>818830</v>
      </c>
      <c r="G196" s="4"/>
    </row>
    <row r="197" spans="1:7">
      <c r="A197" s="6" t="s">
        <v>179</v>
      </c>
      <c r="B197" s="4">
        <v>899260</v>
      </c>
      <c r="C197" s="4">
        <v>907940</v>
      </c>
      <c r="D197" s="4">
        <v>914490</v>
      </c>
      <c r="E197" s="4">
        <v>924620</v>
      </c>
      <c r="F197" s="4">
        <v>937120</v>
      </c>
      <c r="G197" s="4"/>
    </row>
    <row r="198" spans="1:7">
      <c r="A198" s="6" t="s">
        <v>192</v>
      </c>
      <c r="B198" s="4">
        <v>5090</v>
      </c>
      <c r="C198" s="4">
        <v>5250</v>
      </c>
      <c r="D198" s="4">
        <v>5240</v>
      </c>
      <c r="E198" s="4">
        <v>5330</v>
      </c>
      <c r="F198" s="4">
        <v>5430</v>
      </c>
    </row>
    <row r="199" spans="1:7">
      <c r="A199" s="6" t="s">
        <v>205</v>
      </c>
      <c r="B199" s="4">
        <v>5580</v>
      </c>
      <c r="C199" s="4">
        <v>5560</v>
      </c>
      <c r="D199" s="4">
        <v>5600</v>
      </c>
      <c r="E199" s="4">
        <v>5610</v>
      </c>
      <c r="F199" s="4">
        <v>5660</v>
      </c>
      <c r="G199" s="4"/>
    </row>
    <row r="200" spans="1:7">
      <c r="A200" s="6" t="s">
        <v>218</v>
      </c>
      <c r="B200" s="4">
        <v>3060</v>
      </c>
      <c r="C200" s="4">
        <v>3080</v>
      </c>
      <c r="D200" s="4">
        <v>3130</v>
      </c>
      <c r="E200" s="4">
        <v>3120</v>
      </c>
      <c r="F200" s="4">
        <v>3120</v>
      </c>
      <c r="G200" s="4"/>
    </row>
    <row r="202" spans="1:7">
      <c r="A202" s="7" t="s">
        <v>41</v>
      </c>
      <c r="B202" s="2"/>
      <c r="C202" s="2"/>
      <c r="D202" s="2"/>
      <c r="E202" s="2"/>
      <c r="F202" s="2"/>
      <c r="G202" s="2"/>
    </row>
    <row r="203" spans="1:7">
      <c r="A203" s="7" t="s">
        <v>0</v>
      </c>
      <c r="B203" s="2">
        <v>2010</v>
      </c>
      <c r="C203" s="2">
        <v>2011</v>
      </c>
      <c r="D203" s="2">
        <v>2012</v>
      </c>
      <c r="E203" s="2">
        <v>2013</v>
      </c>
      <c r="F203" s="2">
        <v>2014</v>
      </c>
      <c r="G203" s="2">
        <v>2015</v>
      </c>
    </row>
    <row r="204" spans="1:7">
      <c r="A204" s="7" t="s">
        <v>16</v>
      </c>
      <c r="B204" s="3">
        <v>1021910</v>
      </c>
      <c r="C204" s="3">
        <v>1037240</v>
      </c>
      <c r="D204" s="3">
        <v>1047760</v>
      </c>
      <c r="E204" s="3">
        <v>1054170</v>
      </c>
      <c r="F204" s="3">
        <v>1055750</v>
      </c>
      <c r="G204" s="3"/>
    </row>
    <row r="205" spans="1:7">
      <c r="A205" s="7" t="s">
        <v>47</v>
      </c>
      <c r="B205" s="3">
        <v>14950</v>
      </c>
      <c r="C205" s="3">
        <v>14880</v>
      </c>
      <c r="D205" s="3">
        <v>14620</v>
      </c>
      <c r="E205" s="3">
        <v>14400</v>
      </c>
      <c r="F205" s="3">
        <v>14130</v>
      </c>
      <c r="G205" s="3"/>
    </row>
    <row r="206" spans="1:7">
      <c r="A206" s="7" t="s">
        <v>62</v>
      </c>
      <c r="B206" s="3">
        <v>4470</v>
      </c>
      <c r="C206" s="3">
        <v>4560</v>
      </c>
      <c r="D206" s="3">
        <v>4450</v>
      </c>
      <c r="E206" s="3">
        <v>4350</v>
      </c>
      <c r="F206" s="3">
        <v>4330</v>
      </c>
      <c r="G206" s="3"/>
    </row>
    <row r="207" spans="1:7">
      <c r="A207" s="7" t="s">
        <v>76</v>
      </c>
      <c r="B207" s="3">
        <v>27940</v>
      </c>
      <c r="C207" s="3">
        <v>28110</v>
      </c>
      <c r="D207" s="3">
        <v>27770</v>
      </c>
      <c r="E207" s="3">
        <v>27700</v>
      </c>
      <c r="F207" s="3">
        <v>27190</v>
      </c>
      <c r="G207" s="3"/>
    </row>
    <row r="208" spans="1:7">
      <c r="A208" s="7" t="s">
        <v>102</v>
      </c>
      <c r="B208" s="3">
        <v>21840</v>
      </c>
      <c r="C208" s="3">
        <v>21640</v>
      </c>
      <c r="D208" s="3">
        <v>21500</v>
      </c>
      <c r="E208" s="3">
        <v>20990</v>
      </c>
      <c r="F208" s="3">
        <v>20870</v>
      </c>
      <c r="G208" s="3"/>
    </row>
    <row r="209" spans="1:7">
      <c r="A209" s="7" t="s">
        <v>115</v>
      </c>
      <c r="B209" s="3">
        <v>225460</v>
      </c>
      <c r="C209" s="3">
        <v>231610</v>
      </c>
      <c r="D209" s="3">
        <v>237220</v>
      </c>
      <c r="E209" s="3">
        <v>240180</v>
      </c>
      <c r="F209" s="3">
        <v>240060</v>
      </c>
      <c r="G209" s="3"/>
    </row>
    <row r="210" spans="1:7">
      <c r="A210" s="7" t="s">
        <v>128</v>
      </c>
      <c r="B210" s="3">
        <v>394950</v>
      </c>
      <c r="C210" s="3">
        <v>399500</v>
      </c>
      <c r="D210" s="3">
        <v>402510</v>
      </c>
      <c r="E210" s="3">
        <v>404490</v>
      </c>
      <c r="F210" s="3">
        <v>406160</v>
      </c>
      <c r="G210" s="3"/>
    </row>
    <row r="211" spans="1:7">
      <c r="A211" s="7" t="s">
        <v>141</v>
      </c>
      <c r="B211" s="3">
        <v>40310</v>
      </c>
      <c r="C211" s="3">
        <v>41310</v>
      </c>
      <c r="D211" s="3">
        <v>41790</v>
      </c>
      <c r="E211" s="3">
        <v>42160</v>
      </c>
      <c r="F211" s="3">
        <v>42320</v>
      </c>
      <c r="G211" s="3"/>
    </row>
    <row r="212" spans="1:7">
      <c r="A212" s="7" t="s">
        <v>154</v>
      </c>
      <c r="B212" s="3">
        <v>35530</v>
      </c>
      <c r="C212" s="3">
        <v>36400</v>
      </c>
      <c r="D212" s="3">
        <v>36630</v>
      </c>
      <c r="E212" s="3">
        <v>36450</v>
      </c>
      <c r="F212" s="3">
        <v>35960</v>
      </c>
      <c r="G212" s="3"/>
    </row>
    <row r="213" spans="1:7">
      <c r="A213" s="7" t="s">
        <v>167</v>
      </c>
      <c r="B213" s="3">
        <v>120390</v>
      </c>
      <c r="C213" s="3">
        <v>122330</v>
      </c>
      <c r="D213" s="3">
        <v>125260</v>
      </c>
      <c r="E213" s="3">
        <v>127300</v>
      </c>
      <c r="F213" s="3">
        <v>127600</v>
      </c>
      <c r="G213" s="3"/>
    </row>
    <row r="214" spans="1:7">
      <c r="A214" s="7" t="s">
        <v>180</v>
      </c>
      <c r="B214" s="3">
        <v>132070</v>
      </c>
      <c r="C214" s="3">
        <v>132840</v>
      </c>
      <c r="D214" s="3">
        <v>132000</v>
      </c>
      <c r="E214" s="3">
        <v>132200</v>
      </c>
      <c r="F214" s="3">
        <v>133220</v>
      </c>
      <c r="G214" s="3"/>
    </row>
    <row r="215" spans="1:7">
      <c r="A215" s="7" t="s">
        <v>193</v>
      </c>
      <c r="B215" s="3">
        <v>1030</v>
      </c>
      <c r="C215" s="3">
        <v>1030</v>
      </c>
      <c r="D215" s="3">
        <v>1020</v>
      </c>
      <c r="E215" s="3">
        <v>1000</v>
      </c>
      <c r="F215" s="3">
        <v>990</v>
      </c>
      <c r="G215" s="3"/>
    </row>
    <row r="216" spans="1:7">
      <c r="A216" s="7" t="s">
        <v>206</v>
      </c>
      <c r="B216" s="3">
        <v>1600</v>
      </c>
      <c r="C216" s="3">
        <v>1650</v>
      </c>
      <c r="D216" s="3">
        <v>1620</v>
      </c>
      <c r="E216" s="3">
        <v>1580</v>
      </c>
      <c r="F216" s="3">
        <v>1530</v>
      </c>
      <c r="G216" s="3"/>
    </row>
    <row r="217" spans="1:7">
      <c r="A217" s="7" t="s">
        <v>219</v>
      </c>
      <c r="B217" s="3">
        <v>1360</v>
      </c>
      <c r="C217" s="3">
        <v>1410</v>
      </c>
      <c r="D217" s="3">
        <v>1380</v>
      </c>
      <c r="E217" s="3">
        <v>1380</v>
      </c>
      <c r="F217" s="3">
        <v>1410</v>
      </c>
      <c r="G217" s="3"/>
    </row>
    <row r="219" spans="1:7">
      <c r="A219" s="6" t="s">
        <v>42</v>
      </c>
      <c r="B219" s="1"/>
      <c r="C219" s="1"/>
      <c r="D219" s="1"/>
      <c r="E219" s="1"/>
      <c r="F219" s="1"/>
    </row>
    <row r="220" spans="1:7">
      <c r="A220" s="6" t="s">
        <v>0</v>
      </c>
      <c r="B220" s="2">
        <v>2010</v>
      </c>
      <c r="C220" s="2">
        <v>2011</v>
      </c>
      <c r="D220" s="2">
        <v>2012</v>
      </c>
      <c r="E220" s="2">
        <v>2013</v>
      </c>
      <c r="F220" s="2">
        <v>2014</v>
      </c>
    </row>
    <row r="221" spans="1:7">
      <c r="A221" s="7" t="s">
        <v>17</v>
      </c>
      <c r="B221" s="3">
        <v>1295100</v>
      </c>
      <c r="C221" s="3">
        <v>1317620</v>
      </c>
      <c r="D221" s="3">
        <v>1338690</v>
      </c>
      <c r="E221" s="3">
        <v>1364570</v>
      </c>
      <c r="F221" s="3">
        <v>1391240</v>
      </c>
    </row>
    <row r="222" spans="1:7">
      <c r="A222" s="7" t="s">
        <v>48</v>
      </c>
      <c r="B222" s="3">
        <v>18920</v>
      </c>
      <c r="C222" s="3">
        <v>19290</v>
      </c>
      <c r="D222" s="3">
        <v>19610</v>
      </c>
      <c r="E222" s="3">
        <v>19950</v>
      </c>
      <c r="F222" s="3">
        <v>20340</v>
      </c>
    </row>
    <row r="223" spans="1:7">
      <c r="A223" s="7" t="s">
        <v>63</v>
      </c>
      <c r="B223" s="3">
        <v>5960</v>
      </c>
      <c r="C223" s="3">
        <v>6040</v>
      </c>
      <c r="D223" s="3">
        <v>6060</v>
      </c>
      <c r="E223" s="3">
        <v>6140</v>
      </c>
      <c r="F223" s="3">
        <v>6190</v>
      </c>
    </row>
    <row r="224" spans="1:7">
      <c r="A224" s="6" t="s">
        <v>77</v>
      </c>
      <c r="B224" s="4">
        <v>39880</v>
      </c>
      <c r="C224" s="4">
        <v>40240</v>
      </c>
      <c r="D224" s="4">
        <v>40610</v>
      </c>
      <c r="E224" s="4">
        <v>41200</v>
      </c>
      <c r="F224" s="4">
        <v>41770</v>
      </c>
    </row>
    <row r="225" spans="1:7">
      <c r="A225" s="7" t="s">
        <v>103</v>
      </c>
      <c r="B225" s="3">
        <v>31910</v>
      </c>
      <c r="C225" s="3">
        <v>32230</v>
      </c>
      <c r="D225" s="3">
        <v>32620</v>
      </c>
      <c r="E225" s="3">
        <v>33030</v>
      </c>
      <c r="F225" s="3">
        <v>33490</v>
      </c>
    </row>
    <row r="226" spans="1:7">
      <c r="A226" s="7" t="s">
        <v>116</v>
      </c>
      <c r="B226" s="3">
        <v>330590</v>
      </c>
      <c r="C226" s="3">
        <v>336590</v>
      </c>
      <c r="D226" s="3">
        <v>341530</v>
      </c>
      <c r="E226" s="3">
        <v>347810</v>
      </c>
      <c r="F226" s="3">
        <v>354810</v>
      </c>
    </row>
    <row r="227" spans="1:7">
      <c r="A227" s="6" t="s">
        <v>129</v>
      </c>
      <c r="B227" s="4">
        <v>495450</v>
      </c>
      <c r="C227" s="4">
        <v>505370</v>
      </c>
      <c r="D227" s="4">
        <v>515150</v>
      </c>
      <c r="E227" s="4">
        <v>526570</v>
      </c>
      <c r="F227" s="4">
        <v>538420</v>
      </c>
    </row>
    <row r="228" spans="1:7">
      <c r="A228" s="7" t="s">
        <v>142</v>
      </c>
      <c r="B228" s="3">
        <v>49640</v>
      </c>
      <c r="C228" s="3">
        <v>49540</v>
      </c>
      <c r="D228" s="3">
        <v>49630</v>
      </c>
      <c r="E228" s="3">
        <v>49780</v>
      </c>
      <c r="F228" s="3">
        <v>49790</v>
      </c>
    </row>
    <row r="229" spans="1:7">
      <c r="A229" s="6" t="s">
        <v>155</v>
      </c>
      <c r="B229" s="4">
        <v>45130</v>
      </c>
      <c r="C229" s="4">
        <v>44920</v>
      </c>
      <c r="D229" s="4">
        <v>44770</v>
      </c>
      <c r="E229" s="4">
        <v>44610</v>
      </c>
      <c r="F229" s="4">
        <v>44480</v>
      </c>
    </row>
    <row r="230" spans="1:7">
      <c r="A230" s="6" t="s">
        <v>168</v>
      </c>
      <c r="B230" s="4">
        <v>103570</v>
      </c>
      <c r="C230" s="4">
        <v>105750</v>
      </c>
      <c r="D230" s="4">
        <v>107980</v>
      </c>
      <c r="E230" s="4">
        <v>110310</v>
      </c>
      <c r="F230" s="4">
        <v>112760</v>
      </c>
      <c r="G230" s="1"/>
    </row>
    <row r="231" spans="1:7">
      <c r="A231" s="6" t="s">
        <v>181</v>
      </c>
      <c r="B231" s="4">
        <v>172940</v>
      </c>
      <c r="C231" s="4">
        <v>176510</v>
      </c>
      <c r="D231" s="4">
        <v>179540</v>
      </c>
      <c r="E231" s="4">
        <v>183950</v>
      </c>
      <c r="F231" s="4">
        <v>187900</v>
      </c>
    </row>
    <row r="232" spans="1:7">
      <c r="A232" s="6" t="s">
        <v>194</v>
      </c>
      <c r="B232" s="4">
        <v>530</v>
      </c>
      <c r="C232" s="4">
        <v>540</v>
      </c>
      <c r="D232" s="4">
        <v>570</v>
      </c>
      <c r="E232" s="4">
        <v>600</v>
      </c>
      <c r="F232" s="4">
        <v>620</v>
      </c>
    </row>
    <row r="233" spans="1:7">
      <c r="A233" s="6" t="s">
        <v>207</v>
      </c>
      <c r="B233" s="4">
        <v>430</v>
      </c>
      <c r="C233" s="4">
        <v>440</v>
      </c>
      <c r="D233" s="4">
        <v>460</v>
      </c>
      <c r="E233" s="4">
        <v>480</v>
      </c>
      <c r="F233" s="4">
        <v>500</v>
      </c>
    </row>
    <row r="234" spans="1:7">
      <c r="A234" s="6" t="s">
        <v>220</v>
      </c>
      <c r="B234" s="4">
        <v>170</v>
      </c>
      <c r="C234" s="4">
        <v>160</v>
      </c>
      <c r="D234" s="4">
        <v>160</v>
      </c>
      <c r="E234" s="4">
        <v>170</v>
      </c>
      <c r="F234" s="4">
        <v>190</v>
      </c>
    </row>
    <row r="236" spans="1:7">
      <c r="A236" s="6" t="s">
        <v>43</v>
      </c>
      <c r="B236" s="1"/>
      <c r="C236" s="1"/>
      <c r="D236" s="1"/>
      <c r="E236" s="1"/>
      <c r="F236" s="1"/>
      <c r="G236" s="1"/>
    </row>
    <row r="237" spans="1:7">
      <c r="A237" s="6" t="s">
        <v>0</v>
      </c>
      <c r="B237" s="2">
        <v>2010</v>
      </c>
      <c r="C237" s="2">
        <v>2011</v>
      </c>
      <c r="D237" s="2">
        <v>2012</v>
      </c>
      <c r="E237" s="2">
        <v>2013</v>
      </c>
      <c r="F237" s="2">
        <v>2014</v>
      </c>
      <c r="G237" s="2">
        <v>2015</v>
      </c>
    </row>
    <row r="238" spans="1:7">
      <c r="A238" s="6" t="s">
        <v>49</v>
      </c>
      <c r="B238">
        <f>ABS(B102-B170)</f>
        <v>432760</v>
      </c>
      <c r="C238">
        <f t="shared" ref="C238:F238" si="0">ABS(C102-C170)</f>
        <v>446320</v>
      </c>
      <c r="D238">
        <f t="shared" si="0"/>
        <v>448730</v>
      </c>
      <c r="E238">
        <f t="shared" si="0"/>
        <v>461250</v>
      </c>
      <c r="F238">
        <f t="shared" si="0"/>
        <v>473020</v>
      </c>
    </row>
    <row r="239" spans="1:7">
      <c r="A239" s="6" t="s">
        <v>50</v>
      </c>
      <c r="B239">
        <f t="shared" ref="B239:F239" si="1">ABS(B103-B171)</f>
        <v>8850</v>
      </c>
      <c r="C239">
        <f t="shared" si="1"/>
        <v>9060</v>
      </c>
      <c r="D239">
        <f t="shared" si="1"/>
        <v>9160</v>
      </c>
      <c r="E239">
        <f t="shared" si="1"/>
        <v>9130</v>
      </c>
      <c r="F239">
        <f t="shared" si="1"/>
        <v>9440</v>
      </c>
    </row>
    <row r="240" spans="1:7">
      <c r="A240" s="6" t="s">
        <v>64</v>
      </c>
      <c r="B240">
        <f t="shared" ref="B240:F240" si="2">ABS(B104-B172)</f>
        <v>1370</v>
      </c>
      <c r="C240">
        <f t="shared" si="2"/>
        <v>1310</v>
      </c>
      <c r="D240">
        <f t="shared" si="2"/>
        <v>1250</v>
      </c>
      <c r="E240">
        <f t="shared" si="2"/>
        <v>1160</v>
      </c>
      <c r="F240">
        <f t="shared" si="2"/>
        <v>1000</v>
      </c>
    </row>
    <row r="241" spans="1:7">
      <c r="A241" s="6" t="s">
        <v>87</v>
      </c>
      <c r="B241">
        <f t="shared" ref="B241:F241" si="3">ABS(B105-B173)</f>
        <v>8610</v>
      </c>
      <c r="C241">
        <f t="shared" si="3"/>
        <v>8770</v>
      </c>
      <c r="D241">
        <f t="shared" si="3"/>
        <v>8210</v>
      </c>
      <c r="E241">
        <f t="shared" si="3"/>
        <v>7990</v>
      </c>
      <c r="F241">
        <f t="shared" si="3"/>
        <v>7930</v>
      </c>
    </row>
    <row r="242" spans="1:7">
      <c r="A242" s="6" t="s">
        <v>88</v>
      </c>
      <c r="B242">
        <f t="shared" ref="B242:F242" si="4">ABS(B106-B174)</f>
        <v>12540</v>
      </c>
      <c r="C242">
        <f t="shared" si="4"/>
        <v>12420</v>
      </c>
      <c r="D242">
        <f t="shared" si="4"/>
        <v>11660</v>
      </c>
      <c r="E242">
        <f t="shared" si="4"/>
        <v>11420</v>
      </c>
      <c r="F242">
        <f t="shared" si="4"/>
        <v>11720</v>
      </c>
    </row>
    <row r="243" spans="1:7">
      <c r="A243" s="6" t="s">
        <v>89</v>
      </c>
      <c r="B243">
        <f t="shared" ref="B243:F243" si="5">ABS(B107-B175)</f>
        <v>124730</v>
      </c>
      <c r="C243">
        <f t="shared" si="5"/>
        <v>129010</v>
      </c>
      <c r="D243">
        <f t="shared" si="5"/>
        <v>131130</v>
      </c>
      <c r="E243">
        <f t="shared" si="5"/>
        <v>133180</v>
      </c>
      <c r="F243">
        <f t="shared" si="5"/>
        <v>136520</v>
      </c>
    </row>
    <row r="244" spans="1:7">
      <c r="A244" s="6" t="s">
        <v>90</v>
      </c>
      <c r="B244">
        <f t="shared" ref="B244:F244" si="6">ABS(B108-B176)</f>
        <v>111660</v>
      </c>
      <c r="C244">
        <f t="shared" si="6"/>
        <v>106210</v>
      </c>
      <c r="D244">
        <f t="shared" si="6"/>
        <v>102040</v>
      </c>
      <c r="E244">
        <f t="shared" si="6"/>
        <v>103620</v>
      </c>
      <c r="F244">
        <f t="shared" si="6"/>
        <v>108120</v>
      </c>
    </row>
    <row r="245" spans="1:7">
      <c r="A245" s="6" t="s">
        <v>91</v>
      </c>
      <c r="B245">
        <f t="shared" ref="B245:F245" si="7">ABS(B109-B177)</f>
        <v>19140</v>
      </c>
      <c r="C245">
        <f t="shared" si="7"/>
        <v>19860</v>
      </c>
      <c r="D245">
        <f t="shared" si="7"/>
        <v>19850</v>
      </c>
      <c r="E245">
        <f t="shared" si="7"/>
        <v>20200</v>
      </c>
      <c r="F245">
        <f t="shared" si="7"/>
        <v>20880</v>
      </c>
    </row>
    <row r="246" spans="1:7">
      <c r="A246" s="6" t="s">
        <v>92</v>
      </c>
      <c r="B246">
        <f t="shared" ref="B246:F246" si="8">ABS(B110-B178)</f>
        <v>19520</v>
      </c>
      <c r="C246">
        <f t="shared" si="8"/>
        <v>22110</v>
      </c>
      <c r="D246">
        <f t="shared" si="8"/>
        <v>22000</v>
      </c>
      <c r="E246">
        <f t="shared" si="8"/>
        <v>22560</v>
      </c>
      <c r="F246">
        <f t="shared" si="8"/>
        <v>22160</v>
      </c>
    </row>
    <row r="247" spans="1:7">
      <c r="A247" s="6" t="s">
        <v>93</v>
      </c>
      <c r="B247">
        <f t="shared" ref="B247:F247" si="9">ABS(B111-B179)</f>
        <v>75310</v>
      </c>
      <c r="C247">
        <f t="shared" si="9"/>
        <v>82170</v>
      </c>
      <c r="D247">
        <f t="shared" si="9"/>
        <v>89970</v>
      </c>
      <c r="E247">
        <f t="shared" si="9"/>
        <v>96100</v>
      </c>
      <c r="F247">
        <f t="shared" si="9"/>
        <v>98600</v>
      </c>
    </row>
    <row r="248" spans="1:7">
      <c r="A248" s="6" t="s">
        <v>94</v>
      </c>
      <c r="B248">
        <f t="shared" ref="B248:F248" si="10">ABS(B112-B180)</f>
        <v>48820</v>
      </c>
      <c r="C248">
        <f t="shared" si="10"/>
        <v>53180</v>
      </c>
      <c r="D248">
        <f t="shared" si="10"/>
        <v>51390</v>
      </c>
      <c r="E248">
        <f t="shared" si="10"/>
        <v>53910</v>
      </c>
      <c r="F248">
        <f t="shared" si="10"/>
        <v>54570</v>
      </c>
    </row>
    <row r="249" spans="1:7">
      <c r="A249" s="6" t="s">
        <v>95</v>
      </c>
      <c r="B249">
        <f t="shared" ref="B249:F249" si="11">ABS(B113-B181)</f>
        <v>590</v>
      </c>
      <c r="C249">
        <f t="shared" si="11"/>
        <v>650</v>
      </c>
      <c r="D249">
        <f t="shared" si="11"/>
        <v>630</v>
      </c>
      <c r="E249">
        <f t="shared" si="11"/>
        <v>490</v>
      </c>
      <c r="F249">
        <f t="shared" si="11"/>
        <v>580</v>
      </c>
    </row>
    <row r="250" spans="1:7">
      <c r="A250" s="6" t="s">
        <v>96</v>
      </c>
      <c r="B250">
        <f t="shared" ref="B250:F250" si="12">ABS(B114-B182)</f>
        <v>1080</v>
      </c>
      <c r="C250">
        <f t="shared" si="12"/>
        <v>1110</v>
      </c>
      <c r="D250">
        <f t="shared" si="12"/>
        <v>1050</v>
      </c>
      <c r="E250">
        <f t="shared" si="12"/>
        <v>1020</v>
      </c>
      <c r="F250">
        <f t="shared" si="12"/>
        <v>1010</v>
      </c>
    </row>
    <row r="251" spans="1:7">
      <c r="A251" s="6" t="s">
        <v>97</v>
      </c>
      <c r="B251">
        <f t="shared" ref="B251:F251" si="13">ABS(B115-B183)</f>
        <v>550</v>
      </c>
      <c r="C251">
        <f t="shared" si="13"/>
        <v>490</v>
      </c>
      <c r="D251">
        <f t="shared" si="13"/>
        <v>390</v>
      </c>
      <c r="E251">
        <f t="shared" si="13"/>
        <v>490</v>
      </c>
      <c r="F251">
        <f t="shared" si="13"/>
        <v>490</v>
      </c>
    </row>
    <row r="253" spans="1:7">
      <c r="A253" s="6" t="s">
        <v>44</v>
      </c>
      <c r="B253" s="1"/>
      <c r="C253" s="1"/>
      <c r="D253" s="1"/>
      <c r="E253" s="1"/>
      <c r="F253" s="1"/>
      <c r="G253" s="1"/>
    </row>
    <row r="254" spans="1:7">
      <c r="A254" s="6" t="s">
        <v>0</v>
      </c>
      <c r="B254" s="2">
        <v>2010</v>
      </c>
      <c r="C254" s="2">
        <v>2011</v>
      </c>
      <c r="D254" s="2">
        <v>2012</v>
      </c>
      <c r="E254" s="2">
        <v>2013</v>
      </c>
      <c r="F254" s="2">
        <v>2014</v>
      </c>
      <c r="G254" s="2">
        <v>2015</v>
      </c>
    </row>
    <row r="255" spans="1:7">
      <c r="A255" s="6" t="s">
        <v>49</v>
      </c>
      <c r="B255">
        <f>ABS(B119-B187)</f>
        <v>2360</v>
      </c>
      <c r="C255">
        <f t="shared" ref="C255:F255" si="14">ABS(C119-C187)</f>
        <v>620</v>
      </c>
      <c r="D255">
        <f t="shared" si="14"/>
        <v>1100</v>
      </c>
      <c r="E255">
        <f t="shared" si="14"/>
        <v>990</v>
      </c>
      <c r="F255">
        <f t="shared" si="14"/>
        <v>160</v>
      </c>
    </row>
    <row r="256" spans="1:7">
      <c r="A256" s="6" t="s">
        <v>50</v>
      </c>
      <c r="B256">
        <f t="shared" ref="B256:F256" si="15">ABS(B120-B188)</f>
        <v>130</v>
      </c>
      <c r="C256">
        <f t="shared" si="15"/>
        <v>170</v>
      </c>
      <c r="D256">
        <f t="shared" si="15"/>
        <v>140</v>
      </c>
      <c r="E256">
        <f t="shared" si="15"/>
        <v>130</v>
      </c>
      <c r="F256">
        <f t="shared" si="15"/>
        <v>160</v>
      </c>
    </row>
    <row r="257" spans="1:7">
      <c r="A257" s="6" t="s">
        <v>64</v>
      </c>
      <c r="B257">
        <f t="shared" ref="B257:F257" si="16">ABS(B121-B189)</f>
        <v>10</v>
      </c>
      <c r="C257">
        <f t="shared" si="16"/>
        <v>40</v>
      </c>
      <c r="D257">
        <f t="shared" si="16"/>
        <v>50</v>
      </c>
      <c r="E257">
        <f t="shared" si="16"/>
        <v>60</v>
      </c>
      <c r="F257">
        <f t="shared" si="16"/>
        <v>40</v>
      </c>
    </row>
    <row r="258" spans="1:7">
      <c r="A258" s="6" t="s">
        <v>87</v>
      </c>
      <c r="B258">
        <f t="shared" ref="B258:F258" si="17">ABS(B122-B190)</f>
        <v>300</v>
      </c>
      <c r="C258">
        <f t="shared" si="17"/>
        <v>410</v>
      </c>
      <c r="D258">
        <f t="shared" si="17"/>
        <v>410</v>
      </c>
      <c r="E258">
        <f t="shared" si="17"/>
        <v>310</v>
      </c>
      <c r="F258">
        <f t="shared" si="17"/>
        <v>420</v>
      </c>
    </row>
    <row r="259" spans="1:7">
      <c r="A259" s="6" t="s">
        <v>88</v>
      </c>
      <c r="B259">
        <f t="shared" ref="B259:F259" si="18">ABS(B123-B191)</f>
        <v>210</v>
      </c>
      <c r="C259">
        <f t="shared" si="18"/>
        <v>280</v>
      </c>
      <c r="D259">
        <f t="shared" si="18"/>
        <v>270</v>
      </c>
      <c r="E259">
        <f t="shared" si="18"/>
        <v>310</v>
      </c>
      <c r="F259">
        <f t="shared" si="18"/>
        <v>300</v>
      </c>
    </row>
    <row r="260" spans="1:7">
      <c r="A260" s="6" t="s">
        <v>89</v>
      </c>
      <c r="B260">
        <f t="shared" ref="B260:F260" si="19">ABS(B124-B192)</f>
        <v>800</v>
      </c>
      <c r="C260">
        <f t="shared" si="19"/>
        <v>550</v>
      </c>
      <c r="D260">
        <f t="shared" si="19"/>
        <v>570</v>
      </c>
      <c r="E260">
        <f t="shared" si="19"/>
        <v>670</v>
      </c>
      <c r="F260">
        <f t="shared" si="19"/>
        <v>590</v>
      </c>
    </row>
    <row r="261" spans="1:7">
      <c r="A261" s="6" t="s">
        <v>90</v>
      </c>
      <c r="B261">
        <f t="shared" ref="B261:F261" si="20">ABS(B125-B193)</f>
        <v>2120</v>
      </c>
      <c r="C261">
        <f t="shared" si="20"/>
        <v>1480</v>
      </c>
      <c r="D261">
        <f t="shared" si="20"/>
        <v>1830</v>
      </c>
      <c r="E261">
        <f t="shared" si="20"/>
        <v>1550</v>
      </c>
      <c r="F261">
        <f t="shared" si="20"/>
        <v>960</v>
      </c>
    </row>
    <row r="262" spans="1:7">
      <c r="A262" s="6" t="s">
        <v>91</v>
      </c>
      <c r="B262">
        <f t="shared" ref="B262:F262" si="21">ABS(B126-B194)</f>
        <v>190</v>
      </c>
      <c r="C262">
        <f t="shared" si="21"/>
        <v>160</v>
      </c>
      <c r="D262">
        <f t="shared" si="21"/>
        <v>240</v>
      </c>
      <c r="E262">
        <f t="shared" si="21"/>
        <v>170</v>
      </c>
      <c r="F262">
        <f t="shared" si="21"/>
        <v>150</v>
      </c>
    </row>
    <row r="263" spans="1:7">
      <c r="A263" s="6" t="s">
        <v>92</v>
      </c>
      <c r="B263">
        <f t="shared" ref="B263:F263" si="22">ABS(B127-B195)</f>
        <v>200</v>
      </c>
      <c r="C263">
        <f t="shared" si="22"/>
        <v>220</v>
      </c>
      <c r="D263">
        <f t="shared" si="22"/>
        <v>190</v>
      </c>
      <c r="E263">
        <f t="shared" si="22"/>
        <v>120</v>
      </c>
      <c r="F263">
        <f t="shared" si="22"/>
        <v>150</v>
      </c>
    </row>
    <row r="264" spans="1:7">
      <c r="A264" s="6" t="s">
        <v>93</v>
      </c>
      <c r="B264">
        <f t="shared" ref="B264:F264" si="23">ABS(B128-B196)</f>
        <v>520</v>
      </c>
      <c r="C264">
        <f t="shared" si="23"/>
        <v>110</v>
      </c>
      <c r="D264">
        <f t="shared" si="23"/>
        <v>330</v>
      </c>
      <c r="E264">
        <f t="shared" si="23"/>
        <v>290</v>
      </c>
      <c r="F264">
        <f t="shared" si="23"/>
        <v>210</v>
      </c>
    </row>
    <row r="265" spans="1:7">
      <c r="A265" s="6" t="s">
        <v>94</v>
      </c>
      <c r="B265">
        <f t="shared" ref="B265:F265" si="24">ABS(B129-B197)</f>
        <v>30</v>
      </c>
      <c r="C265">
        <f t="shared" si="24"/>
        <v>180</v>
      </c>
      <c r="D265">
        <f t="shared" si="24"/>
        <v>250</v>
      </c>
      <c r="E265">
        <f t="shared" si="24"/>
        <v>320</v>
      </c>
      <c r="F265">
        <f t="shared" si="24"/>
        <v>250</v>
      </c>
    </row>
    <row r="266" spans="1:7">
      <c r="A266" s="6" t="s">
        <v>95</v>
      </c>
      <c r="B266">
        <f t="shared" ref="B266:F266" si="25">ABS(B130-B198)</f>
        <v>20</v>
      </c>
      <c r="C266">
        <f t="shared" si="25"/>
        <v>20</v>
      </c>
      <c r="D266">
        <f t="shared" si="25"/>
        <v>20</v>
      </c>
      <c r="E266">
        <f t="shared" si="25"/>
        <v>30</v>
      </c>
      <c r="F266">
        <f t="shared" si="25"/>
        <v>50</v>
      </c>
    </row>
    <row r="267" spans="1:7">
      <c r="A267" s="6" t="s">
        <v>96</v>
      </c>
      <c r="B267">
        <f t="shared" ref="B267:F267" si="26">ABS(B131-B199)</f>
        <v>30</v>
      </c>
      <c r="C267">
        <f t="shared" si="26"/>
        <v>20</v>
      </c>
      <c r="D267">
        <f t="shared" si="26"/>
        <v>50</v>
      </c>
      <c r="E267">
        <f t="shared" si="26"/>
        <v>40</v>
      </c>
      <c r="F267">
        <f t="shared" si="26"/>
        <v>70</v>
      </c>
    </row>
    <row r="268" spans="1:7">
      <c r="A268" s="6" t="s">
        <v>97</v>
      </c>
      <c r="B268">
        <f t="shared" ref="B268:F268" si="27">ABS(B132-B200)</f>
        <v>20</v>
      </c>
      <c r="C268">
        <f t="shared" si="27"/>
        <v>30</v>
      </c>
      <c r="D268">
        <f t="shared" si="27"/>
        <v>10</v>
      </c>
      <c r="E268">
        <f t="shared" si="27"/>
        <v>20</v>
      </c>
      <c r="F268">
        <f t="shared" si="27"/>
        <v>20</v>
      </c>
    </row>
    <row r="270" spans="1:7">
      <c r="A270" s="6" t="s">
        <v>45</v>
      </c>
      <c r="B270" s="1"/>
      <c r="C270" s="1"/>
      <c r="D270" s="1"/>
      <c r="E270" s="1"/>
      <c r="F270" s="1"/>
      <c r="G270" s="1"/>
    </row>
    <row r="271" spans="1:7">
      <c r="A271" s="6" t="s">
        <v>0</v>
      </c>
      <c r="B271" s="2">
        <v>2010</v>
      </c>
      <c r="C271" s="2">
        <v>2011</v>
      </c>
      <c r="D271" s="2">
        <v>2012</v>
      </c>
      <c r="E271" s="2">
        <v>2013</v>
      </c>
      <c r="F271" s="2">
        <v>2014</v>
      </c>
      <c r="G271" s="2">
        <v>2015</v>
      </c>
    </row>
    <row r="272" spans="1:7">
      <c r="A272" s="6" t="s">
        <v>49</v>
      </c>
      <c r="B272">
        <f>ABS(B136-B204)</f>
        <v>17500</v>
      </c>
      <c r="C272">
        <f t="shared" ref="C272:F272" si="28">ABS(C136-C204)</f>
        <v>13250</v>
      </c>
      <c r="D272">
        <f t="shared" si="28"/>
        <v>9810</v>
      </c>
      <c r="E272">
        <f t="shared" si="28"/>
        <v>4480</v>
      </c>
      <c r="F272">
        <f t="shared" si="28"/>
        <v>700</v>
      </c>
    </row>
    <row r="273" spans="1:7">
      <c r="A273" s="6" t="s">
        <v>50</v>
      </c>
      <c r="B273">
        <f t="shared" ref="B273:F273" si="29">ABS(B137-B205)</f>
        <v>430</v>
      </c>
      <c r="C273">
        <f t="shared" si="29"/>
        <v>310</v>
      </c>
      <c r="D273">
        <f t="shared" si="29"/>
        <v>110</v>
      </c>
      <c r="E273">
        <f t="shared" si="29"/>
        <v>160</v>
      </c>
      <c r="F273">
        <f t="shared" si="29"/>
        <v>10</v>
      </c>
    </row>
    <row r="274" spans="1:7">
      <c r="A274" s="6" t="s">
        <v>64</v>
      </c>
      <c r="B274">
        <f t="shared" ref="B274:F274" si="30">ABS(B138-B206)</f>
        <v>130</v>
      </c>
      <c r="C274">
        <f t="shared" si="30"/>
        <v>220</v>
      </c>
      <c r="D274">
        <f t="shared" si="30"/>
        <v>60</v>
      </c>
      <c r="E274">
        <f t="shared" si="30"/>
        <v>50</v>
      </c>
      <c r="F274">
        <f t="shared" si="30"/>
        <v>140</v>
      </c>
    </row>
    <row r="275" spans="1:7">
      <c r="A275" s="6" t="s">
        <v>87</v>
      </c>
      <c r="B275">
        <f t="shared" ref="B275:F275" si="31">ABS(B139-B207)</f>
        <v>920</v>
      </c>
      <c r="C275">
        <f t="shared" si="31"/>
        <v>660</v>
      </c>
      <c r="D275">
        <f t="shared" si="31"/>
        <v>630</v>
      </c>
      <c r="E275">
        <f t="shared" si="31"/>
        <v>930</v>
      </c>
      <c r="F275">
        <f t="shared" si="31"/>
        <v>810</v>
      </c>
    </row>
    <row r="276" spans="1:7">
      <c r="A276" s="6" t="s">
        <v>88</v>
      </c>
      <c r="B276">
        <f t="shared" ref="B276:F276" si="32">ABS(B140-B208)</f>
        <v>40</v>
      </c>
      <c r="C276">
        <f t="shared" si="32"/>
        <v>180</v>
      </c>
      <c r="D276">
        <f t="shared" si="32"/>
        <v>40</v>
      </c>
      <c r="E276">
        <f t="shared" si="32"/>
        <v>110</v>
      </c>
      <c r="F276">
        <f t="shared" si="32"/>
        <v>130</v>
      </c>
    </row>
    <row r="277" spans="1:7">
      <c r="A277" s="6" t="s">
        <v>89</v>
      </c>
      <c r="B277">
        <f t="shared" ref="B277:F277" si="33">ABS(B141-B209)</f>
        <v>3370</v>
      </c>
      <c r="C277">
        <f t="shared" si="33"/>
        <v>2800</v>
      </c>
      <c r="D277">
        <f t="shared" si="33"/>
        <v>2320</v>
      </c>
      <c r="E277">
        <f t="shared" si="33"/>
        <v>1830</v>
      </c>
      <c r="F277">
        <f t="shared" si="33"/>
        <v>1780</v>
      </c>
    </row>
    <row r="278" spans="1:7">
      <c r="A278" s="6" t="s">
        <v>90</v>
      </c>
      <c r="B278">
        <f t="shared" ref="B278:F278" si="34">ABS(B142-B210)</f>
        <v>5320</v>
      </c>
      <c r="C278">
        <f t="shared" si="34"/>
        <v>5570</v>
      </c>
      <c r="D278">
        <f t="shared" si="34"/>
        <v>4950</v>
      </c>
      <c r="E278">
        <f t="shared" si="34"/>
        <v>3090</v>
      </c>
      <c r="F278">
        <f t="shared" si="34"/>
        <v>100</v>
      </c>
    </row>
    <row r="279" spans="1:7">
      <c r="A279" s="6" t="s">
        <v>91</v>
      </c>
      <c r="B279">
        <f t="shared" ref="B279:F279" si="35">ABS(B143-B211)</f>
        <v>440</v>
      </c>
      <c r="C279">
        <f t="shared" si="35"/>
        <v>260</v>
      </c>
      <c r="D279">
        <f t="shared" si="35"/>
        <v>280</v>
      </c>
      <c r="E279">
        <f t="shared" si="35"/>
        <v>80</v>
      </c>
      <c r="F279">
        <f t="shared" si="35"/>
        <v>260</v>
      </c>
    </row>
    <row r="280" spans="1:7">
      <c r="A280" s="6" t="s">
        <v>92</v>
      </c>
      <c r="B280">
        <f t="shared" ref="B280:F280" si="36">ABS(B144-B212)</f>
        <v>260</v>
      </c>
      <c r="C280">
        <f t="shared" si="36"/>
        <v>280</v>
      </c>
      <c r="D280">
        <f t="shared" si="36"/>
        <v>280</v>
      </c>
      <c r="E280">
        <f t="shared" si="36"/>
        <v>400</v>
      </c>
      <c r="F280">
        <f t="shared" si="36"/>
        <v>160</v>
      </c>
    </row>
    <row r="281" spans="1:7">
      <c r="A281" s="6" t="s">
        <v>93</v>
      </c>
      <c r="B281">
        <f t="shared" ref="B281:F281" si="37">ABS(B145-B213)</f>
        <v>2360</v>
      </c>
      <c r="C281">
        <f t="shared" si="37"/>
        <v>870</v>
      </c>
      <c r="D281">
        <f t="shared" si="37"/>
        <v>170</v>
      </c>
      <c r="E281">
        <f t="shared" si="37"/>
        <v>2200</v>
      </c>
      <c r="F281">
        <f t="shared" si="37"/>
        <v>3090</v>
      </c>
    </row>
    <row r="282" spans="1:7">
      <c r="A282" s="6" t="s">
        <v>94</v>
      </c>
      <c r="B282">
        <f t="shared" ref="B282:F282" si="38">ABS(B146-B214)</f>
        <v>4230</v>
      </c>
      <c r="C282">
        <f t="shared" si="38"/>
        <v>3000</v>
      </c>
      <c r="D282">
        <f t="shared" si="38"/>
        <v>1880</v>
      </c>
      <c r="E282">
        <f t="shared" si="38"/>
        <v>1010</v>
      </c>
      <c r="F282">
        <f t="shared" si="38"/>
        <v>90</v>
      </c>
    </row>
    <row r="283" spans="1:7">
      <c r="A283" s="6" t="s">
        <v>95</v>
      </c>
      <c r="B283">
        <f t="shared" ref="B283:F283" si="39">ABS(B147-B215)</f>
        <v>30</v>
      </c>
      <c r="C283">
        <f t="shared" si="39"/>
        <v>80</v>
      </c>
      <c r="D283">
        <f t="shared" si="39"/>
        <v>100</v>
      </c>
      <c r="E283">
        <f t="shared" si="39"/>
        <v>80</v>
      </c>
      <c r="F283">
        <f t="shared" si="39"/>
        <v>40</v>
      </c>
    </row>
    <row r="284" spans="1:7">
      <c r="A284" s="6" t="s">
        <v>96</v>
      </c>
      <c r="B284">
        <f t="shared" ref="B284:F284" si="40">ABS(B148-B216)</f>
        <v>0</v>
      </c>
      <c r="C284">
        <f t="shared" si="40"/>
        <v>40</v>
      </c>
      <c r="D284">
        <f t="shared" si="40"/>
        <v>40</v>
      </c>
      <c r="E284">
        <f t="shared" si="40"/>
        <v>20</v>
      </c>
      <c r="F284">
        <f t="shared" si="40"/>
        <v>40</v>
      </c>
    </row>
    <row r="285" spans="1:7">
      <c r="A285" s="6" t="s">
        <v>97</v>
      </c>
      <c r="B285">
        <f t="shared" ref="B285:F285" si="41">ABS(B149-B217)</f>
        <v>30</v>
      </c>
      <c r="C285">
        <f t="shared" si="41"/>
        <v>90</v>
      </c>
      <c r="D285">
        <f t="shared" si="41"/>
        <v>60</v>
      </c>
      <c r="E285">
        <f t="shared" si="41"/>
        <v>80</v>
      </c>
      <c r="F285">
        <f t="shared" si="41"/>
        <v>50</v>
      </c>
    </row>
    <row r="287" spans="1:7">
      <c r="A287" s="6" t="s">
        <v>46</v>
      </c>
      <c r="B287" s="1"/>
      <c r="C287" s="1"/>
      <c r="D287" s="1"/>
      <c r="E287" s="1"/>
      <c r="F287" s="1"/>
    </row>
    <row r="288" spans="1:7">
      <c r="A288" s="6" t="s">
        <v>0</v>
      </c>
      <c r="B288" s="2">
        <v>2010</v>
      </c>
      <c r="C288" s="2">
        <v>2011</v>
      </c>
      <c r="D288" s="2">
        <v>2012</v>
      </c>
      <c r="E288" s="2">
        <v>2013</v>
      </c>
      <c r="F288" s="2">
        <v>2014</v>
      </c>
      <c r="G288" s="2">
        <v>2015</v>
      </c>
    </row>
    <row r="289" spans="1:6">
      <c r="A289" s="6" t="s">
        <v>49</v>
      </c>
      <c r="B289">
        <f>ABS(B153-B221)</f>
        <v>416410</v>
      </c>
      <c r="C289">
        <f t="shared" ref="C289:F289" si="42">ABS(C153-C221)</f>
        <v>412420</v>
      </c>
      <c r="D289">
        <f t="shared" si="42"/>
        <v>408600</v>
      </c>
      <c r="E289">
        <f t="shared" si="42"/>
        <v>404270</v>
      </c>
      <c r="F289">
        <f t="shared" si="42"/>
        <v>400830</v>
      </c>
    </row>
    <row r="290" spans="1:6">
      <c r="A290" s="6" t="s">
        <v>50</v>
      </c>
      <c r="B290">
        <f t="shared" ref="B290:F290" si="43">ABS(B154-B222)</f>
        <v>5570</v>
      </c>
      <c r="C290">
        <f t="shared" si="43"/>
        <v>5490</v>
      </c>
      <c r="D290">
        <f t="shared" si="43"/>
        <v>5450</v>
      </c>
      <c r="E290">
        <f t="shared" si="43"/>
        <v>5320</v>
      </c>
      <c r="F290">
        <f t="shared" si="43"/>
        <v>5170</v>
      </c>
    </row>
    <row r="291" spans="1:6">
      <c r="A291" s="6" t="s">
        <v>64</v>
      </c>
      <c r="B291">
        <f t="shared" ref="B291:F291" si="44">ABS(B155-B223)</f>
        <v>2090</v>
      </c>
      <c r="C291">
        <f t="shared" si="44"/>
        <v>2050</v>
      </c>
      <c r="D291">
        <f t="shared" si="44"/>
        <v>1940</v>
      </c>
      <c r="E291">
        <f t="shared" si="44"/>
        <v>1940</v>
      </c>
      <c r="F291">
        <f t="shared" si="44"/>
        <v>1850</v>
      </c>
    </row>
    <row r="292" spans="1:6">
      <c r="A292" s="6" t="s">
        <v>87</v>
      </c>
      <c r="B292">
        <f t="shared" ref="B292:F292" si="45">ABS(B156-B224)</f>
        <v>13950</v>
      </c>
      <c r="C292">
        <f t="shared" si="45"/>
        <v>13580</v>
      </c>
      <c r="D292">
        <f t="shared" si="45"/>
        <v>13250</v>
      </c>
      <c r="E292">
        <f t="shared" si="45"/>
        <v>13000</v>
      </c>
      <c r="F292">
        <f t="shared" si="45"/>
        <v>12770</v>
      </c>
    </row>
    <row r="293" spans="1:6">
      <c r="A293" s="6" t="s">
        <v>88</v>
      </c>
      <c r="B293">
        <f t="shared" ref="B293:F293" si="46">ABS(B157-B225)</f>
        <v>11150</v>
      </c>
      <c r="C293">
        <f t="shared" si="46"/>
        <v>10860</v>
      </c>
      <c r="D293">
        <f t="shared" si="46"/>
        <v>10670</v>
      </c>
      <c r="E293">
        <f t="shared" si="46"/>
        <v>10300</v>
      </c>
      <c r="F293">
        <f t="shared" si="46"/>
        <v>10040</v>
      </c>
    </row>
    <row r="294" spans="1:6">
      <c r="A294" s="6" t="s">
        <v>89</v>
      </c>
      <c r="B294">
        <f t="shared" ref="B294:F294" si="47">ABS(B158-B226)</f>
        <v>122980</v>
      </c>
      <c r="C294">
        <f t="shared" si="47"/>
        <v>122310</v>
      </c>
      <c r="D294">
        <f t="shared" si="47"/>
        <v>121190</v>
      </c>
      <c r="E294">
        <f t="shared" si="47"/>
        <v>119460</v>
      </c>
      <c r="F294">
        <f t="shared" si="47"/>
        <v>118590</v>
      </c>
    </row>
    <row r="295" spans="1:6">
      <c r="A295" s="6" t="s">
        <v>90</v>
      </c>
      <c r="B295">
        <f t="shared" ref="B295:F295" si="48">ABS(B159-B227)</f>
        <v>155180</v>
      </c>
      <c r="C295">
        <f t="shared" si="48"/>
        <v>154160</v>
      </c>
      <c r="D295">
        <f t="shared" si="48"/>
        <v>153180</v>
      </c>
      <c r="E295">
        <f t="shared" si="48"/>
        <v>152710</v>
      </c>
      <c r="F295">
        <f t="shared" si="48"/>
        <v>152440</v>
      </c>
    </row>
    <row r="296" spans="1:6">
      <c r="A296" s="6" t="s">
        <v>91</v>
      </c>
      <c r="B296">
        <f t="shared" ref="B296:F296" si="49">ABS(B160-B228)</f>
        <v>17500</v>
      </c>
      <c r="C296">
        <f t="shared" si="49"/>
        <v>17080</v>
      </c>
      <c r="D296">
        <f t="shared" si="49"/>
        <v>16750</v>
      </c>
      <c r="E296">
        <f t="shared" si="49"/>
        <v>16300</v>
      </c>
      <c r="F296">
        <f t="shared" si="49"/>
        <v>16040</v>
      </c>
    </row>
    <row r="297" spans="1:6">
      <c r="A297" s="6" t="s">
        <v>92</v>
      </c>
      <c r="B297">
        <f t="shared" ref="B297:F297" si="50">ABS(B161-B229)</f>
        <v>14360</v>
      </c>
      <c r="C297">
        <f t="shared" si="50"/>
        <v>13990</v>
      </c>
      <c r="D297">
        <f t="shared" si="50"/>
        <v>13870</v>
      </c>
      <c r="E297">
        <f t="shared" si="50"/>
        <v>13590</v>
      </c>
      <c r="F297">
        <f t="shared" si="50"/>
        <v>13300</v>
      </c>
    </row>
    <row r="298" spans="1:6">
      <c r="A298" s="6" t="s">
        <v>93</v>
      </c>
      <c r="B298">
        <f t="shared" ref="B298:F298" si="51">ABS(B162-B230)</f>
        <v>29550</v>
      </c>
      <c r="C298">
        <f t="shared" si="51"/>
        <v>29230</v>
      </c>
      <c r="D298">
        <f t="shared" si="51"/>
        <v>29130</v>
      </c>
      <c r="E298">
        <f t="shared" si="51"/>
        <v>28890</v>
      </c>
      <c r="F298">
        <f t="shared" si="51"/>
        <v>28680</v>
      </c>
    </row>
    <row r="299" spans="1:6">
      <c r="A299" s="6" t="s">
        <v>94</v>
      </c>
      <c r="B299">
        <f t="shared" ref="B299:F299" si="52">ABS(B163-B231)</f>
        <v>43930</v>
      </c>
      <c r="C299">
        <f t="shared" si="52"/>
        <v>43520</v>
      </c>
      <c r="D299">
        <f t="shared" si="52"/>
        <v>43030</v>
      </c>
      <c r="E299">
        <f t="shared" si="52"/>
        <v>42660</v>
      </c>
      <c r="F299">
        <f t="shared" si="52"/>
        <v>41820</v>
      </c>
    </row>
    <row r="300" spans="1:6">
      <c r="A300" s="6" t="s">
        <v>95</v>
      </c>
      <c r="B300">
        <f t="shared" ref="B300:F300" si="53">ABS(B164-B232)</f>
        <v>70</v>
      </c>
      <c r="C300">
        <f t="shared" si="53"/>
        <v>80</v>
      </c>
      <c r="D300">
        <f t="shared" si="53"/>
        <v>60</v>
      </c>
      <c r="E300">
        <f t="shared" si="53"/>
        <v>60</v>
      </c>
      <c r="F300">
        <f t="shared" si="53"/>
        <v>50</v>
      </c>
    </row>
    <row r="301" spans="1:6">
      <c r="A301" s="6" t="s">
        <v>96</v>
      </c>
      <c r="B301">
        <f t="shared" ref="B301:F301" si="54">ABS(B165-B233)</f>
        <v>50</v>
      </c>
      <c r="C301">
        <f t="shared" si="54"/>
        <v>50</v>
      </c>
      <c r="D301">
        <f t="shared" si="54"/>
        <v>50</v>
      </c>
      <c r="E301">
        <f t="shared" si="54"/>
        <v>50</v>
      </c>
      <c r="F301">
        <f t="shared" si="54"/>
        <v>60</v>
      </c>
    </row>
    <row r="302" spans="1:6">
      <c r="A302" s="6" t="s">
        <v>97</v>
      </c>
      <c r="B302">
        <f t="shared" ref="B302:F302" si="55">ABS(B166-B234)</f>
        <v>50</v>
      </c>
      <c r="C302">
        <f t="shared" si="55"/>
        <v>30</v>
      </c>
      <c r="D302">
        <f t="shared" si="55"/>
        <v>20</v>
      </c>
      <c r="E302">
        <f t="shared" si="55"/>
        <v>20</v>
      </c>
      <c r="F302">
        <f t="shared" si="55"/>
        <v>40</v>
      </c>
    </row>
    <row r="305" spans="1:16">
      <c r="A305" s="32" t="s">
        <v>98</v>
      </c>
      <c r="B305" s="32"/>
      <c r="C305" s="32"/>
      <c r="D305" s="32"/>
      <c r="E305" s="32"/>
      <c r="F305" s="32"/>
      <c r="G305" s="32"/>
      <c r="H305" s="32"/>
      <c r="I305" s="5"/>
      <c r="J305" s="5"/>
      <c r="K305" s="5"/>
      <c r="L305" s="5"/>
      <c r="M305" s="5"/>
      <c r="N305" s="5"/>
      <c r="O305" s="5"/>
      <c r="P305" s="5"/>
    </row>
    <row r="306" spans="1:16">
      <c r="A306" s="32" t="s">
        <v>410</v>
      </c>
      <c r="B306" s="32"/>
      <c r="C306" s="32"/>
      <c r="D306" s="32"/>
      <c r="E306" s="32"/>
      <c r="F306" s="32"/>
      <c r="G306" s="32"/>
      <c r="H306" s="32"/>
    </row>
    <row r="308" spans="1:16" s="1" customFormat="1">
      <c r="A308" s="6" t="s">
        <v>340</v>
      </c>
    </row>
    <row r="309" spans="1:16" s="1" customFormat="1">
      <c r="A309" s="6" t="s">
        <v>0</v>
      </c>
      <c r="B309" s="1">
        <v>2010</v>
      </c>
      <c r="C309" s="1">
        <v>2011</v>
      </c>
      <c r="D309" s="1">
        <v>2012</v>
      </c>
      <c r="E309" s="1">
        <v>2013</v>
      </c>
      <c r="F309" s="1">
        <v>2014</v>
      </c>
      <c r="G309" s="1">
        <v>2015</v>
      </c>
    </row>
    <row r="310" spans="1:16">
      <c r="A310" s="6" t="s">
        <v>344</v>
      </c>
      <c r="B310" s="4">
        <v>14236880</v>
      </c>
      <c r="C310">
        <v>14416150</v>
      </c>
      <c r="D310">
        <v>14573530</v>
      </c>
      <c r="E310">
        <v>14749470</v>
      </c>
      <c r="F310">
        <v>14922630</v>
      </c>
    </row>
    <row r="311" spans="1:16">
      <c r="A311" s="6" t="s">
        <v>345</v>
      </c>
      <c r="B311" s="4">
        <v>12747920</v>
      </c>
      <c r="C311">
        <v>12849240</v>
      </c>
      <c r="D311">
        <v>12948940</v>
      </c>
      <c r="E311">
        <v>13053370</v>
      </c>
      <c r="F311">
        <v>13163280</v>
      </c>
    </row>
    <row r="312" spans="1:16">
      <c r="A312" s="6">
        <v>24</v>
      </c>
      <c r="B312" s="4">
        <v>2026310</v>
      </c>
      <c r="C312">
        <v>2061230</v>
      </c>
      <c r="D312">
        <v>2085710</v>
      </c>
      <c r="E312">
        <v>2103860</v>
      </c>
      <c r="F312">
        <v>2112200</v>
      </c>
    </row>
    <row r="313" spans="1:16">
      <c r="A313" s="6">
        <v>75</v>
      </c>
      <c r="B313" s="4">
        <v>2173790</v>
      </c>
      <c r="C313">
        <v>2222820</v>
      </c>
      <c r="D313">
        <v>2268780</v>
      </c>
      <c r="E313">
        <v>2324870</v>
      </c>
      <c r="F313">
        <v>2381640</v>
      </c>
    </row>
    <row r="315" spans="1:16">
      <c r="A315" s="6" t="s">
        <v>341</v>
      </c>
    </row>
    <row r="316" spans="1:16" s="1" customFormat="1">
      <c r="A316" s="6" t="s">
        <v>0</v>
      </c>
      <c r="B316" s="1">
        <v>2010</v>
      </c>
      <c r="C316" s="1">
        <v>2011</v>
      </c>
      <c r="D316" s="1">
        <v>2012</v>
      </c>
      <c r="E316" s="1">
        <v>2013</v>
      </c>
      <c r="F316" s="1">
        <v>2014</v>
      </c>
      <c r="G316" s="1">
        <v>2015</v>
      </c>
    </row>
    <row r="317" spans="1:16">
      <c r="A317" s="6" t="s">
        <v>344</v>
      </c>
      <c r="B317">
        <v>7334820</v>
      </c>
      <c r="C317">
        <v>7431240</v>
      </c>
      <c r="D317">
        <v>7511130</v>
      </c>
      <c r="E317">
        <v>7605360</v>
      </c>
      <c r="F317">
        <v>7697830</v>
      </c>
    </row>
    <row r="318" spans="1:16">
      <c r="A318" s="6" t="s">
        <v>345</v>
      </c>
      <c r="B318">
        <v>6375140</v>
      </c>
      <c r="C318">
        <v>6424930</v>
      </c>
      <c r="D318">
        <v>6475020</v>
      </c>
      <c r="E318">
        <v>6527180</v>
      </c>
      <c r="F318">
        <v>6581720</v>
      </c>
    </row>
    <row r="319" spans="1:16">
      <c r="A319" s="6">
        <v>24</v>
      </c>
      <c r="B319">
        <v>1004410</v>
      </c>
      <c r="C319">
        <v>1023990</v>
      </c>
      <c r="D319">
        <v>1037950</v>
      </c>
      <c r="E319">
        <v>1049690</v>
      </c>
      <c r="F319">
        <v>1056450</v>
      </c>
    </row>
    <row r="320" spans="1:16">
      <c r="A320" s="6">
        <v>75</v>
      </c>
      <c r="B320">
        <v>878690</v>
      </c>
      <c r="C320">
        <v>905200</v>
      </c>
      <c r="D320">
        <v>930090</v>
      </c>
      <c r="E320">
        <v>960300</v>
      </c>
      <c r="F320">
        <v>990410</v>
      </c>
    </row>
    <row r="322" spans="1:8">
      <c r="A322" s="9" t="s">
        <v>342</v>
      </c>
      <c r="B322" s="3"/>
      <c r="C322" s="3"/>
      <c r="D322" s="3"/>
      <c r="E322" s="3"/>
      <c r="F322" s="3"/>
      <c r="G322" s="3"/>
      <c r="H322" s="3"/>
    </row>
    <row r="323" spans="1:8">
      <c r="A323" s="7" t="s">
        <v>0</v>
      </c>
      <c r="B323" s="2">
        <v>2010</v>
      </c>
      <c r="C323" s="2">
        <v>2011</v>
      </c>
      <c r="D323" s="2">
        <v>2012</v>
      </c>
      <c r="E323" s="2">
        <v>2013</v>
      </c>
      <c r="F323" s="2">
        <v>2014</v>
      </c>
      <c r="G323" s="2">
        <v>2015</v>
      </c>
      <c r="H323" s="2"/>
    </row>
    <row r="324" spans="1:8">
      <c r="A324" s="9" t="s">
        <v>344</v>
      </c>
      <c r="B324" s="3">
        <v>6902060</v>
      </c>
      <c r="C324" s="3">
        <v>6984920</v>
      </c>
      <c r="D324" s="3">
        <v>7062400</v>
      </c>
      <c r="E324" s="3">
        <v>7144110</v>
      </c>
      <c r="F324" s="3">
        <v>7224810</v>
      </c>
      <c r="G324" s="3"/>
      <c r="H324" s="3"/>
    </row>
    <row r="325" spans="1:8">
      <c r="A325" s="9" t="s">
        <v>345</v>
      </c>
      <c r="B325" s="3">
        <v>6372780</v>
      </c>
      <c r="C325" s="3">
        <v>6424310</v>
      </c>
      <c r="D325" s="3">
        <v>6473920</v>
      </c>
      <c r="E325" s="3">
        <v>6526190</v>
      </c>
      <c r="F325" s="3">
        <v>6581560</v>
      </c>
      <c r="G325" s="3"/>
      <c r="H325" s="3"/>
    </row>
    <row r="326" spans="1:8">
      <c r="A326" s="9">
        <v>24</v>
      </c>
      <c r="B326" s="3">
        <v>1021910</v>
      </c>
      <c r="C326" s="3">
        <v>1037240</v>
      </c>
      <c r="D326" s="3">
        <v>1047760</v>
      </c>
      <c r="E326" s="3">
        <v>1054170</v>
      </c>
      <c r="F326" s="3">
        <v>1055750</v>
      </c>
      <c r="G326" s="3"/>
      <c r="H326" s="3"/>
    </row>
    <row r="327" spans="1:8">
      <c r="A327" s="9">
        <v>75</v>
      </c>
      <c r="B327" s="3">
        <v>1295100</v>
      </c>
      <c r="C327" s="3">
        <v>1317620</v>
      </c>
      <c r="D327" s="3">
        <v>1338690</v>
      </c>
      <c r="E327" s="3">
        <v>1364570</v>
      </c>
      <c r="F327" s="3">
        <v>1391240</v>
      </c>
      <c r="G327" s="3"/>
      <c r="H327" s="3"/>
    </row>
    <row r="329" spans="1:8">
      <c r="A329" s="9" t="s">
        <v>343</v>
      </c>
      <c r="B329" s="3"/>
      <c r="C329" s="3"/>
      <c r="D329" s="3"/>
      <c r="E329" s="3"/>
      <c r="F329" s="3"/>
      <c r="G329" s="3"/>
      <c r="H329" s="3"/>
    </row>
    <row r="330" spans="1:8">
      <c r="A330" s="7" t="s">
        <v>0</v>
      </c>
      <c r="B330" s="2">
        <v>2010</v>
      </c>
      <c r="C330" s="2">
        <v>2011</v>
      </c>
      <c r="D330" s="2">
        <v>2012</v>
      </c>
      <c r="E330" s="2">
        <v>2013</v>
      </c>
      <c r="F330" s="2">
        <v>2014</v>
      </c>
      <c r="G330" s="2">
        <v>2015</v>
      </c>
      <c r="H330" s="2"/>
    </row>
    <row r="331" spans="1:8">
      <c r="A331" s="9" t="s">
        <v>344</v>
      </c>
      <c r="B331" s="3">
        <v>432760</v>
      </c>
      <c r="C331" s="3">
        <v>446320</v>
      </c>
      <c r="D331" s="3">
        <v>448730</v>
      </c>
      <c r="E331" s="3">
        <v>461250</v>
      </c>
      <c r="F331" s="3">
        <v>473020</v>
      </c>
      <c r="G331" s="3"/>
      <c r="H331" s="3"/>
    </row>
    <row r="332" spans="1:8">
      <c r="A332" s="9" t="s">
        <v>345</v>
      </c>
      <c r="B332" s="3">
        <v>2360</v>
      </c>
      <c r="C332" s="3">
        <v>620</v>
      </c>
      <c r="D332" s="3">
        <v>1100</v>
      </c>
      <c r="E332" s="3">
        <v>990</v>
      </c>
      <c r="F332" s="3">
        <v>160</v>
      </c>
      <c r="G332" s="3"/>
      <c r="H332" s="3"/>
    </row>
    <row r="333" spans="1:8">
      <c r="A333" s="9">
        <v>24</v>
      </c>
      <c r="B333" s="3">
        <v>17500</v>
      </c>
      <c r="C333" s="3">
        <v>13250</v>
      </c>
      <c r="D333" s="3">
        <v>9810</v>
      </c>
      <c r="E333" s="3">
        <v>4480</v>
      </c>
      <c r="F333" s="3">
        <v>700</v>
      </c>
      <c r="G333" s="3"/>
      <c r="H333" s="3"/>
    </row>
    <row r="334" spans="1:8">
      <c r="A334" s="9">
        <v>75</v>
      </c>
      <c r="B334" s="3">
        <v>416410</v>
      </c>
      <c r="C334" s="3">
        <v>412420</v>
      </c>
      <c r="D334" s="3">
        <v>408600</v>
      </c>
      <c r="E334" s="3">
        <v>404270</v>
      </c>
      <c r="F334" s="3">
        <v>400830</v>
      </c>
      <c r="G334" s="3"/>
      <c r="H334" s="3"/>
    </row>
    <row r="336" spans="1:8">
      <c r="A336" s="9" t="s">
        <v>346</v>
      </c>
      <c r="B336" s="3"/>
      <c r="C336" s="3"/>
      <c r="D336" s="3"/>
      <c r="E336" s="3"/>
      <c r="F336" s="3"/>
      <c r="G336" s="3"/>
      <c r="H336" s="3"/>
    </row>
    <row r="337" spans="1:8">
      <c r="A337" s="7" t="s">
        <v>0</v>
      </c>
      <c r="B337" s="2">
        <v>2010</v>
      </c>
      <c r="C337" s="2">
        <v>2011</v>
      </c>
      <c r="D337" s="2">
        <v>2012</v>
      </c>
      <c r="E337" s="2">
        <v>2013</v>
      </c>
      <c r="F337" s="2">
        <v>2014</v>
      </c>
      <c r="G337" s="2">
        <v>2015</v>
      </c>
      <c r="H337" s="2"/>
    </row>
    <row r="338" spans="1:8">
      <c r="A338" s="9" t="s">
        <v>344</v>
      </c>
      <c r="B338" s="3">
        <v>205830</v>
      </c>
      <c r="C338" s="3">
        <v>206740</v>
      </c>
      <c r="D338" s="3">
        <v>207080</v>
      </c>
      <c r="E338" s="3">
        <v>207310</v>
      </c>
      <c r="F338" s="3">
        <v>208650</v>
      </c>
      <c r="G338" s="3"/>
      <c r="H338" s="3"/>
    </row>
    <row r="339" spans="1:8">
      <c r="A339" s="9" t="s">
        <v>345</v>
      </c>
      <c r="B339" s="3">
        <v>225350</v>
      </c>
      <c r="C339" s="3">
        <v>225910</v>
      </c>
      <c r="D339" s="3">
        <v>225760</v>
      </c>
      <c r="E339" s="3">
        <v>225990</v>
      </c>
      <c r="F339" s="3">
        <v>226490</v>
      </c>
      <c r="G339" s="3"/>
      <c r="H339" s="3"/>
    </row>
    <row r="340" spans="1:8">
      <c r="A340" s="9">
        <v>24</v>
      </c>
      <c r="B340" s="3">
        <v>29470</v>
      </c>
      <c r="C340" s="3">
        <v>29450</v>
      </c>
      <c r="D340" s="3">
        <v>29120</v>
      </c>
      <c r="E340" s="3">
        <v>28650</v>
      </c>
      <c r="F340" s="3">
        <v>28240</v>
      </c>
      <c r="G340" s="3"/>
      <c r="H340" s="3"/>
    </row>
    <row r="341" spans="1:8">
      <c r="A341" s="9">
        <v>75</v>
      </c>
      <c r="B341" s="3">
        <v>32270</v>
      </c>
      <c r="C341" s="3">
        <v>33090</v>
      </c>
      <c r="D341" s="3">
        <v>33770</v>
      </c>
      <c r="E341" s="3">
        <v>34570</v>
      </c>
      <c r="F341" s="3">
        <v>35500</v>
      </c>
      <c r="G341" s="3"/>
      <c r="H341" s="3"/>
    </row>
    <row r="343" spans="1:8">
      <c r="A343" s="8" t="s">
        <v>347</v>
      </c>
    </row>
    <row r="344" spans="1:8">
      <c r="A344" s="6" t="s">
        <v>0</v>
      </c>
      <c r="B344" s="1">
        <v>2010</v>
      </c>
      <c r="C344" s="1">
        <v>2011</v>
      </c>
      <c r="D344" s="1">
        <v>2012</v>
      </c>
      <c r="E344" s="1">
        <v>2013</v>
      </c>
      <c r="F344" s="1">
        <v>2014</v>
      </c>
      <c r="G344" s="1">
        <v>2015</v>
      </c>
      <c r="H344" s="1"/>
    </row>
    <row r="345" spans="1:8">
      <c r="A345" s="8" t="s">
        <v>344</v>
      </c>
      <c r="B345">
        <v>107340</v>
      </c>
      <c r="C345">
        <v>107900</v>
      </c>
      <c r="D345">
        <v>108120</v>
      </c>
      <c r="E345">
        <v>108220</v>
      </c>
      <c r="F345">
        <v>109050</v>
      </c>
    </row>
    <row r="346" spans="1:8">
      <c r="A346" s="8" t="s">
        <v>345</v>
      </c>
      <c r="B346">
        <v>112610</v>
      </c>
      <c r="C346">
        <v>112870</v>
      </c>
      <c r="D346">
        <v>112810</v>
      </c>
      <c r="E346">
        <v>112930</v>
      </c>
      <c r="F346">
        <v>113170</v>
      </c>
    </row>
    <row r="347" spans="1:8">
      <c r="A347" s="8">
        <v>24</v>
      </c>
      <c r="B347">
        <v>14520</v>
      </c>
      <c r="C347">
        <v>14570</v>
      </c>
      <c r="D347">
        <v>14510</v>
      </c>
      <c r="E347">
        <v>14240</v>
      </c>
      <c r="F347">
        <v>14120</v>
      </c>
    </row>
    <row r="348" spans="1:8">
      <c r="A348" s="8">
        <v>75</v>
      </c>
      <c r="B348">
        <v>13350</v>
      </c>
      <c r="C348">
        <v>13800</v>
      </c>
      <c r="D348">
        <v>14160</v>
      </c>
      <c r="E348">
        <v>14630</v>
      </c>
      <c r="F348">
        <v>15170</v>
      </c>
    </row>
    <row r="350" spans="1:8">
      <c r="A350" s="9" t="s">
        <v>348</v>
      </c>
      <c r="B350" s="3"/>
      <c r="C350" s="3"/>
      <c r="D350" s="3"/>
      <c r="E350" s="3"/>
      <c r="F350" s="3"/>
      <c r="G350" s="3"/>
      <c r="H350" s="3"/>
    </row>
    <row r="351" spans="1:8">
      <c r="A351" s="7" t="s">
        <v>0</v>
      </c>
      <c r="B351" s="2">
        <v>2010</v>
      </c>
      <c r="C351" s="2">
        <v>2011</v>
      </c>
      <c r="D351" s="2">
        <v>2012</v>
      </c>
      <c r="E351" s="2">
        <v>2013</v>
      </c>
      <c r="F351" s="2">
        <v>2014</v>
      </c>
      <c r="G351" s="2">
        <v>2015</v>
      </c>
      <c r="H351" s="2"/>
    </row>
    <row r="352" spans="1:8">
      <c r="A352" s="9" t="s">
        <v>344</v>
      </c>
      <c r="B352" s="3">
        <v>98490</v>
      </c>
      <c r="C352" s="3">
        <v>98840</v>
      </c>
      <c r="D352" s="3">
        <v>98960</v>
      </c>
      <c r="E352" s="3">
        <v>99090</v>
      </c>
      <c r="F352" s="3">
        <v>99610</v>
      </c>
      <c r="G352" s="3"/>
      <c r="H352" s="3"/>
    </row>
    <row r="353" spans="1:8">
      <c r="A353" s="9" t="s">
        <v>345</v>
      </c>
      <c r="B353" s="3">
        <v>112740</v>
      </c>
      <c r="C353" s="3">
        <v>113040</v>
      </c>
      <c r="D353" s="3">
        <v>112950</v>
      </c>
      <c r="E353" s="3">
        <v>113060</v>
      </c>
      <c r="F353" s="3">
        <v>113330</v>
      </c>
      <c r="G353" s="3"/>
      <c r="H353" s="3"/>
    </row>
    <row r="354" spans="1:8">
      <c r="A354" s="9">
        <v>24</v>
      </c>
      <c r="B354" s="3">
        <v>14950</v>
      </c>
      <c r="C354" s="3">
        <v>14880</v>
      </c>
      <c r="D354" s="3">
        <v>14620</v>
      </c>
      <c r="E354" s="3">
        <v>14400</v>
      </c>
      <c r="F354" s="3">
        <v>14130</v>
      </c>
      <c r="G354" s="3"/>
      <c r="H354" s="3"/>
    </row>
    <row r="355" spans="1:8">
      <c r="A355" s="9">
        <v>75</v>
      </c>
      <c r="B355" s="3">
        <v>18920</v>
      </c>
      <c r="C355" s="3">
        <v>19290</v>
      </c>
      <c r="D355" s="3">
        <v>19610</v>
      </c>
      <c r="E355" s="3">
        <v>19950</v>
      </c>
      <c r="F355" s="3">
        <v>20340</v>
      </c>
      <c r="G355" s="3"/>
      <c r="H355" s="3"/>
    </row>
    <row r="357" spans="1:8">
      <c r="A357" s="9" t="s">
        <v>349</v>
      </c>
      <c r="B357" s="3"/>
      <c r="C357" s="3"/>
      <c r="D357" s="3"/>
      <c r="E357" s="3"/>
      <c r="F357" s="3"/>
      <c r="G357" s="3"/>
      <c r="H357" s="3"/>
    </row>
    <row r="358" spans="1:8">
      <c r="A358" s="7" t="s">
        <v>0</v>
      </c>
      <c r="B358" s="2">
        <v>2010</v>
      </c>
      <c r="C358" s="2">
        <v>2011</v>
      </c>
      <c r="D358" s="2">
        <v>2012</v>
      </c>
      <c r="E358" s="2">
        <v>2013</v>
      </c>
      <c r="F358" s="2">
        <v>2014</v>
      </c>
      <c r="G358" s="2">
        <v>2015</v>
      </c>
      <c r="H358" s="2"/>
    </row>
    <row r="359" spans="1:8">
      <c r="A359" s="9" t="s">
        <v>344</v>
      </c>
      <c r="B359" s="3">
        <v>8850</v>
      </c>
      <c r="C359" s="3">
        <v>9060</v>
      </c>
      <c r="D359" s="3">
        <v>9160</v>
      </c>
      <c r="E359" s="3">
        <v>9130</v>
      </c>
      <c r="F359" s="3">
        <v>9440</v>
      </c>
      <c r="G359" s="3"/>
      <c r="H359" s="3"/>
    </row>
    <row r="360" spans="1:8">
      <c r="A360" s="9" t="s">
        <v>345</v>
      </c>
      <c r="B360" s="3">
        <v>130</v>
      </c>
      <c r="C360" s="3">
        <v>170</v>
      </c>
      <c r="D360" s="3">
        <v>140</v>
      </c>
      <c r="E360" s="3">
        <v>130</v>
      </c>
      <c r="F360" s="3">
        <v>160</v>
      </c>
      <c r="G360" s="3"/>
      <c r="H360" s="3"/>
    </row>
    <row r="361" spans="1:8">
      <c r="A361" s="9">
        <v>24</v>
      </c>
      <c r="B361" s="3">
        <v>430</v>
      </c>
      <c r="C361" s="3">
        <v>310</v>
      </c>
      <c r="D361" s="3">
        <v>110</v>
      </c>
      <c r="E361" s="3">
        <v>160</v>
      </c>
      <c r="F361" s="3">
        <v>10</v>
      </c>
      <c r="G361" s="3"/>
      <c r="H361" s="3"/>
    </row>
    <row r="362" spans="1:8">
      <c r="A362" s="9">
        <v>75</v>
      </c>
      <c r="B362" s="3">
        <v>5570</v>
      </c>
      <c r="C362" s="3">
        <v>5490</v>
      </c>
      <c r="D362" s="3">
        <v>5450</v>
      </c>
      <c r="E362" s="3">
        <v>5320</v>
      </c>
      <c r="F362" s="3">
        <v>5170</v>
      </c>
      <c r="G362" s="3"/>
      <c r="H362" s="3"/>
    </row>
    <row r="364" spans="1:8">
      <c r="A364" s="9" t="s">
        <v>351</v>
      </c>
      <c r="B364" s="3"/>
      <c r="C364" s="3"/>
      <c r="D364" s="3"/>
      <c r="E364" s="3"/>
      <c r="F364" s="3"/>
      <c r="G364" s="3"/>
      <c r="H364" s="3"/>
    </row>
    <row r="365" spans="1:8">
      <c r="A365" s="7" t="s">
        <v>0</v>
      </c>
      <c r="B365" s="2">
        <v>2010</v>
      </c>
      <c r="C365" s="2">
        <v>2011</v>
      </c>
      <c r="D365" s="2">
        <v>2012</v>
      </c>
      <c r="E365" s="2">
        <v>2013</v>
      </c>
      <c r="F365" s="2">
        <v>2014</v>
      </c>
      <c r="G365" s="2">
        <v>2015</v>
      </c>
      <c r="H365" s="2"/>
    </row>
    <row r="366" spans="1:8">
      <c r="A366" s="9" t="s">
        <v>344</v>
      </c>
      <c r="B366" s="3">
        <v>58930</v>
      </c>
      <c r="C366" s="3">
        <v>59070</v>
      </c>
      <c r="D366" s="3">
        <v>58630</v>
      </c>
      <c r="E366" s="3">
        <v>58480</v>
      </c>
      <c r="F366" s="3">
        <v>58720</v>
      </c>
      <c r="G366" s="3"/>
      <c r="H366" s="3"/>
    </row>
    <row r="367" spans="1:8">
      <c r="A367" s="9" t="s">
        <v>345</v>
      </c>
      <c r="B367" s="3">
        <v>58960</v>
      </c>
      <c r="C367" s="3">
        <v>59170</v>
      </c>
      <c r="D367" s="3">
        <v>59190</v>
      </c>
      <c r="E367" s="3">
        <v>59020</v>
      </c>
      <c r="F367" s="3">
        <v>59240</v>
      </c>
      <c r="G367" s="3"/>
      <c r="H367" s="3"/>
    </row>
    <row r="368" spans="1:8">
      <c r="A368" s="9">
        <v>24</v>
      </c>
      <c r="B368" s="3">
        <v>8810</v>
      </c>
      <c r="C368" s="3">
        <v>8890</v>
      </c>
      <c r="D368" s="3">
        <v>8840</v>
      </c>
      <c r="E368" s="3">
        <v>8650</v>
      </c>
      <c r="F368" s="3">
        <v>8520</v>
      </c>
      <c r="G368" s="3"/>
      <c r="H368" s="3"/>
    </row>
    <row r="369" spans="1:8">
      <c r="A369" s="9">
        <v>75</v>
      </c>
      <c r="B369" s="3">
        <v>9830</v>
      </c>
      <c r="C369" s="3">
        <v>10020</v>
      </c>
      <c r="D369" s="3">
        <v>10180</v>
      </c>
      <c r="E369" s="3">
        <v>10340</v>
      </c>
      <c r="F369" s="3">
        <v>10520</v>
      </c>
      <c r="G369" s="3"/>
      <c r="H369" s="3"/>
    </row>
    <row r="371" spans="1:8">
      <c r="A371" s="9" t="s">
        <v>350</v>
      </c>
      <c r="B371" s="3"/>
      <c r="C371" s="3"/>
      <c r="D371" s="3"/>
      <c r="E371" s="3"/>
      <c r="F371" s="3"/>
      <c r="G371" s="3"/>
      <c r="H371" s="3"/>
    </row>
    <row r="372" spans="1:8">
      <c r="A372" s="7" t="s">
        <v>0</v>
      </c>
      <c r="B372" s="2">
        <v>2010</v>
      </c>
      <c r="C372" s="2">
        <v>2011</v>
      </c>
      <c r="D372" s="2">
        <v>2012</v>
      </c>
      <c r="E372" s="2">
        <v>2013</v>
      </c>
      <c r="F372" s="2">
        <v>2014</v>
      </c>
      <c r="G372" s="2">
        <v>2015</v>
      </c>
      <c r="H372" s="2"/>
    </row>
    <row r="373" spans="1:8">
      <c r="A373" s="9" t="s">
        <v>344</v>
      </c>
      <c r="B373" s="3">
        <v>30150</v>
      </c>
      <c r="C373" s="3">
        <v>98840</v>
      </c>
      <c r="D373" s="3">
        <v>98960</v>
      </c>
      <c r="E373" s="3">
        <v>99090</v>
      </c>
      <c r="F373" s="3">
        <v>99610</v>
      </c>
      <c r="G373" s="3"/>
      <c r="H373" s="3"/>
    </row>
    <row r="374" spans="1:8">
      <c r="A374" s="9" t="s">
        <v>345</v>
      </c>
      <c r="B374" s="3">
        <v>29470</v>
      </c>
      <c r="C374" s="3">
        <v>113040</v>
      </c>
      <c r="D374" s="3">
        <v>112950</v>
      </c>
      <c r="E374" s="3">
        <v>113060</v>
      </c>
      <c r="F374" s="3">
        <v>113330</v>
      </c>
      <c r="G374" s="3"/>
      <c r="H374" s="3"/>
    </row>
    <row r="375" spans="1:8">
      <c r="A375" s="9">
        <v>24</v>
      </c>
      <c r="B375" s="3">
        <v>4340</v>
      </c>
      <c r="C375" s="3">
        <v>14880</v>
      </c>
      <c r="D375" s="3">
        <v>14620</v>
      </c>
      <c r="E375" s="3">
        <v>14400</v>
      </c>
      <c r="F375" s="3">
        <v>14130</v>
      </c>
      <c r="G375" s="3"/>
      <c r="H375" s="3"/>
    </row>
    <row r="376" spans="1:8">
      <c r="A376" s="9">
        <v>75</v>
      </c>
      <c r="B376" s="3">
        <v>3870</v>
      </c>
      <c r="C376" s="3">
        <v>19290</v>
      </c>
      <c r="D376" s="3">
        <v>19610</v>
      </c>
      <c r="E376" s="3">
        <v>19950</v>
      </c>
      <c r="F376" s="3">
        <v>20340</v>
      </c>
      <c r="G376" s="3"/>
      <c r="H376" s="3"/>
    </row>
    <row r="378" spans="1:8">
      <c r="A378" s="9" t="s">
        <v>352</v>
      </c>
      <c r="B378" s="3"/>
      <c r="C378" s="3"/>
      <c r="D378" s="3"/>
      <c r="E378" s="3"/>
      <c r="F378" s="3"/>
      <c r="G378" s="3"/>
      <c r="H378" s="3"/>
    </row>
    <row r="379" spans="1:8">
      <c r="A379" s="7" t="s">
        <v>0</v>
      </c>
      <c r="B379" s="2">
        <v>2010</v>
      </c>
      <c r="C379" s="2">
        <v>2011</v>
      </c>
      <c r="D379" s="2">
        <v>2012</v>
      </c>
      <c r="E379" s="2">
        <v>2013</v>
      </c>
      <c r="F379" s="2">
        <v>2014</v>
      </c>
      <c r="G379" s="2">
        <v>2015</v>
      </c>
      <c r="H379" s="2"/>
    </row>
    <row r="380" spans="1:8">
      <c r="A380" s="9" t="s">
        <v>344</v>
      </c>
      <c r="B380" s="3">
        <v>28780</v>
      </c>
      <c r="C380" s="3">
        <v>28880</v>
      </c>
      <c r="D380" s="3">
        <v>28690</v>
      </c>
      <c r="E380" s="3">
        <v>28660</v>
      </c>
      <c r="F380" s="3">
        <v>28860</v>
      </c>
      <c r="G380" s="3"/>
      <c r="H380" s="3"/>
    </row>
    <row r="381" spans="1:8">
      <c r="A381" s="9" t="s">
        <v>345</v>
      </c>
      <c r="B381" s="3">
        <v>29480</v>
      </c>
      <c r="C381" s="3">
        <v>29610</v>
      </c>
      <c r="D381" s="3">
        <v>29620</v>
      </c>
      <c r="E381" s="3">
        <v>29540</v>
      </c>
      <c r="F381" s="3">
        <v>29640</v>
      </c>
      <c r="G381" s="3"/>
      <c r="H381" s="3"/>
    </row>
    <row r="382" spans="1:8">
      <c r="A382" s="9">
        <v>24</v>
      </c>
      <c r="B382" s="3">
        <v>4470</v>
      </c>
      <c r="C382" s="3">
        <v>4560</v>
      </c>
      <c r="D382" s="3">
        <v>4450</v>
      </c>
      <c r="E382" s="3">
        <v>4350</v>
      </c>
      <c r="F382" s="3">
        <v>4330</v>
      </c>
      <c r="G382" s="3"/>
      <c r="H382" s="3"/>
    </row>
    <row r="383" spans="1:8">
      <c r="A383" s="9">
        <v>75</v>
      </c>
      <c r="B383" s="3">
        <v>5960</v>
      </c>
      <c r="C383" s="3">
        <v>6040</v>
      </c>
      <c r="D383" s="3">
        <v>6060</v>
      </c>
      <c r="E383" s="3">
        <v>6140</v>
      </c>
      <c r="F383" s="3">
        <v>6190</v>
      </c>
      <c r="G383" s="3"/>
      <c r="H383" s="3"/>
    </row>
    <row r="385" spans="1:8">
      <c r="A385" s="9" t="s">
        <v>353</v>
      </c>
      <c r="B385" s="3"/>
      <c r="C385" s="3"/>
      <c r="D385" s="3"/>
      <c r="E385" s="3"/>
      <c r="F385" s="3"/>
      <c r="G385" s="3"/>
      <c r="H385" s="3"/>
    </row>
    <row r="386" spans="1:8">
      <c r="A386" s="7" t="s">
        <v>0</v>
      </c>
      <c r="B386" s="2">
        <v>2010</v>
      </c>
      <c r="C386" s="2">
        <v>2011</v>
      </c>
      <c r="D386" s="2">
        <v>2012</v>
      </c>
      <c r="E386" s="2">
        <v>2013</v>
      </c>
      <c r="F386" s="2">
        <v>2014</v>
      </c>
      <c r="G386" s="2">
        <v>2015</v>
      </c>
      <c r="H386" s="2"/>
    </row>
    <row r="387" spans="1:8">
      <c r="A387" s="9" t="s">
        <v>344</v>
      </c>
      <c r="B387" s="3">
        <v>1370</v>
      </c>
      <c r="C387" s="3">
        <v>1310</v>
      </c>
      <c r="D387" s="3">
        <v>1250</v>
      </c>
      <c r="E387" s="3">
        <v>1160</v>
      </c>
      <c r="F387" s="3">
        <v>1000</v>
      </c>
      <c r="G387" s="3"/>
      <c r="H387" s="3"/>
    </row>
    <row r="388" spans="1:8">
      <c r="A388" s="9" t="s">
        <v>345</v>
      </c>
      <c r="B388" s="3">
        <v>10</v>
      </c>
      <c r="C388" s="3">
        <v>40</v>
      </c>
      <c r="D388" s="3">
        <v>50</v>
      </c>
      <c r="E388" s="3">
        <v>60</v>
      </c>
      <c r="F388" s="3">
        <v>40</v>
      </c>
      <c r="G388" s="3"/>
      <c r="H388" s="3"/>
    </row>
    <row r="389" spans="1:8">
      <c r="A389" s="9">
        <v>24</v>
      </c>
      <c r="B389" s="3">
        <v>130</v>
      </c>
      <c r="C389" s="3">
        <v>220</v>
      </c>
      <c r="D389" s="3">
        <v>60</v>
      </c>
      <c r="E389" s="3">
        <v>50</v>
      </c>
      <c r="F389" s="3">
        <v>140</v>
      </c>
      <c r="G389" s="3"/>
      <c r="H389" s="3"/>
    </row>
    <row r="390" spans="1:8">
      <c r="A390" s="9">
        <v>75</v>
      </c>
      <c r="B390" s="3">
        <v>2090</v>
      </c>
      <c r="C390" s="3">
        <v>2050</v>
      </c>
      <c r="D390" s="3">
        <v>1940</v>
      </c>
      <c r="E390" s="3">
        <v>1940</v>
      </c>
      <c r="F390" s="3">
        <v>1850</v>
      </c>
      <c r="G390" s="3"/>
      <c r="H390" s="3"/>
    </row>
    <row r="392" spans="1:8">
      <c r="A392" s="9" t="s">
        <v>354</v>
      </c>
      <c r="B392" s="3"/>
      <c r="C392" s="3"/>
      <c r="D392" s="3"/>
      <c r="E392" s="3"/>
      <c r="F392" s="3"/>
      <c r="G392" s="3"/>
      <c r="H392" s="3"/>
    </row>
    <row r="393" spans="1:8">
      <c r="A393" s="7" t="s">
        <v>0</v>
      </c>
      <c r="B393" s="2">
        <v>2010</v>
      </c>
      <c r="C393" s="2">
        <v>2011</v>
      </c>
      <c r="D393" s="2">
        <v>2012</v>
      </c>
      <c r="E393" s="2">
        <v>2013</v>
      </c>
      <c r="F393" s="2">
        <v>2014</v>
      </c>
      <c r="G393" s="2">
        <v>2015</v>
      </c>
      <c r="H393" s="2"/>
    </row>
    <row r="394" spans="1:8">
      <c r="A394" s="9" t="s">
        <v>344</v>
      </c>
      <c r="B394" s="3">
        <v>382650</v>
      </c>
      <c r="C394" s="3">
        <v>383330</v>
      </c>
      <c r="D394" s="3">
        <v>381040</v>
      </c>
      <c r="E394" s="3">
        <v>381010</v>
      </c>
      <c r="F394" s="3">
        <v>381540</v>
      </c>
      <c r="G394" s="3"/>
      <c r="H394" s="3"/>
    </row>
    <row r="395" spans="1:8">
      <c r="A395" s="9" t="s">
        <v>345</v>
      </c>
      <c r="B395" s="3">
        <v>365010</v>
      </c>
      <c r="C395" s="3">
        <v>364550</v>
      </c>
      <c r="D395" s="3">
        <v>362910</v>
      </c>
      <c r="E395" s="3">
        <v>361150</v>
      </c>
      <c r="F395" s="3">
        <v>360140</v>
      </c>
      <c r="G395" s="3"/>
      <c r="H395" s="3"/>
    </row>
    <row r="396" spans="1:8">
      <c r="A396" s="9">
        <v>24</v>
      </c>
      <c r="B396" s="3">
        <v>54960</v>
      </c>
      <c r="C396" s="3">
        <v>55560</v>
      </c>
      <c r="D396" s="3">
        <v>54910</v>
      </c>
      <c r="E396" s="3">
        <v>54470</v>
      </c>
      <c r="F396" s="3">
        <v>53570</v>
      </c>
      <c r="G396" s="3"/>
      <c r="H396" s="3"/>
    </row>
    <row r="397" spans="1:8">
      <c r="A397" s="9">
        <v>75</v>
      </c>
      <c r="B397" s="3">
        <v>65810</v>
      </c>
      <c r="C397" s="3">
        <v>66900</v>
      </c>
      <c r="D397" s="3">
        <v>67970</v>
      </c>
      <c r="E397" s="3">
        <v>69400</v>
      </c>
      <c r="F397" s="3">
        <v>70770</v>
      </c>
      <c r="G397" s="3"/>
      <c r="H397" s="3"/>
    </row>
    <row r="399" spans="1:8">
      <c r="A399" s="9" t="s">
        <v>355</v>
      </c>
      <c r="B399" s="3"/>
      <c r="C399" s="3"/>
      <c r="D399" s="3"/>
      <c r="E399" s="3"/>
      <c r="F399" s="3"/>
      <c r="G399" s="3"/>
      <c r="H399" s="3"/>
    </row>
    <row r="400" spans="1:8">
      <c r="A400" s="7" t="s">
        <v>0</v>
      </c>
      <c r="B400" s="2">
        <v>2010</v>
      </c>
      <c r="C400" s="2">
        <v>2011</v>
      </c>
      <c r="D400" s="2">
        <v>2012</v>
      </c>
      <c r="E400" s="2">
        <v>2013</v>
      </c>
      <c r="F400" s="2">
        <v>2014</v>
      </c>
      <c r="G400" s="2">
        <v>2015</v>
      </c>
      <c r="H400" s="2"/>
    </row>
    <row r="401" spans="1:8">
      <c r="A401" s="9" t="s">
        <v>344</v>
      </c>
      <c r="B401" s="3">
        <v>195630</v>
      </c>
      <c r="C401" s="3">
        <v>196050</v>
      </c>
      <c r="D401" s="3">
        <v>194630</v>
      </c>
      <c r="E401" s="3">
        <v>194500</v>
      </c>
      <c r="F401" s="3">
        <v>194740</v>
      </c>
      <c r="G401" s="3"/>
      <c r="H401" s="3"/>
    </row>
    <row r="402" spans="1:8">
      <c r="A402" s="9" t="s">
        <v>345</v>
      </c>
      <c r="B402" s="3">
        <v>182350</v>
      </c>
      <c r="C402" s="3">
        <v>182070</v>
      </c>
      <c r="D402" s="3">
        <v>181250</v>
      </c>
      <c r="E402" s="3">
        <v>180420</v>
      </c>
      <c r="F402" s="3">
        <v>179860</v>
      </c>
      <c r="G402" s="3"/>
      <c r="H402" s="3"/>
    </row>
    <row r="403" spans="1:8">
      <c r="A403" s="9">
        <v>24</v>
      </c>
      <c r="B403" s="3">
        <v>27020</v>
      </c>
      <c r="C403" s="3">
        <v>27450</v>
      </c>
      <c r="D403" s="3">
        <v>27140</v>
      </c>
      <c r="E403" s="3">
        <v>26770</v>
      </c>
      <c r="F403" s="3">
        <v>26380</v>
      </c>
      <c r="G403" s="3"/>
      <c r="H403" s="3"/>
    </row>
    <row r="404" spans="1:8">
      <c r="A404" s="9">
        <v>75</v>
      </c>
      <c r="B404" s="3">
        <v>25930</v>
      </c>
      <c r="C404" s="3">
        <v>26660</v>
      </c>
      <c r="D404" s="3">
        <v>27360</v>
      </c>
      <c r="E404" s="3">
        <v>28200</v>
      </c>
      <c r="F404" s="3">
        <v>29000</v>
      </c>
      <c r="G404" s="3"/>
      <c r="H404" s="3"/>
    </row>
    <row r="406" spans="1:8">
      <c r="A406" s="9" t="s">
        <v>356</v>
      </c>
      <c r="B406" s="3"/>
      <c r="C406" s="3"/>
      <c r="D406" s="3"/>
      <c r="E406" s="3"/>
      <c r="F406" s="3"/>
      <c r="G406" s="3"/>
      <c r="H406" s="3"/>
    </row>
    <row r="407" spans="1:8">
      <c r="A407" s="7" t="s">
        <v>0</v>
      </c>
      <c r="B407" s="2">
        <v>2010</v>
      </c>
      <c r="C407" s="2">
        <v>2011</v>
      </c>
      <c r="D407" s="2">
        <v>2012</v>
      </c>
      <c r="E407" s="2">
        <v>2013</v>
      </c>
      <c r="F407" s="2">
        <v>2014</v>
      </c>
      <c r="G407" s="2">
        <v>2015</v>
      </c>
      <c r="H407" s="2"/>
    </row>
    <row r="408" spans="1:8">
      <c r="A408" s="9" t="s">
        <v>344</v>
      </c>
      <c r="B408" s="3">
        <v>187020</v>
      </c>
      <c r="C408" s="3">
        <v>187280</v>
      </c>
      <c r="D408" s="3">
        <v>186420</v>
      </c>
      <c r="E408" s="3">
        <v>186510</v>
      </c>
      <c r="F408" s="3">
        <v>186810</v>
      </c>
      <c r="G408" s="3"/>
      <c r="H408" s="3"/>
    </row>
    <row r="409" spans="1:8">
      <c r="A409" s="9" t="s">
        <v>345</v>
      </c>
      <c r="B409" s="3">
        <v>182650</v>
      </c>
      <c r="C409" s="3">
        <v>182480</v>
      </c>
      <c r="D409" s="3">
        <v>181660</v>
      </c>
      <c r="E409" s="3">
        <v>180730</v>
      </c>
      <c r="F409" s="3">
        <v>180280</v>
      </c>
      <c r="G409" s="3"/>
      <c r="H409" s="3"/>
    </row>
    <row r="410" spans="1:8">
      <c r="A410" s="9">
        <v>24</v>
      </c>
      <c r="B410" s="3">
        <v>27940</v>
      </c>
      <c r="C410" s="3">
        <v>28110</v>
      </c>
      <c r="D410" s="3">
        <v>27770</v>
      </c>
      <c r="E410" s="3">
        <v>27700</v>
      </c>
      <c r="F410" s="3">
        <v>27190</v>
      </c>
      <c r="G410" s="3"/>
      <c r="H410" s="3"/>
    </row>
    <row r="411" spans="1:8">
      <c r="A411" s="9">
        <v>75</v>
      </c>
      <c r="B411" s="3">
        <v>39880</v>
      </c>
      <c r="C411" s="3">
        <v>40240</v>
      </c>
      <c r="D411" s="3">
        <v>40610</v>
      </c>
      <c r="E411" s="3">
        <v>41200</v>
      </c>
      <c r="F411" s="3">
        <v>41770</v>
      </c>
      <c r="G411" s="3"/>
      <c r="H411" s="3"/>
    </row>
    <row r="413" spans="1:8">
      <c r="A413" s="9" t="s">
        <v>357</v>
      </c>
      <c r="B413" s="3"/>
      <c r="C413" s="3"/>
      <c r="D413" s="3"/>
      <c r="E413" s="3"/>
      <c r="F413" s="3"/>
      <c r="G413" s="3"/>
      <c r="H413" s="3"/>
    </row>
    <row r="414" spans="1:8">
      <c r="A414" s="7" t="s">
        <v>0</v>
      </c>
      <c r="B414" s="2">
        <v>2010</v>
      </c>
      <c r="C414" s="2">
        <v>2011</v>
      </c>
      <c r="D414" s="2">
        <v>2012</v>
      </c>
      <c r="E414" s="2">
        <v>2013</v>
      </c>
      <c r="F414" s="2">
        <v>2014</v>
      </c>
      <c r="G414" s="2">
        <v>2015</v>
      </c>
      <c r="H414" s="2"/>
    </row>
    <row r="415" spans="1:8">
      <c r="A415" s="9" t="s">
        <v>344</v>
      </c>
      <c r="B415" s="3">
        <v>8610</v>
      </c>
      <c r="C415" s="3">
        <v>8770</v>
      </c>
      <c r="D415" s="3">
        <v>8210</v>
      </c>
      <c r="E415" s="3">
        <v>7990</v>
      </c>
      <c r="F415" s="3">
        <v>7930</v>
      </c>
      <c r="G415" s="3"/>
      <c r="H415" s="3"/>
    </row>
    <row r="416" spans="1:8">
      <c r="A416" s="9" t="s">
        <v>345</v>
      </c>
      <c r="B416" s="3">
        <v>300</v>
      </c>
      <c r="C416" s="3">
        <v>410</v>
      </c>
      <c r="D416" s="3">
        <v>410</v>
      </c>
      <c r="E416" s="3">
        <v>310</v>
      </c>
      <c r="F416" s="3">
        <v>420</v>
      </c>
      <c r="G416" s="3"/>
      <c r="H416" s="3"/>
    </row>
    <row r="417" spans="1:8">
      <c r="A417" s="9">
        <v>24</v>
      </c>
      <c r="B417" s="3">
        <v>920</v>
      </c>
      <c r="C417" s="3">
        <v>660</v>
      </c>
      <c r="D417" s="3">
        <v>630</v>
      </c>
      <c r="E417" s="3">
        <v>930</v>
      </c>
      <c r="F417" s="3">
        <v>810</v>
      </c>
      <c r="G417" s="3"/>
      <c r="H417" s="3"/>
    </row>
    <row r="418" spans="1:8">
      <c r="A418" s="9">
        <v>75</v>
      </c>
      <c r="B418" s="3">
        <v>13950</v>
      </c>
      <c r="C418" s="3">
        <v>13580</v>
      </c>
      <c r="D418" s="3">
        <v>13250</v>
      </c>
      <c r="E418" s="3">
        <v>13000</v>
      </c>
      <c r="F418" s="3">
        <v>12770</v>
      </c>
      <c r="G418" s="3"/>
      <c r="H418" s="3"/>
    </row>
    <row r="420" spans="1:8">
      <c r="A420" s="9" t="s">
        <v>358</v>
      </c>
      <c r="B420" s="3"/>
      <c r="C420" s="3"/>
      <c r="D420" s="3"/>
      <c r="E420" s="3"/>
      <c r="F420" s="3"/>
      <c r="G420" s="3"/>
      <c r="H420" s="3"/>
    </row>
    <row r="421" spans="1:8">
      <c r="A421" s="7" t="s">
        <v>0</v>
      </c>
      <c r="B421" s="2">
        <v>2010</v>
      </c>
      <c r="C421" s="2">
        <v>2011</v>
      </c>
      <c r="D421" s="2">
        <v>2012</v>
      </c>
      <c r="E421" s="2">
        <v>2013</v>
      </c>
      <c r="F421" s="2">
        <v>2014</v>
      </c>
      <c r="G421" s="2">
        <v>2015</v>
      </c>
      <c r="H421" s="2"/>
    </row>
    <row r="422" spans="1:8">
      <c r="A422" s="9" t="s">
        <v>344</v>
      </c>
      <c r="B422" s="3">
        <v>302780</v>
      </c>
      <c r="C422" s="3">
        <v>302150</v>
      </c>
      <c r="D422" s="3">
        <v>300100</v>
      </c>
      <c r="E422" s="3">
        <v>298560</v>
      </c>
      <c r="F422" s="3">
        <v>299360</v>
      </c>
      <c r="G422" s="3"/>
      <c r="H422" s="3"/>
    </row>
    <row r="423" spans="1:8">
      <c r="A423" s="9" t="s">
        <v>345</v>
      </c>
      <c r="B423" s="3">
        <v>299470</v>
      </c>
      <c r="C423" s="3">
        <v>298920</v>
      </c>
      <c r="D423" s="3">
        <v>298130</v>
      </c>
      <c r="E423" s="3">
        <v>296410</v>
      </c>
      <c r="F423" s="3">
        <v>295600</v>
      </c>
      <c r="G423" s="3"/>
      <c r="H423" s="3"/>
    </row>
    <row r="424" spans="1:8">
      <c r="A424" s="9">
        <v>24</v>
      </c>
      <c r="B424" s="3">
        <v>43640</v>
      </c>
      <c r="C424" s="3">
        <v>43460</v>
      </c>
      <c r="D424" s="3">
        <v>42960</v>
      </c>
      <c r="E424" s="3">
        <v>41870</v>
      </c>
      <c r="F424" s="3">
        <v>41610</v>
      </c>
      <c r="G424" s="3"/>
      <c r="H424" s="3"/>
    </row>
    <row r="425" spans="1:8">
      <c r="A425" s="9">
        <v>75</v>
      </c>
      <c r="B425" s="3">
        <v>52670</v>
      </c>
      <c r="C425" s="3">
        <v>53600</v>
      </c>
      <c r="D425" s="3">
        <v>54570</v>
      </c>
      <c r="E425" s="3">
        <v>55760</v>
      </c>
      <c r="F425" s="3">
        <v>56940</v>
      </c>
      <c r="G425" s="3"/>
      <c r="H425" s="3"/>
    </row>
    <row r="427" spans="1:8">
      <c r="A427" s="9" t="s">
        <v>359</v>
      </c>
      <c r="B427" s="3"/>
      <c r="C427" s="3"/>
      <c r="D427" s="3"/>
      <c r="E427" s="3"/>
      <c r="F427" s="3"/>
      <c r="G427" s="3"/>
      <c r="H427" s="3"/>
    </row>
    <row r="428" spans="1:8">
      <c r="A428" s="7" t="s">
        <v>0</v>
      </c>
      <c r="B428" s="2">
        <v>2010</v>
      </c>
      <c r="C428" s="2">
        <v>2011</v>
      </c>
      <c r="D428" s="2">
        <v>2012</v>
      </c>
      <c r="E428" s="2">
        <v>2013</v>
      </c>
      <c r="F428" s="2">
        <v>2014</v>
      </c>
      <c r="G428" s="2">
        <v>2015</v>
      </c>
      <c r="H428" s="2"/>
    </row>
    <row r="429" spans="1:8">
      <c r="A429" s="9" t="s">
        <v>344</v>
      </c>
      <c r="B429" s="3">
        <v>157660</v>
      </c>
      <c r="C429" s="3">
        <v>157280</v>
      </c>
      <c r="D429" s="3">
        <v>155880</v>
      </c>
      <c r="E429" s="3">
        <v>154990</v>
      </c>
      <c r="F429" s="3">
        <v>155540</v>
      </c>
      <c r="G429" s="3"/>
      <c r="H429" s="3"/>
    </row>
    <row r="430" spans="1:8">
      <c r="A430" s="9" t="s">
        <v>345</v>
      </c>
      <c r="B430" s="3">
        <v>149630</v>
      </c>
      <c r="C430" s="3">
        <v>149320</v>
      </c>
      <c r="D430" s="3">
        <v>148930</v>
      </c>
      <c r="E430" s="3">
        <v>148050</v>
      </c>
      <c r="F430" s="3">
        <v>147650</v>
      </c>
      <c r="G430" s="3"/>
      <c r="H430" s="3"/>
    </row>
    <row r="431" spans="1:8">
      <c r="A431" s="9">
        <v>24</v>
      </c>
      <c r="B431" s="3">
        <v>21800</v>
      </c>
      <c r="C431" s="3">
        <v>21820</v>
      </c>
      <c r="D431" s="3">
        <v>21460</v>
      </c>
      <c r="E431" s="3">
        <v>20880</v>
      </c>
      <c r="F431" s="3">
        <v>20740</v>
      </c>
      <c r="G431" s="3"/>
      <c r="H431" s="3"/>
    </row>
    <row r="432" spans="1:8">
      <c r="A432" s="9">
        <v>75</v>
      </c>
      <c r="B432" s="3">
        <v>20760</v>
      </c>
      <c r="C432" s="3">
        <v>21370</v>
      </c>
      <c r="D432" s="3">
        <v>21950</v>
      </c>
      <c r="E432" s="3">
        <v>22730</v>
      </c>
      <c r="F432" s="3">
        <v>23450</v>
      </c>
      <c r="G432" s="3"/>
      <c r="H432" s="3"/>
    </row>
    <row r="434" spans="1:8">
      <c r="A434" s="9" t="s">
        <v>360</v>
      </c>
      <c r="B434" s="3"/>
      <c r="C434" s="3"/>
      <c r="D434" s="3"/>
      <c r="E434" s="3"/>
      <c r="F434" s="3"/>
      <c r="G434" s="3"/>
      <c r="H434" s="3"/>
    </row>
    <row r="435" spans="1:8">
      <c r="A435" s="7" t="s">
        <v>0</v>
      </c>
      <c r="B435" s="2">
        <v>2010</v>
      </c>
      <c r="C435" s="2">
        <v>2011</v>
      </c>
      <c r="D435" s="2">
        <v>2012</v>
      </c>
      <c r="E435" s="2">
        <v>2013</v>
      </c>
      <c r="F435" s="2">
        <v>2014</v>
      </c>
      <c r="G435" s="2">
        <v>2015</v>
      </c>
      <c r="H435" s="2"/>
    </row>
    <row r="436" spans="1:8">
      <c r="A436" s="9" t="s">
        <v>344</v>
      </c>
      <c r="B436" s="3">
        <v>145120</v>
      </c>
      <c r="C436" s="3">
        <v>144860</v>
      </c>
      <c r="D436" s="3">
        <v>144220</v>
      </c>
      <c r="E436" s="3">
        <v>143570</v>
      </c>
      <c r="F436" s="3">
        <v>143820</v>
      </c>
      <c r="G436" s="3"/>
      <c r="H436" s="3"/>
    </row>
    <row r="437" spans="1:8">
      <c r="A437" s="9" t="s">
        <v>345</v>
      </c>
      <c r="B437" s="3">
        <v>149840</v>
      </c>
      <c r="C437" s="3">
        <v>149600</v>
      </c>
      <c r="D437" s="3">
        <v>149200</v>
      </c>
      <c r="E437" s="3">
        <v>148360</v>
      </c>
      <c r="F437" s="3">
        <v>147950</v>
      </c>
      <c r="G437" s="3"/>
      <c r="H437" s="3"/>
    </row>
    <row r="438" spans="1:8">
      <c r="A438" s="9">
        <v>24</v>
      </c>
      <c r="B438" s="3">
        <v>21840</v>
      </c>
      <c r="C438" s="3">
        <v>21640</v>
      </c>
      <c r="D438" s="3">
        <v>21500</v>
      </c>
      <c r="E438" s="3">
        <v>20990</v>
      </c>
      <c r="F438" s="3">
        <v>20870</v>
      </c>
      <c r="G438" s="3"/>
      <c r="H438" s="3"/>
    </row>
    <row r="439" spans="1:8">
      <c r="A439" s="9">
        <v>75</v>
      </c>
      <c r="B439" s="3">
        <v>31910</v>
      </c>
      <c r="C439" s="3">
        <v>32230</v>
      </c>
      <c r="D439" s="3">
        <v>32620</v>
      </c>
      <c r="E439" s="3">
        <v>33030</v>
      </c>
      <c r="F439" s="3">
        <v>33490</v>
      </c>
      <c r="G439" s="3"/>
      <c r="H439" s="3"/>
    </row>
    <row r="441" spans="1:8">
      <c r="A441" s="9" t="s">
        <v>361</v>
      </c>
      <c r="B441" s="3"/>
      <c r="C441" s="3"/>
      <c r="D441" s="3"/>
      <c r="E441" s="3"/>
      <c r="F441" s="3"/>
      <c r="G441" s="3"/>
      <c r="H441" s="3"/>
    </row>
    <row r="442" spans="1:8">
      <c r="A442" s="7" t="s">
        <v>0</v>
      </c>
      <c r="B442" s="2">
        <v>2010</v>
      </c>
      <c r="C442" s="2">
        <v>2011</v>
      </c>
      <c r="D442" s="2">
        <v>2012</v>
      </c>
      <c r="E442" s="2">
        <v>2013</v>
      </c>
      <c r="F442" s="2">
        <v>2014</v>
      </c>
      <c r="G442" s="2">
        <v>2015</v>
      </c>
      <c r="H442" s="2"/>
    </row>
    <row r="443" spans="1:8">
      <c r="A443" s="9" t="s">
        <v>344</v>
      </c>
      <c r="B443" s="3">
        <v>12540</v>
      </c>
      <c r="C443" s="3">
        <v>12420</v>
      </c>
      <c r="D443" s="3">
        <v>11660</v>
      </c>
      <c r="E443" s="3">
        <v>11420</v>
      </c>
      <c r="F443" s="3">
        <v>11720</v>
      </c>
      <c r="G443" s="3"/>
      <c r="H443" s="3"/>
    </row>
    <row r="444" spans="1:8">
      <c r="A444" s="9" t="s">
        <v>345</v>
      </c>
      <c r="B444" s="3">
        <v>210</v>
      </c>
      <c r="C444" s="3">
        <v>280</v>
      </c>
      <c r="D444" s="3">
        <v>270</v>
      </c>
      <c r="E444" s="3">
        <v>310</v>
      </c>
      <c r="F444" s="3">
        <v>300</v>
      </c>
      <c r="G444" s="3"/>
      <c r="H444" s="3"/>
    </row>
    <row r="445" spans="1:8">
      <c r="A445" s="9">
        <v>24</v>
      </c>
      <c r="B445" s="3">
        <v>40</v>
      </c>
      <c r="C445" s="3">
        <v>180</v>
      </c>
      <c r="D445" s="3">
        <v>40</v>
      </c>
      <c r="E445" s="3">
        <v>110</v>
      </c>
      <c r="F445" s="3">
        <v>130</v>
      </c>
      <c r="G445" s="3"/>
      <c r="H445" s="3"/>
    </row>
    <row r="446" spans="1:8">
      <c r="A446" s="9">
        <v>75</v>
      </c>
      <c r="B446" s="3">
        <v>11150</v>
      </c>
      <c r="C446" s="3">
        <v>10860</v>
      </c>
      <c r="D446" s="3">
        <v>10670</v>
      </c>
      <c r="E446" s="3">
        <v>10300</v>
      </c>
      <c r="F446" s="3">
        <v>10040</v>
      </c>
      <c r="G446" s="3"/>
      <c r="H446" s="3"/>
    </row>
    <row r="448" spans="1:8">
      <c r="A448" s="9" t="s">
        <v>362</v>
      </c>
      <c r="B448" s="3"/>
      <c r="C448" s="3"/>
      <c r="D448" s="3"/>
      <c r="E448" s="3"/>
      <c r="F448" s="3"/>
      <c r="G448" s="3"/>
      <c r="H448" s="3"/>
    </row>
    <row r="449" spans="1:8">
      <c r="A449" s="7" t="s">
        <v>0</v>
      </c>
      <c r="B449" s="2">
        <v>2010</v>
      </c>
      <c r="C449" s="2">
        <v>2011</v>
      </c>
      <c r="D449" s="2">
        <v>2012</v>
      </c>
      <c r="E449" s="2">
        <v>2013</v>
      </c>
      <c r="F449" s="2">
        <v>2014</v>
      </c>
      <c r="G449" s="2">
        <v>2015</v>
      </c>
      <c r="H449" s="2"/>
    </row>
    <row r="450" spans="1:8">
      <c r="A450" s="9" t="s">
        <v>344</v>
      </c>
      <c r="B450" s="3">
        <v>3330360</v>
      </c>
      <c r="C450" s="3">
        <v>3365750</v>
      </c>
      <c r="D450" s="3">
        <v>3396010</v>
      </c>
      <c r="E450" s="3">
        <v>3420020</v>
      </c>
      <c r="F450" s="3">
        <v>3448690</v>
      </c>
      <c r="G450" s="3"/>
      <c r="H450" s="3"/>
    </row>
    <row r="451" spans="1:8">
      <c r="A451" s="9" t="s">
        <v>345</v>
      </c>
      <c r="B451" s="3">
        <v>2316960</v>
      </c>
      <c r="C451" s="3">
        <v>2318250</v>
      </c>
      <c r="D451" s="3">
        <v>2319520</v>
      </c>
      <c r="E451" s="3">
        <v>2316210</v>
      </c>
      <c r="F451" s="3">
        <v>2311820</v>
      </c>
      <c r="G451" s="3"/>
      <c r="H451" s="3"/>
    </row>
    <row r="452" spans="1:8">
      <c r="A452" s="9">
        <v>24</v>
      </c>
      <c r="B452" s="3">
        <v>447550</v>
      </c>
      <c r="C452" s="3">
        <v>460420</v>
      </c>
      <c r="D452" s="3">
        <v>472120</v>
      </c>
      <c r="E452" s="3">
        <v>478530</v>
      </c>
      <c r="F452" s="3">
        <v>478340</v>
      </c>
      <c r="G452" s="3"/>
      <c r="H452" s="3"/>
    </row>
    <row r="453" spans="1:8">
      <c r="A453" s="9">
        <v>75</v>
      </c>
      <c r="B453" s="3">
        <v>538200</v>
      </c>
      <c r="C453" s="3">
        <v>550870</v>
      </c>
      <c r="D453" s="3">
        <v>561860</v>
      </c>
      <c r="E453" s="3">
        <v>576160</v>
      </c>
      <c r="F453" s="3">
        <v>591030</v>
      </c>
      <c r="G453" s="3"/>
      <c r="H453" s="3"/>
    </row>
    <row r="455" spans="1:8">
      <c r="A455" s="9" t="s">
        <v>363</v>
      </c>
      <c r="B455" s="3"/>
      <c r="C455" s="3"/>
      <c r="D455" s="3"/>
      <c r="E455" s="3"/>
      <c r="F455" s="3"/>
      <c r="G455" s="3"/>
      <c r="H455" s="3"/>
    </row>
    <row r="456" spans="1:8">
      <c r="A456" s="7" t="s">
        <v>0</v>
      </c>
      <c r="B456" s="2">
        <v>2010</v>
      </c>
      <c r="C456" s="2">
        <v>2011</v>
      </c>
      <c r="D456" s="2">
        <v>2012</v>
      </c>
      <c r="E456" s="2">
        <v>2013</v>
      </c>
      <c r="F456" s="2">
        <v>2014</v>
      </c>
      <c r="G456" s="2">
        <v>2015</v>
      </c>
      <c r="H456" s="2"/>
    </row>
    <row r="457" spans="1:8">
      <c r="A457" s="9" t="s">
        <v>344</v>
      </c>
      <c r="B457" s="3">
        <v>1727550</v>
      </c>
      <c r="C457" s="3">
        <v>1747380</v>
      </c>
      <c r="D457" s="3">
        <v>1763570</v>
      </c>
      <c r="E457" s="3">
        <v>1776600</v>
      </c>
      <c r="F457" s="3">
        <v>1792600</v>
      </c>
      <c r="G457" s="3"/>
      <c r="H457" s="3"/>
    </row>
    <row r="458" spans="1:8">
      <c r="A458" s="9" t="s">
        <v>345</v>
      </c>
      <c r="B458" s="3">
        <v>1158880</v>
      </c>
      <c r="C458" s="3">
        <v>1159400</v>
      </c>
      <c r="D458" s="3">
        <v>1160050</v>
      </c>
      <c r="E458" s="3">
        <v>1158440</v>
      </c>
      <c r="F458" s="3">
        <v>1156210</v>
      </c>
      <c r="G458" s="3"/>
      <c r="H458" s="3"/>
    </row>
    <row r="459" spans="1:8">
      <c r="A459" s="9">
        <v>24</v>
      </c>
      <c r="B459" s="3">
        <v>222090</v>
      </c>
      <c r="C459" s="3">
        <v>228810</v>
      </c>
      <c r="D459" s="3">
        <v>234900</v>
      </c>
      <c r="E459" s="3">
        <v>238350</v>
      </c>
      <c r="F459" s="3">
        <v>238280</v>
      </c>
      <c r="G459" s="3"/>
      <c r="H459" s="3"/>
    </row>
    <row r="460" spans="1:8">
      <c r="A460" s="9">
        <v>75</v>
      </c>
      <c r="B460" s="3">
        <v>207610</v>
      </c>
      <c r="C460" s="3">
        <v>214280</v>
      </c>
      <c r="D460" s="3">
        <v>220340</v>
      </c>
      <c r="E460" s="3">
        <v>228350</v>
      </c>
      <c r="F460" s="3">
        <v>236220</v>
      </c>
      <c r="G460" s="3"/>
      <c r="H460" s="3"/>
    </row>
    <row r="462" spans="1:8">
      <c r="A462" s="9" t="s">
        <v>364</v>
      </c>
      <c r="B462" s="3"/>
      <c r="C462" s="3"/>
      <c r="D462" s="3"/>
      <c r="E462" s="3"/>
      <c r="F462" s="3"/>
      <c r="G462" s="3"/>
      <c r="H462" s="3"/>
    </row>
    <row r="463" spans="1:8">
      <c r="A463" s="7" t="s">
        <v>0</v>
      </c>
      <c r="B463" s="2">
        <v>2010</v>
      </c>
      <c r="C463" s="2">
        <v>2011</v>
      </c>
      <c r="D463" s="2">
        <v>2012</v>
      </c>
      <c r="E463" s="2">
        <v>2013</v>
      </c>
      <c r="F463" s="2">
        <v>2014</v>
      </c>
      <c r="G463" s="2">
        <v>2015</v>
      </c>
      <c r="H463" s="2"/>
    </row>
    <row r="464" spans="1:8">
      <c r="A464" s="9" t="s">
        <v>344</v>
      </c>
      <c r="B464" s="3">
        <v>1602820</v>
      </c>
      <c r="C464" s="3">
        <v>1618370</v>
      </c>
      <c r="D464" s="3">
        <v>1632440</v>
      </c>
      <c r="E464" s="3">
        <v>1643420</v>
      </c>
      <c r="F464" s="3">
        <v>1656080</v>
      </c>
      <c r="G464" s="3"/>
      <c r="H464" s="3"/>
    </row>
    <row r="465" spans="1:8">
      <c r="A465" s="9" t="s">
        <v>345</v>
      </c>
      <c r="B465" s="3">
        <v>1158080</v>
      </c>
      <c r="C465" s="3">
        <v>1158850</v>
      </c>
      <c r="D465" s="3">
        <v>1159480</v>
      </c>
      <c r="E465" s="3">
        <v>1157770</v>
      </c>
      <c r="F465" s="3">
        <v>1155620</v>
      </c>
      <c r="G465" s="3"/>
      <c r="H465" s="3"/>
    </row>
    <row r="466" spans="1:8">
      <c r="A466" s="9">
        <v>24</v>
      </c>
      <c r="B466" s="3">
        <v>225460</v>
      </c>
      <c r="C466" s="3">
        <v>231610</v>
      </c>
      <c r="D466" s="3">
        <v>237220</v>
      </c>
      <c r="E466" s="3">
        <v>240180</v>
      </c>
      <c r="F466" s="3">
        <v>240060</v>
      </c>
      <c r="G466" s="3"/>
      <c r="H466" s="3"/>
    </row>
    <row r="467" spans="1:8">
      <c r="A467" s="9">
        <v>75</v>
      </c>
      <c r="B467" s="3">
        <v>330590</v>
      </c>
      <c r="C467" s="3">
        <v>336590</v>
      </c>
      <c r="D467" s="3">
        <v>341530</v>
      </c>
      <c r="E467" s="3">
        <v>347810</v>
      </c>
      <c r="F467" s="3">
        <v>354810</v>
      </c>
      <c r="G467" s="3"/>
      <c r="H467" s="3"/>
    </row>
    <row r="469" spans="1:8">
      <c r="A469" s="9" t="s">
        <v>365</v>
      </c>
      <c r="B469" s="3"/>
      <c r="C469" s="3"/>
      <c r="D469" s="3"/>
      <c r="E469" s="3"/>
      <c r="F469" s="3"/>
      <c r="G469" s="3"/>
      <c r="H469" s="3"/>
    </row>
    <row r="470" spans="1:8">
      <c r="A470" s="7" t="s">
        <v>0</v>
      </c>
      <c r="B470" s="2">
        <v>2010</v>
      </c>
      <c r="C470" s="2">
        <v>2011</v>
      </c>
      <c r="D470" s="2">
        <v>2012</v>
      </c>
      <c r="E470" s="2">
        <v>2013</v>
      </c>
      <c r="F470" s="2">
        <v>2014</v>
      </c>
      <c r="G470" s="2">
        <v>2015</v>
      </c>
      <c r="H470" s="2"/>
    </row>
    <row r="471" spans="1:8">
      <c r="A471" s="9" t="s">
        <v>344</v>
      </c>
      <c r="B471" s="3">
        <v>124730</v>
      </c>
      <c r="C471" s="3">
        <v>129010</v>
      </c>
      <c r="D471" s="3">
        <v>131130</v>
      </c>
      <c r="E471" s="3">
        <v>133180</v>
      </c>
      <c r="F471" s="3">
        <v>136520</v>
      </c>
      <c r="G471" s="3"/>
      <c r="H471" s="3"/>
    </row>
    <row r="472" spans="1:8">
      <c r="A472" s="9" t="s">
        <v>345</v>
      </c>
      <c r="B472" s="3">
        <v>800</v>
      </c>
      <c r="C472" s="3">
        <v>550</v>
      </c>
      <c r="D472" s="3">
        <v>570</v>
      </c>
      <c r="E472" s="3">
        <v>670</v>
      </c>
      <c r="F472" s="3">
        <v>590</v>
      </c>
      <c r="G472" s="3"/>
      <c r="H472" s="3"/>
    </row>
    <row r="473" spans="1:8">
      <c r="A473" s="9">
        <v>24</v>
      </c>
      <c r="B473" s="3">
        <v>3370</v>
      </c>
      <c r="C473" s="3">
        <v>2800</v>
      </c>
      <c r="D473" s="3">
        <v>2320</v>
      </c>
      <c r="E473" s="3">
        <v>1830</v>
      </c>
      <c r="F473" s="3">
        <v>1780</v>
      </c>
      <c r="G473" s="3"/>
      <c r="H473" s="3"/>
    </row>
    <row r="474" spans="1:8">
      <c r="A474" s="9">
        <v>75</v>
      </c>
      <c r="B474" s="3">
        <v>122980</v>
      </c>
      <c r="C474" s="3">
        <v>122310</v>
      </c>
      <c r="D474" s="3">
        <v>121190</v>
      </c>
      <c r="E474" s="3">
        <v>119460</v>
      </c>
      <c r="F474" s="3">
        <v>118590</v>
      </c>
      <c r="G474" s="3"/>
      <c r="H474" s="3"/>
    </row>
    <row r="476" spans="1:8">
      <c r="A476" s="9" t="s">
        <v>368</v>
      </c>
      <c r="B476" s="3"/>
      <c r="C476" s="3"/>
      <c r="D476" s="3"/>
      <c r="E476" s="3"/>
      <c r="F476" s="3"/>
      <c r="G476" s="3"/>
    </row>
    <row r="477" spans="1:8">
      <c r="A477" s="7" t="s">
        <v>0</v>
      </c>
      <c r="B477" s="2">
        <v>2010</v>
      </c>
      <c r="C477" s="2">
        <v>2011</v>
      </c>
      <c r="D477" s="2">
        <v>2012</v>
      </c>
      <c r="E477" s="2">
        <v>2013</v>
      </c>
      <c r="F477" s="2">
        <v>2014</v>
      </c>
      <c r="G477" s="2">
        <v>2015</v>
      </c>
    </row>
    <row r="478" spans="1:8">
      <c r="A478" s="9" t="s">
        <v>344</v>
      </c>
      <c r="B478" s="3">
        <v>5479920</v>
      </c>
      <c r="C478" s="3">
        <v>5526970</v>
      </c>
      <c r="D478" s="3">
        <v>5569180</v>
      </c>
      <c r="E478" s="3">
        <v>5623700</v>
      </c>
      <c r="F478" s="3">
        <v>5681420</v>
      </c>
      <c r="G478" s="3"/>
    </row>
    <row r="479" spans="1:8">
      <c r="A479" s="9" t="s">
        <v>345</v>
      </c>
      <c r="B479" s="3">
        <v>5303640</v>
      </c>
      <c r="C479" s="3">
        <v>5343040</v>
      </c>
      <c r="D479" s="3">
        <v>5376040</v>
      </c>
      <c r="E479" s="3">
        <v>5409690</v>
      </c>
      <c r="F479" s="3">
        <v>5449970</v>
      </c>
      <c r="G479" s="3"/>
    </row>
    <row r="480" spans="1:8">
      <c r="A480" s="9">
        <v>24</v>
      </c>
      <c r="B480" s="3">
        <v>784580</v>
      </c>
      <c r="C480" s="3">
        <v>793430</v>
      </c>
      <c r="D480" s="3">
        <v>800070</v>
      </c>
      <c r="E480" s="3">
        <v>805890</v>
      </c>
      <c r="F480" s="3">
        <v>812420</v>
      </c>
      <c r="G480" s="3"/>
    </row>
    <row r="481" spans="1:8">
      <c r="A481" s="9">
        <v>75</v>
      </c>
      <c r="B481" s="3">
        <v>835720</v>
      </c>
      <c r="C481" s="3">
        <v>856580</v>
      </c>
      <c r="D481" s="3">
        <v>877120</v>
      </c>
      <c r="E481" s="3">
        <v>900430</v>
      </c>
      <c r="F481" s="3">
        <v>924400</v>
      </c>
      <c r="G481" s="3"/>
    </row>
    <row r="483" spans="1:8">
      <c r="A483" s="9" t="s">
        <v>369</v>
      </c>
      <c r="B483" s="3"/>
      <c r="C483" s="3"/>
      <c r="D483" s="3"/>
      <c r="E483" s="3"/>
      <c r="F483" s="3"/>
      <c r="G483" s="3"/>
      <c r="H483" s="3"/>
    </row>
    <row r="484" spans="1:8">
      <c r="A484" s="7" t="s">
        <v>0</v>
      </c>
      <c r="B484" s="2">
        <v>2010</v>
      </c>
      <c r="C484" s="2">
        <v>2011</v>
      </c>
      <c r="D484" s="2">
        <v>2012</v>
      </c>
      <c r="E484" s="2">
        <v>2013</v>
      </c>
      <c r="F484" s="2">
        <v>2014</v>
      </c>
      <c r="G484" s="2">
        <v>2015</v>
      </c>
      <c r="H484" s="2"/>
    </row>
    <row r="485" spans="1:8">
      <c r="A485" s="9" t="s">
        <v>344</v>
      </c>
      <c r="B485" s="3">
        <v>2795790</v>
      </c>
      <c r="C485" s="3">
        <v>2816590</v>
      </c>
      <c r="D485" s="3">
        <v>2835610</v>
      </c>
      <c r="E485" s="3">
        <v>2863660</v>
      </c>
      <c r="F485" s="3">
        <v>2894770</v>
      </c>
      <c r="G485" s="3"/>
      <c r="H485" s="3"/>
    </row>
    <row r="486" spans="1:8">
      <c r="A486" s="9" t="s">
        <v>345</v>
      </c>
      <c r="B486" s="3">
        <v>2652880</v>
      </c>
      <c r="C486" s="3">
        <v>2672260</v>
      </c>
      <c r="D486" s="3">
        <v>2688940</v>
      </c>
      <c r="E486" s="3">
        <v>2705620</v>
      </c>
      <c r="F486" s="3">
        <v>2725470</v>
      </c>
      <c r="G486" s="3"/>
      <c r="H486" s="3"/>
    </row>
    <row r="487" spans="1:8">
      <c r="A487" s="9">
        <v>24</v>
      </c>
      <c r="B487" s="3">
        <v>389630</v>
      </c>
      <c r="C487" s="3">
        <v>393930</v>
      </c>
      <c r="D487" s="3">
        <v>397560</v>
      </c>
      <c r="E487" s="3">
        <v>401400</v>
      </c>
      <c r="F487" s="3">
        <v>406260</v>
      </c>
      <c r="G487" s="3"/>
      <c r="H487" s="3"/>
    </row>
    <row r="488" spans="1:8">
      <c r="A488" s="9">
        <v>75</v>
      </c>
      <c r="B488" s="3">
        <v>340270</v>
      </c>
      <c r="C488" s="3">
        <v>351210</v>
      </c>
      <c r="D488" s="3">
        <v>361970</v>
      </c>
      <c r="E488" s="3">
        <v>373860</v>
      </c>
      <c r="F488" s="3">
        <v>385980</v>
      </c>
      <c r="G488" s="3"/>
      <c r="H488" s="3"/>
    </row>
    <row r="490" spans="1:8">
      <c r="A490" s="9" t="s">
        <v>370</v>
      </c>
      <c r="B490" s="3"/>
      <c r="C490" s="3"/>
      <c r="D490" s="3"/>
      <c r="E490" s="3"/>
      <c r="F490" s="3"/>
      <c r="G490" s="3"/>
      <c r="H490" s="3"/>
    </row>
    <row r="491" spans="1:8">
      <c r="A491" s="7" t="s">
        <v>0</v>
      </c>
      <c r="B491" s="2">
        <v>2010</v>
      </c>
      <c r="C491" s="2">
        <v>2011</v>
      </c>
      <c r="D491" s="2">
        <v>2012</v>
      </c>
      <c r="E491" s="2">
        <v>2013</v>
      </c>
      <c r="F491" s="2">
        <v>2014</v>
      </c>
      <c r="G491" s="2">
        <v>2015</v>
      </c>
      <c r="H491" s="2"/>
    </row>
    <row r="492" spans="1:8">
      <c r="A492" s="9" t="s">
        <v>344</v>
      </c>
      <c r="B492" s="3">
        <v>2684130</v>
      </c>
      <c r="C492" s="3">
        <v>2710380</v>
      </c>
      <c r="D492" s="3">
        <v>2733570</v>
      </c>
      <c r="E492" s="3">
        <v>2760040</v>
      </c>
      <c r="F492" s="3">
        <v>2786650</v>
      </c>
      <c r="G492" s="3"/>
      <c r="H492" s="3"/>
    </row>
    <row r="493" spans="1:8">
      <c r="A493" s="9" t="s">
        <v>345</v>
      </c>
      <c r="B493" s="3">
        <v>2650760</v>
      </c>
      <c r="C493" s="3">
        <v>2670780</v>
      </c>
      <c r="D493" s="3">
        <v>2687110</v>
      </c>
      <c r="E493" s="3">
        <v>2704070</v>
      </c>
      <c r="F493" s="3">
        <v>2724510</v>
      </c>
      <c r="G493" s="3"/>
      <c r="H493" s="3"/>
    </row>
    <row r="494" spans="1:8">
      <c r="A494" s="9">
        <v>24</v>
      </c>
      <c r="B494" s="3">
        <v>394950</v>
      </c>
      <c r="C494" s="3">
        <v>399500</v>
      </c>
      <c r="D494" s="3">
        <v>402510</v>
      </c>
      <c r="E494" s="3">
        <v>404490</v>
      </c>
      <c r="F494" s="3">
        <v>406160</v>
      </c>
      <c r="G494" s="3"/>
      <c r="H494" s="3"/>
    </row>
    <row r="495" spans="1:8">
      <c r="A495" s="9">
        <v>75</v>
      </c>
      <c r="B495" s="3">
        <v>495450</v>
      </c>
      <c r="C495" s="3">
        <v>505370</v>
      </c>
      <c r="D495" s="3">
        <v>515150</v>
      </c>
      <c r="E495" s="3">
        <v>526570</v>
      </c>
      <c r="F495" s="3">
        <v>538420</v>
      </c>
      <c r="G495" s="3"/>
      <c r="H495" s="3"/>
    </row>
    <row r="497" spans="1:8">
      <c r="A497" s="9" t="s">
        <v>371</v>
      </c>
      <c r="B497" s="3"/>
      <c r="C497" s="3"/>
      <c r="D497" s="3"/>
      <c r="E497" s="3"/>
      <c r="F497" s="3"/>
      <c r="G497" s="3"/>
      <c r="H497" s="3"/>
    </row>
    <row r="498" spans="1:8">
      <c r="A498" s="7" t="s">
        <v>0</v>
      </c>
      <c r="B498" s="2">
        <v>2010</v>
      </c>
      <c r="C498" s="2">
        <v>2011</v>
      </c>
      <c r="D498" s="2">
        <v>2012</v>
      </c>
      <c r="E498" s="2">
        <v>2013</v>
      </c>
      <c r="F498" s="2">
        <v>2014</v>
      </c>
      <c r="G498" s="2">
        <v>2015</v>
      </c>
      <c r="H498" s="2"/>
    </row>
    <row r="499" spans="1:8">
      <c r="A499" s="9" t="s">
        <v>344</v>
      </c>
      <c r="B499" s="3">
        <v>111660</v>
      </c>
      <c r="C499" s="3">
        <v>106210</v>
      </c>
      <c r="D499" s="3">
        <v>102040</v>
      </c>
      <c r="E499" s="3">
        <v>103620</v>
      </c>
      <c r="F499" s="3">
        <v>108120</v>
      </c>
      <c r="G499" s="3"/>
      <c r="H499" s="3"/>
    </row>
    <row r="500" spans="1:8">
      <c r="A500" s="9" t="s">
        <v>345</v>
      </c>
      <c r="B500" s="3">
        <v>2120</v>
      </c>
      <c r="C500" s="3">
        <v>1480</v>
      </c>
      <c r="D500" s="3">
        <v>1830</v>
      </c>
      <c r="E500" s="3">
        <v>1550</v>
      </c>
      <c r="F500" s="3">
        <v>960</v>
      </c>
      <c r="G500" s="3"/>
      <c r="H500" s="3"/>
    </row>
    <row r="501" spans="1:8">
      <c r="A501" s="9">
        <v>24</v>
      </c>
      <c r="B501" s="3">
        <v>5320</v>
      </c>
      <c r="C501" s="3">
        <v>5570</v>
      </c>
      <c r="D501" s="3">
        <v>4950</v>
      </c>
      <c r="E501" s="3">
        <v>3090</v>
      </c>
      <c r="F501" s="3">
        <v>100</v>
      </c>
      <c r="G501" s="3"/>
      <c r="H501" s="3"/>
    </row>
    <row r="502" spans="1:8">
      <c r="A502" s="9">
        <v>75</v>
      </c>
      <c r="B502" s="3">
        <v>155180</v>
      </c>
      <c r="C502" s="3">
        <v>154160</v>
      </c>
      <c r="D502" s="3">
        <v>153180</v>
      </c>
      <c r="E502" s="3">
        <v>152710</v>
      </c>
      <c r="F502" s="3">
        <v>152440</v>
      </c>
      <c r="G502" s="3"/>
      <c r="H502" s="3"/>
    </row>
    <row r="504" spans="1:8">
      <c r="A504" s="9" t="s">
        <v>372</v>
      </c>
      <c r="B504" s="3"/>
      <c r="C504" s="3"/>
      <c r="D504" s="3"/>
      <c r="E504" s="3"/>
      <c r="F504" s="3"/>
      <c r="G504" s="3"/>
      <c r="H504" s="3"/>
    </row>
    <row r="505" spans="1:8">
      <c r="A505" s="7" t="s">
        <v>0</v>
      </c>
      <c r="B505" s="2">
        <v>2010</v>
      </c>
      <c r="C505" s="2">
        <v>2011</v>
      </c>
      <c r="D505" s="2">
        <v>2012</v>
      </c>
      <c r="E505" s="2">
        <v>2013</v>
      </c>
      <c r="F505" s="2">
        <v>2014</v>
      </c>
      <c r="G505" s="2">
        <v>2015</v>
      </c>
      <c r="H505" s="2"/>
    </row>
    <row r="506" spans="1:8">
      <c r="A506" s="9" t="s">
        <v>344</v>
      </c>
      <c r="B506" s="3">
        <v>550740</v>
      </c>
      <c r="C506" s="3">
        <v>559000</v>
      </c>
      <c r="D506" s="3">
        <v>564890</v>
      </c>
      <c r="E506" s="3">
        <v>571780</v>
      </c>
      <c r="F506" s="3">
        <v>578420</v>
      </c>
      <c r="G506" s="3"/>
      <c r="H506" s="3"/>
    </row>
    <row r="507" spans="1:8">
      <c r="A507" s="9" t="s">
        <v>345</v>
      </c>
      <c r="B507" s="3">
        <v>470400</v>
      </c>
      <c r="C507" s="3">
        <v>475680</v>
      </c>
      <c r="D507" s="3">
        <v>480250</v>
      </c>
      <c r="E507" s="3">
        <v>484480</v>
      </c>
      <c r="F507" s="3">
        <v>489190</v>
      </c>
      <c r="G507" s="3"/>
      <c r="H507" s="3"/>
    </row>
    <row r="508" spans="1:8">
      <c r="A508" s="9">
        <v>24</v>
      </c>
      <c r="B508" s="3">
        <v>80170</v>
      </c>
      <c r="C508" s="3">
        <v>82370</v>
      </c>
      <c r="D508" s="3">
        <v>83300</v>
      </c>
      <c r="E508" s="3">
        <v>84400</v>
      </c>
      <c r="F508" s="3">
        <v>84900</v>
      </c>
      <c r="G508" s="3"/>
      <c r="H508" s="3"/>
    </row>
    <row r="509" spans="1:8">
      <c r="A509" s="9">
        <v>75</v>
      </c>
      <c r="B509" s="3">
        <v>81780</v>
      </c>
      <c r="C509" s="3">
        <v>82000</v>
      </c>
      <c r="D509" s="3">
        <v>82510</v>
      </c>
      <c r="E509" s="3">
        <v>83260</v>
      </c>
      <c r="F509" s="3">
        <v>83540</v>
      </c>
      <c r="G509" s="3"/>
      <c r="H509" s="3"/>
    </row>
    <row r="511" spans="1:8">
      <c r="A511" s="9" t="s">
        <v>373</v>
      </c>
      <c r="B511" s="3"/>
      <c r="C511" s="3"/>
      <c r="D511" s="3"/>
      <c r="E511" s="3"/>
      <c r="F511" s="3"/>
      <c r="G511" s="3"/>
      <c r="H511" s="3"/>
    </row>
    <row r="512" spans="1:8">
      <c r="A512" s="7" t="s">
        <v>0</v>
      </c>
      <c r="B512" s="2">
        <v>2010</v>
      </c>
      <c r="C512" s="2">
        <v>2011</v>
      </c>
      <c r="D512" s="2">
        <v>2012</v>
      </c>
      <c r="E512" s="2">
        <v>2013</v>
      </c>
      <c r="F512" s="2">
        <v>2014</v>
      </c>
      <c r="G512" s="2">
        <v>2015</v>
      </c>
      <c r="H512" s="2"/>
    </row>
    <row r="513" spans="1:8">
      <c r="A513" s="9" t="s">
        <v>344</v>
      </c>
      <c r="B513" s="3">
        <v>284940</v>
      </c>
      <c r="C513" s="3">
        <v>289430</v>
      </c>
      <c r="D513" s="3">
        <v>292370</v>
      </c>
      <c r="E513" s="3">
        <v>295990</v>
      </c>
      <c r="F513" s="3">
        <v>299650</v>
      </c>
      <c r="G513" s="3"/>
      <c r="H513" s="3"/>
    </row>
    <row r="514" spans="1:8">
      <c r="A514" s="9" t="s">
        <v>345</v>
      </c>
      <c r="B514" s="3">
        <v>235110</v>
      </c>
      <c r="C514" s="3">
        <v>237760</v>
      </c>
      <c r="D514" s="3">
        <v>240010</v>
      </c>
      <c r="E514" s="3">
        <v>242150</v>
      </c>
      <c r="F514" s="3">
        <v>244520</v>
      </c>
      <c r="G514" s="3"/>
      <c r="H514" s="3"/>
    </row>
    <row r="515" spans="1:8">
      <c r="A515" s="9">
        <v>24</v>
      </c>
      <c r="B515" s="3">
        <v>39870</v>
      </c>
      <c r="C515" s="3">
        <v>41050</v>
      </c>
      <c r="D515" s="3">
        <v>41510</v>
      </c>
      <c r="E515" s="3">
        <v>42240</v>
      </c>
      <c r="F515" s="3">
        <v>42580</v>
      </c>
      <c r="G515" s="3"/>
      <c r="H515" s="3"/>
    </row>
    <row r="516" spans="1:8">
      <c r="A516" s="9">
        <v>75</v>
      </c>
      <c r="B516" s="3">
        <v>32140</v>
      </c>
      <c r="C516" s="3">
        <v>32460</v>
      </c>
      <c r="D516" s="3">
        <v>32880</v>
      </c>
      <c r="E516" s="3">
        <v>33480</v>
      </c>
      <c r="F516" s="3">
        <v>33750</v>
      </c>
      <c r="G516" s="3"/>
      <c r="H516" s="3"/>
    </row>
    <row r="518" spans="1:8">
      <c r="A518" s="9" t="s">
        <v>374</v>
      </c>
      <c r="B518" s="3"/>
      <c r="C518" s="3"/>
      <c r="D518" s="3"/>
      <c r="E518" s="3"/>
      <c r="F518" s="3"/>
      <c r="G518" s="3"/>
      <c r="H518" s="3"/>
    </row>
    <row r="519" spans="1:8">
      <c r="A519" s="7" t="s">
        <v>0</v>
      </c>
      <c r="B519" s="2">
        <v>2010</v>
      </c>
      <c r="C519" s="2">
        <v>2011</v>
      </c>
      <c r="D519" s="2">
        <v>2012</v>
      </c>
      <c r="E519" s="2">
        <v>2013</v>
      </c>
      <c r="F519" s="2">
        <v>2014</v>
      </c>
      <c r="G519" s="2">
        <v>2015</v>
      </c>
      <c r="H519" s="2"/>
    </row>
    <row r="520" spans="1:8">
      <c r="A520" s="9" t="s">
        <v>344</v>
      </c>
      <c r="B520" s="3">
        <v>265800</v>
      </c>
      <c r="C520" s="3">
        <v>269570</v>
      </c>
      <c r="D520" s="3">
        <v>272520</v>
      </c>
      <c r="E520" s="3">
        <v>275790</v>
      </c>
      <c r="F520" s="3">
        <v>278770</v>
      </c>
      <c r="G520" s="3"/>
      <c r="H520" s="3"/>
    </row>
    <row r="521" spans="1:8">
      <c r="A521" s="9" t="s">
        <v>345</v>
      </c>
      <c r="B521" s="3">
        <v>235300</v>
      </c>
      <c r="C521" s="3">
        <v>237920</v>
      </c>
      <c r="D521" s="3">
        <v>240250</v>
      </c>
      <c r="E521" s="3">
        <v>242320</v>
      </c>
      <c r="F521" s="3">
        <v>244670</v>
      </c>
      <c r="G521" s="3"/>
      <c r="H521" s="3"/>
    </row>
    <row r="522" spans="1:8">
      <c r="A522" s="9">
        <v>24</v>
      </c>
      <c r="B522" s="3">
        <v>40310</v>
      </c>
      <c r="C522" s="3">
        <v>41310</v>
      </c>
      <c r="D522" s="3">
        <v>41790</v>
      </c>
      <c r="E522" s="3">
        <v>42160</v>
      </c>
      <c r="F522" s="3">
        <v>42320</v>
      </c>
      <c r="G522" s="3"/>
      <c r="H522" s="3"/>
    </row>
    <row r="523" spans="1:8">
      <c r="A523" s="9">
        <v>75</v>
      </c>
      <c r="B523" s="3">
        <v>49640</v>
      </c>
      <c r="C523" s="3">
        <v>49540</v>
      </c>
      <c r="D523" s="3">
        <v>49630</v>
      </c>
      <c r="E523" s="3">
        <v>49780</v>
      </c>
      <c r="F523" s="3">
        <v>49790</v>
      </c>
      <c r="G523" s="3"/>
      <c r="H523" s="3"/>
    </row>
    <row r="525" spans="1:8">
      <c r="A525" s="9" t="s">
        <v>375</v>
      </c>
      <c r="B525" s="3"/>
      <c r="C525" s="3"/>
      <c r="D525" s="3"/>
      <c r="E525" s="3"/>
      <c r="F525" s="3"/>
      <c r="G525" s="3"/>
      <c r="H525" s="3"/>
    </row>
    <row r="526" spans="1:8">
      <c r="A526" s="7" t="s">
        <v>0</v>
      </c>
      <c r="B526" s="2">
        <v>2010</v>
      </c>
      <c r="C526" s="2">
        <v>2011</v>
      </c>
      <c r="D526" s="2">
        <v>2012</v>
      </c>
      <c r="E526" s="2">
        <v>2013</v>
      </c>
      <c r="F526" s="2">
        <v>2014</v>
      </c>
      <c r="G526" s="2">
        <v>2015</v>
      </c>
      <c r="H526" s="2"/>
    </row>
    <row r="527" spans="1:8">
      <c r="A527" s="9" t="s">
        <v>344</v>
      </c>
      <c r="B527" s="3">
        <v>19140</v>
      </c>
      <c r="C527" s="3">
        <v>19860</v>
      </c>
      <c r="D527" s="3">
        <v>19850</v>
      </c>
      <c r="E527" s="3">
        <v>20200</v>
      </c>
      <c r="F527" s="3">
        <v>20880</v>
      </c>
      <c r="G527" s="3"/>
      <c r="H527" s="3"/>
    </row>
    <row r="528" spans="1:8">
      <c r="A528" s="9" t="s">
        <v>345</v>
      </c>
      <c r="B528" s="3">
        <v>190</v>
      </c>
      <c r="C528" s="3">
        <v>160</v>
      </c>
      <c r="D528" s="3">
        <v>240</v>
      </c>
      <c r="E528" s="3">
        <v>170</v>
      </c>
      <c r="F528" s="3">
        <v>150</v>
      </c>
      <c r="G528" s="3"/>
      <c r="H528" s="3"/>
    </row>
    <row r="529" spans="1:8">
      <c r="A529" s="9">
        <v>24</v>
      </c>
      <c r="B529" s="3">
        <v>440</v>
      </c>
      <c r="C529" s="3">
        <v>260</v>
      </c>
      <c r="D529" s="3">
        <v>280</v>
      </c>
      <c r="E529" s="3">
        <v>80</v>
      </c>
      <c r="F529" s="3">
        <v>260</v>
      </c>
      <c r="G529" s="3"/>
      <c r="H529" s="3"/>
    </row>
    <row r="530" spans="1:8">
      <c r="A530" s="9">
        <v>75</v>
      </c>
      <c r="B530" s="3">
        <v>17500</v>
      </c>
      <c r="C530" s="3">
        <v>17080</v>
      </c>
      <c r="D530" s="3">
        <v>16750</v>
      </c>
      <c r="E530" s="3">
        <v>16300</v>
      </c>
      <c r="F530" s="3">
        <v>16040</v>
      </c>
      <c r="G530" s="3"/>
      <c r="H530" s="3"/>
    </row>
    <row r="532" spans="1:8">
      <c r="A532" s="9" t="s">
        <v>376</v>
      </c>
      <c r="B532" s="3"/>
      <c r="C532" s="3"/>
      <c r="D532" s="3"/>
      <c r="E532" s="3"/>
      <c r="F532" s="3"/>
      <c r="G532" s="3"/>
      <c r="H532" s="3"/>
    </row>
    <row r="533" spans="1:8">
      <c r="A533" s="7" t="s">
        <v>0</v>
      </c>
      <c r="B533" s="2">
        <v>2010</v>
      </c>
      <c r="C533" s="2">
        <v>2011</v>
      </c>
      <c r="D533" s="2">
        <v>2012</v>
      </c>
      <c r="E533" s="2">
        <v>2013</v>
      </c>
      <c r="F533" s="2">
        <v>2014</v>
      </c>
      <c r="G533" s="2">
        <v>2015</v>
      </c>
      <c r="H533" s="2"/>
    </row>
    <row r="534" spans="1:8">
      <c r="A534" s="9" t="s">
        <v>344</v>
      </c>
      <c r="B534" s="3">
        <v>470660</v>
      </c>
      <c r="C534" s="3">
        <v>482110</v>
      </c>
      <c r="D534" s="3">
        <v>490370</v>
      </c>
      <c r="E534" s="3">
        <v>497220</v>
      </c>
      <c r="F534" s="3">
        <v>503860</v>
      </c>
      <c r="G534" s="3"/>
      <c r="H534" s="3"/>
    </row>
    <row r="535" spans="1:8">
      <c r="A535" s="9" t="s">
        <v>345</v>
      </c>
      <c r="B535" s="3">
        <v>407900</v>
      </c>
      <c r="C535" s="3">
        <v>413920</v>
      </c>
      <c r="D535" s="3">
        <v>420850</v>
      </c>
      <c r="E535" s="3">
        <v>426060</v>
      </c>
      <c r="F535" s="3">
        <v>430690</v>
      </c>
      <c r="G535" s="3"/>
      <c r="H535" s="3"/>
    </row>
    <row r="536" spans="1:8">
      <c r="A536" s="9">
        <v>24</v>
      </c>
      <c r="B536" s="3">
        <v>70800</v>
      </c>
      <c r="C536" s="3">
        <v>73080</v>
      </c>
      <c r="D536" s="3">
        <v>73540</v>
      </c>
      <c r="E536" s="3">
        <v>73300</v>
      </c>
      <c r="F536" s="3">
        <v>72080</v>
      </c>
      <c r="G536" s="3"/>
      <c r="H536" s="3"/>
    </row>
    <row r="537" spans="1:8">
      <c r="A537" s="9">
        <v>75</v>
      </c>
      <c r="B537" s="3">
        <v>75890</v>
      </c>
      <c r="C537" s="3">
        <v>75860</v>
      </c>
      <c r="D537" s="3">
        <v>75670</v>
      </c>
      <c r="E537" s="3">
        <v>75630</v>
      </c>
      <c r="F537" s="3">
        <v>75660</v>
      </c>
      <c r="G537" s="3"/>
      <c r="H537" s="3"/>
    </row>
    <row r="539" spans="1:8">
      <c r="A539" s="9" t="s">
        <v>377</v>
      </c>
      <c r="B539" s="3"/>
      <c r="C539" s="3"/>
      <c r="D539" s="3"/>
      <c r="E539" s="3"/>
      <c r="F539" s="3"/>
      <c r="G539" s="3"/>
      <c r="H539" s="3"/>
    </row>
    <row r="540" spans="1:8">
      <c r="A540" s="7" t="s">
        <v>0</v>
      </c>
      <c r="B540" s="2">
        <v>2010</v>
      </c>
      <c r="C540" s="2">
        <v>2011</v>
      </c>
      <c r="D540" s="2">
        <v>2012</v>
      </c>
      <c r="E540" s="2">
        <v>2013</v>
      </c>
      <c r="F540" s="2">
        <v>2014</v>
      </c>
      <c r="G540" s="2">
        <v>2015</v>
      </c>
      <c r="H540" s="2"/>
    </row>
    <row r="541" spans="1:8">
      <c r="A541" s="9" t="s">
        <v>344</v>
      </c>
      <c r="B541" s="3">
        <v>245090</v>
      </c>
      <c r="C541" s="3">
        <v>252110</v>
      </c>
      <c r="D541" s="3">
        <v>256190</v>
      </c>
      <c r="E541" s="3">
        <v>259890</v>
      </c>
      <c r="F541" s="3">
        <v>263010</v>
      </c>
      <c r="G541" s="3"/>
      <c r="H541" s="3"/>
    </row>
    <row r="542" spans="1:8">
      <c r="A542" s="9" t="s">
        <v>345</v>
      </c>
      <c r="B542" s="3">
        <v>203850</v>
      </c>
      <c r="C542" s="3">
        <v>206850</v>
      </c>
      <c r="D542" s="3">
        <v>210330</v>
      </c>
      <c r="E542" s="3">
        <v>212970</v>
      </c>
      <c r="F542" s="3">
        <v>215270</v>
      </c>
      <c r="G542" s="3"/>
      <c r="H542" s="3"/>
    </row>
    <row r="543" spans="1:8">
      <c r="A543" s="9">
        <v>24</v>
      </c>
      <c r="B543" s="3">
        <v>35270</v>
      </c>
      <c r="C543" s="3">
        <v>36680</v>
      </c>
      <c r="D543" s="3">
        <v>36910</v>
      </c>
      <c r="E543" s="3">
        <v>36850</v>
      </c>
      <c r="F543" s="3">
        <v>36120</v>
      </c>
      <c r="G543" s="3"/>
      <c r="H543" s="3"/>
    </row>
    <row r="544" spans="1:8">
      <c r="A544" s="9">
        <v>75</v>
      </c>
      <c r="B544" s="3">
        <v>30770</v>
      </c>
      <c r="C544" s="3">
        <v>30930</v>
      </c>
      <c r="D544" s="3">
        <v>30900</v>
      </c>
      <c r="E544" s="3">
        <v>31020</v>
      </c>
      <c r="F544" s="3">
        <v>31180</v>
      </c>
      <c r="G544" s="3"/>
      <c r="H544" s="3"/>
    </row>
    <row r="546" spans="1:8">
      <c r="A546" s="9" t="s">
        <v>378</v>
      </c>
      <c r="B546" s="3"/>
      <c r="C546" s="3"/>
      <c r="D546" s="3"/>
      <c r="E546" s="3"/>
      <c r="F546" s="3"/>
      <c r="G546" s="3"/>
      <c r="H546" s="3"/>
    </row>
    <row r="547" spans="1:8">
      <c r="A547" s="7" t="s">
        <v>0</v>
      </c>
      <c r="B547" s="2">
        <v>2010</v>
      </c>
      <c r="C547" s="2">
        <v>2011</v>
      </c>
      <c r="D547" s="2">
        <v>2012</v>
      </c>
      <c r="E547" s="2">
        <v>2013</v>
      </c>
      <c r="F547" s="2">
        <v>2014</v>
      </c>
      <c r="G547" s="2">
        <v>2015</v>
      </c>
      <c r="H547" s="2"/>
    </row>
    <row r="548" spans="1:8">
      <c r="A548" s="9" t="s">
        <v>344</v>
      </c>
      <c r="B548" s="3">
        <v>225570</v>
      </c>
      <c r="C548" s="3">
        <v>230000</v>
      </c>
      <c r="D548" s="3">
        <v>234190</v>
      </c>
      <c r="E548" s="3">
        <v>237330</v>
      </c>
      <c r="F548" s="3">
        <v>240850</v>
      </c>
      <c r="G548" s="3"/>
      <c r="H548" s="3"/>
    </row>
    <row r="549" spans="1:8">
      <c r="A549" s="9" t="s">
        <v>345</v>
      </c>
      <c r="B549" s="3">
        <v>204050</v>
      </c>
      <c r="C549" s="3">
        <v>207070</v>
      </c>
      <c r="D549" s="3">
        <v>210520</v>
      </c>
      <c r="E549" s="3">
        <v>213090</v>
      </c>
      <c r="F549" s="3">
        <v>215420</v>
      </c>
      <c r="G549" s="3"/>
      <c r="H549" s="3"/>
    </row>
    <row r="550" spans="1:8">
      <c r="A550" s="9">
        <v>24</v>
      </c>
      <c r="B550" s="3">
        <v>35530</v>
      </c>
      <c r="C550" s="3">
        <v>36400</v>
      </c>
      <c r="D550" s="3">
        <v>36630</v>
      </c>
      <c r="E550" s="3">
        <v>36450</v>
      </c>
      <c r="F550" s="3">
        <v>35960</v>
      </c>
      <c r="G550" s="3"/>
      <c r="H550" s="3"/>
    </row>
    <row r="551" spans="1:8">
      <c r="A551" s="9">
        <v>75</v>
      </c>
      <c r="B551" s="3">
        <v>45130</v>
      </c>
      <c r="C551" s="3">
        <v>44920</v>
      </c>
      <c r="D551" s="3">
        <v>44770</v>
      </c>
      <c r="E551" s="3">
        <v>44610</v>
      </c>
      <c r="F551" s="3">
        <v>44480</v>
      </c>
      <c r="G551" s="3"/>
      <c r="H551" s="3"/>
    </row>
    <row r="553" spans="1:8">
      <c r="A553" s="9" t="s">
        <v>379</v>
      </c>
      <c r="B553" s="3"/>
      <c r="C553" s="3"/>
      <c r="D553" s="3"/>
      <c r="E553" s="3"/>
      <c r="F553" s="3"/>
      <c r="G553" s="3"/>
      <c r="H553" s="3"/>
    </row>
    <row r="554" spans="1:8">
      <c r="A554" s="7" t="s">
        <v>0</v>
      </c>
      <c r="B554" s="2">
        <v>2010</v>
      </c>
      <c r="C554" s="2">
        <v>2011</v>
      </c>
      <c r="D554" s="2">
        <v>2012</v>
      </c>
      <c r="E554" s="2">
        <v>2013</v>
      </c>
      <c r="F554" s="2">
        <v>2014</v>
      </c>
      <c r="G554" s="2">
        <v>2015</v>
      </c>
      <c r="H554" s="2"/>
    </row>
    <row r="555" spans="1:8">
      <c r="A555" s="9" t="s">
        <v>344</v>
      </c>
      <c r="B555" s="3">
        <v>19520</v>
      </c>
      <c r="C555" s="3">
        <v>22110</v>
      </c>
      <c r="D555" s="3">
        <v>22000</v>
      </c>
      <c r="E555" s="3">
        <v>22560</v>
      </c>
      <c r="F555" s="3">
        <v>22160</v>
      </c>
      <c r="G555" s="3"/>
      <c r="H555" s="3"/>
    </row>
    <row r="556" spans="1:8">
      <c r="A556" s="9" t="s">
        <v>345</v>
      </c>
      <c r="B556" s="3">
        <v>200</v>
      </c>
      <c r="C556" s="3">
        <v>220</v>
      </c>
      <c r="D556" s="3">
        <v>190</v>
      </c>
      <c r="E556" s="3">
        <v>120</v>
      </c>
      <c r="F556" s="3">
        <v>150</v>
      </c>
      <c r="G556" s="3"/>
      <c r="H556" s="3"/>
    </row>
    <row r="557" spans="1:8">
      <c r="A557" s="9">
        <v>24</v>
      </c>
      <c r="B557" s="3">
        <v>260</v>
      </c>
      <c r="C557" s="3">
        <v>280</v>
      </c>
      <c r="D557" s="3">
        <v>280</v>
      </c>
      <c r="E557" s="3">
        <v>400</v>
      </c>
      <c r="F557" s="3">
        <v>160</v>
      </c>
      <c r="G557" s="3"/>
      <c r="H557" s="3"/>
    </row>
    <row r="558" spans="1:8">
      <c r="A558" s="9">
        <v>75</v>
      </c>
      <c r="B558" s="3">
        <v>14360</v>
      </c>
      <c r="C558" s="3">
        <v>13990</v>
      </c>
      <c r="D558" s="3">
        <v>13870</v>
      </c>
      <c r="E558" s="3">
        <v>13590</v>
      </c>
      <c r="F558" s="3">
        <v>13300</v>
      </c>
      <c r="G558" s="3"/>
      <c r="H558" s="3"/>
    </row>
    <row r="560" spans="1:8">
      <c r="A560" s="9" t="s">
        <v>380</v>
      </c>
      <c r="B560" s="3"/>
      <c r="C560" s="3"/>
      <c r="D560" s="3"/>
      <c r="E560" s="3"/>
      <c r="F560" s="3"/>
      <c r="G560" s="3"/>
      <c r="H560" s="3"/>
    </row>
    <row r="561" spans="1:8">
      <c r="A561" s="7" t="s">
        <v>0</v>
      </c>
      <c r="B561" s="2">
        <v>2010</v>
      </c>
      <c r="C561" s="2">
        <v>2011</v>
      </c>
      <c r="D561" s="2">
        <v>2012</v>
      </c>
      <c r="E561" s="2">
        <v>2013</v>
      </c>
      <c r="F561" s="2">
        <v>2014</v>
      </c>
      <c r="G561" s="2">
        <v>2015</v>
      </c>
      <c r="H561" s="2"/>
    </row>
    <row r="562" spans="1:8">
      <c r="A562" s="9" t="s">
        <v>344</v>
      </c>
      <c r="B562" s="3">
        <v>1598410</v>
      </c>
      <c r="C562" s="3">
        <v>1650840</v>
      </c>
      <c r="D562" s="3">
        <v>1717230</v>
      </c>
      <c r="E562" s="3">
        <v>1779830</v>
      </c>
      <c r="F562" s="3">
        <v>1822880</v>
      </c>
      <c r="G562" s="3"/>
      <c r="H562" s="3"/>
    </row>
    <row r="563" spans="1:8">
      <c r="A563" s="9" t="s">
        <v>345</v>
      </c>
      <c r="B563" s="3">
        <v>1474280</v>
      </c>
      <c r="C563" s="3">
        <v>1506390</v>
      </c>
      <c r="D563" s="3">
        <v>1549690</v>
      </c>
      <c r="E563" s="3">
        <v>1597430</v>
      </c>
      <c r="F563" s="3">
        <v>1637860</v>
      </c>
      <c r="G563" s="3"/>
      <c r="H563" s="3"/>
    </row>
    <row r="564" spans="1:8">
      <c r="A564" s="9">
        <v>24</v>
      </c>
      <c r="B564" s="3">
        <v>238430</v>
      </c>
      <c r="C564" s="3">
        <v>243780</v>
      </c>
      <c r="D564" s="3">
        <v>250680</v>
      </c>
      <c r="E564" s="3">
        <v>256790</v>
      </c>
      <c r="F564" s="3">
        <v>258290</v>
      </c>
      <c r="G564" s="3"/>
      <c r="H564" s="3"/>
    </row>
    <row r="565" spans="1:8">
      <c r="A565" s="9">
        <v>75</v>
      </c>
      <c r="B565" s="3">
        <v>177590</v>
      </c>
      <c r="C565" s="3">
        <v>182280</v>
      </c>
      <c r="D565" s="3">
        <v>186820</v>
      </c>
      <c r="E565" s="3">
        <v>191730</v>
      </c>
      <c r="F565" s="3">
        <v>196850</v>
      </c>
      <c r="G565" s="3"/>
      <c r="H565" s="3"/>
    </row>
    <row r="567" spans="1:8">
      <c r="A567" s="9" t="s">
        <v>381</v>
      </c>
      <c r="B567" s="3"/>
      <c r="C567" s="3"/>
      <c r="D567" s="3"/>
      <c r="E567" s="3"/>
      <c r="F567" s="3"/>
      <c r="G567" s="3"/>
      <c r="H567" s="3"/>
    </row>
    <row r="568" spans="1:8">
      <c r="A568" s="7" t="s">
        <v>0</v>
      </c>
      <c r="B568" s="2">
        <v>2010</v>
      </c>
      <c r="C568" s="2">
        <v>2011</v>
      </c>
      <c r="D568" s="2">
        <v>2012</v>
      </c>
      <c r="E568" s="2">
        <v>2013</v>
      </c>
      <c r="F568" s="2">
        <v>2014</v>
      </c>
      <c r="G568" s="2">
        <v>2015</v>
      </c>
      <c r="H568" s="2"/>
    </row>
    <row r="569" spans="1:8">
      <c r="A569" s="9" t="s">
        <v>344</v>
      </c>
      <c r="B569" s="3">
        <v>836860</v>
      </c>
      <c r="C569" s="3">
        <v>866500</v>
      </c>
      <c r="D569" s="3">
        <v>903600</v>
      </c>
      <c r="E569" s="3">
        <v>937970</v>
      </c>
      <c r="F569" s="3">
        <v>960740</v>
      </c>
      <c r="G569" s="3"/>
      <c r="H569" s="3"/>
    </row>
    <row r="570" spans="1:8">
      <c r="A570" s="9" t="s">
        <v>345</v>
      </c>
      <c r="B570" s="3">
        <v>737400</v>
      </c>
      <c r="C570" s="3">
        <v>753250</v>
      </c>
      <c r="D570" s="3">
        <v>775010</v>
      </c>
      <c r="E570" s="3">
        <v>798860</v>
      </c>
      <c r="F570" s="3">
        <v>819040</v>
      </c>
      <c r="G570" s="3"/>
      <c r="H570" s="3"/>
    </row>
    <row r="571" spans="1:8">
      <c r="A571" s="9">
        <v>24</v>
      </c>
      <c r="B571" s="3">
        <v>118030</v>
      </c>
      <c r="C571" s="3">
        <v>121460</v>
      </c>
      <c r="D571" s="3">
        <v>125430</v>
      </c>
      <c r="E571" s="3">
        <v>129500</v>
      </c>
      <c r="F571" s="3">
        <v>130690</v>
      </c>
      <c r="G571" s="3"/>
      <c r="H571" s="3"/>
    </row>
    <row r="572" spans="1:8">
      <c r="A572" s="9">
        <v>75</v>
      </c>
      <c r="B572" s="3">
        <v>74020</v>
      </c>
      <c r="C572" s="3">
        <v>76520</v>
      </c>
      <c r="D572" s="3">
        <v>78850</v>
      </c>
      <c r="E572" s="3">
        <v>81420</v>
      </c>
      <c r="F572" s="3">
        <v>84080</v>
      </c>
      <c r="G572" s="3"/>
      <c r="H572" s="3"/>
    </row>
    <row r="574" spans="1:8">
      <c r="A574" s="9" t="s">
        <v>382</v>
      </c>
      <c r="B574" s="3"/>
      <c r="C574" s="3"/>
      <c r="D574" s="3"/>
      <c r="E574" s="3"/>
      <c r="F574" s="3"/>
      <c r="G574" s="3"/>
      <c r="H574" s="3"/>
    </row>
    <row r="575" spans="1:8">
      <c r="A575" s="7" t="s">
        <v>0</v>
      </c>
      <c r="B575" s="2">
        <v>2010</v>
      </c>
      <c r="C575" s="2">
        <v>2011</v>
      </c>
      <c r="D575" s="2">
        <v>2012</v>
      </c>
      <c r="E575" s="2">
        <v>2013</v>
      </c>
      <c r="F575" s="2">
        <v>2014</v>
      </c>
      <c r="G575" s="2">
        <v>2015</v>
      </c>
      <c r="H575" s="2"/>
    </row>
    <row r="576" spans="1:8">
      <c r="A576" s="9" t="s">
        <v>344</v>
      </c>
      <c r="B576" s="3">
        <v>761550</v>
      </c>
      <c r="C576" s="3">
        <v>784330</v>
      </c>
      <c r="D576" s="3">
        <v>813630</v>
      </c>
      <c r="E576" s="3">
        <v>841870</v>
      </c>
      <c r="F576" s="3">
        <v>862140</v>
      </c>
      <c r="G576" s="3"/>
      <c r="H576" s="3"/>
    </row>
    <row r="577" spans="1:8">
      <c r="A577" s="9" t="s">
        <v>345</v>
      </c>
      <c r="B577" s="3">
        <v>736880</v>
      </c>
      <c r="C577" s="3">
        <v>753140</v>
      </c>
      <c r="D577" s="3">
        <v>774680</v>
      </c>
      <c r="E577" s="3">
        <v>798570</v>
      </c>
      <c r="F577" s="3">
        <v>818830</v>
      </c>
      <c r="G577" s="3"/>
      <c r="H577" s="3"/>
    </row>
    <row r="578" spans="1:8">
      <c r="A578" s="9">
        <v>24</v>
      </c>
      <c r="B578" s="3">
        <v>120390</v>
      </c>
      <c r="C578" s="3">
        <v>122330</v>
      </c>
      <c r="D578" s="3">
        <v>125260</v>
      </c>
      <c r="E578" s="3">
        <v>127300</v>
      </c>
      <c r="F578" s="3">
        <v>127600</v>
      </c>
      <c r="G578" s="3"/>
      <c r="H578" s="3"/>
    </row>
    <row r="579" spans="1:8">
      <c r="A579" s="9">
        <v>75</v>
      </c>
      <c r="B579" s="3">
        <v>103570</v>
      </c>
      <c r="C579" s="3">
        <v>105750</v>
      </c>
      <c r="D579" s="3">
        <v>107980</v>
      </c>
      <c r="E579" s="3">
        <v>110310</v>
      </c>
      <c r="F579" s="3">
        <v>112760</v>
      </c>
      <c r="G579" s="3"/>
      <c r="H579" s="3"/>
    </row>
    <row r="581" spans="1:8">
      <c r="A581" s="9" t="s">
        <v>384</v>
      </c>
      <c r="B581" s="3"/>
      <c r="C581" s="3"/>
      <c r="D581" s="3"/>
      <c r="E581" s="3"/>
      <c r="F581" s="3"/>
      <c r="G581" s="3"/>
      <c r="H581" s="3"/>
    </row>
    <row r="582" spans="1:8">
      <c r="A582" s="7" t="s">
        <v>0</v>
      </c>
      <c r="B582" s="2">
        <v>2010</v>
      </c>
      <c r="C582" s="2">
        <v>2011</v>
      </c>
      <c r="D582" s="2">
        <v>2012</v>
      </c>
      <c r="E582" s="2">
        <v>2013</v>
      </c>
      <c r="F582" s="2">
        <v>2014</v>
      </c>
      <c r="G582" s="2">
        <v>2015</v>
      </c>
      <c r="H582" s="2"/>
    </row>
    <row r="583" spans="1:8">
      <c r="A583" s="9" t="s">
        <v>344</v>
      </c>
      <c r="B583" s="3">
        <v>1797140</v>
      </c>
      <c r="C583" s="3">
        <v>1819880</v>
      </c>
      <c r="D583" s="3">
        <v>1828090</v>
      </c>
      <c r="E583" s="3">
        <v>1850260</v>
      </c>
      <c r="F583" s="3">
        <v>1876930</v>
      </c>
      <c r="G583" s="3"/>
      <c r="H583" s="3"/>
    </row>
    <row r="584" spans="1:8">
      <c r="A584" s="9" t="s">
        <v>345</v>
      </c>
      <c r="B584" s="3">
        <v>1798550</v>
      </c>
      <c r="C584" s="3">
        <v>1815700</v>
      </c>
      <c r="D584" s="3">
        <v>1828730</v>
      </c>
      <c r="E584" s="3">
        <v>1848920</v>
      </c>
      <c r="F584" s="3">
        <v>1873990</v>
      </c>
      <c r="G584" s="3"/>
      <c r="H584" s="3"/>
    </row>
    <row r="585" spans="1:8">
      <c r="A585" s="9">
        <v>24</v>
      </c>
      <c r="B585" s="3">
        <v>259920</v>
      </c>
      <c r="C585" s="3">
        <v>262680</v>
      </c>
      <c r="D585" s="3">
        <v>262130</v>
      </c>
      <c r="E585" s="3">
        <v>263380</v>
      </c>
      <c r="F585" s="3">
        <v>266350</v>
      </c>
      <c r="G585" s="3"/>
      <c r="H585" s="3"/>
    </row>
    <row r="586" spans="1:8">
      <c r="A586" s="9">
        <v>75</v>
      </c>
      <c r="B586" s="3">
        <v>301950</v>
      </c>
      <c r="C586" s="3">
        <v>309500</v>
      </c>
      <c r="D586" s="3">
        <v>316050</v>
      </c>
      <c r="E586" s="3">
        <v>325230</v>
      </c>
      <c r="F586" s="3">
        <v>333980</v>
      </c>
      <c r="G586" s="3"/>
      <c r="H586" s="3"/>
    </row>
    <row r="588" spans="1:8">
      <c r="A588" s="9" t="s">
        <v>385</v>
      </c>
      <c r="B588" s="3"/>
      <c r="C588" s="3"/>
      <c r="D588" s="3"/>
      <c r="E588" s="3"/>
      <c r="F588" s="3"/>
      <c r="G588" s="3"/>
      <c r="H588" s="3"/>
    </row>
    <row r="589" spans="1:8">
      <c r="A589" s="7" t="s">
        <v>0</v>
      </c>
      <c r="B589" s="2">
        <v>2010</v>
      </c>
      <c r="C589" s="2">
        <v>2011</v>
      </c>
      <c r="D589" s="2">
        <v>2012</v>
      </c>
      <c r="E589" s="2">
        <v>2013</v>
      </c>
      <c r="F589" s="2">
        <v>2014</v>
      </c>
      <c r="G589" s="2">
        <v>2015</v>
      </c>
      <c r="H589" s="2"/>
    </row>
    <row r="590" spans="1:8">
      <c r="A590" s="9" t="s">
        <v>344</v>
      </c>
      <c r="B590" s="3">
        <v>922980</v>
      </c>
      <c r="C590" s="3">
        <v>936530</v>
      </c>
      <c r="D590" s="3">
        <v>939740</v>
      </c>
      <c r="E590" s="3">
        <v>952080</v>
      </c>
      <c r="F590" s="3">
        <v>965750</v>
      </c>
      <c r="G590" s="3"/>
      <c r="H590" s="3"/>
    </row>
    <row r="591" spans="1:8">
      <c r="A591" s="9" t="s">
        <v>345</v>
      </c>
      <c r="B591" s="3">
        <v>899290</v>
      </c>
      <c r="C591" s="3">
        <v>907760</v>
      </c>
      <c r="D591" s="3">
        <v>914240</v>
      </c>
      <c r="E591" s="3">
        <v>924300</v>
      </c>
      <c r="F591" s="3">
        <v>936870</v>
      </c>
      <c r="G591" s="3"/>
      <c r="H591" s="3"/>
    </row>
    <row r="592" spans="1:8">
      <c r="A592" s="9">
        <v>24</v>
      </c>
      <c r="B592" s="3">
        <v>127840</v>
      </c>
      <c r="C592" s="3">
        <v>129840</v>
      </c>
      <c r="D592" s="3">
        <v>130120</v>
      </c>
      <c r="E592" s="3">
        <v>131190</v>
      </c>
      <c r="F592" s="3">
        <v>133130</v>
      </c>
      <c r="G592" s="3"/>
      <c r="H592" s="3"/>
    </row>
    <row r="593" spans="1:8">
      <c r="A593" s="9">
        <v>75</v>
      </c>
      <c r="B593" s="3">
        <v>129010</v>
      </c>
      <c r="C593" s="3">
        <v>132990</v>
      </c>
      <c r="D593" s="3">
        <v>136510</v>
      </c>
      <c r="E593" s="3">
        <v>141290</v>
      </c>
      <c r="F593" s="3">
        <v>146080</v>
      </c>
      <c r="G593" s="3"/>
      <c r="H593" s="3"/>
    </row>
    <row r="594" spans="1:8">
      <c r="A594" s="8"/>
    </row>
    <row r="595" spans="1:8">
      <c r="A595" s="9" t="s">
        <v>386</v>
      </c>
      <c r="B595" s="3"/>
      <c r="C595" s="3"/>
      <c r="D595" s="3"/>
      <c r="E595" s="3"/>
      <c r="F595" s="3"/>
      <c r="G595" s="3"/>
      <c r="H595" s="3"/>
    </row>
    <row r="596" spans="1:8">
      <c r="A596" s="7" t="s">
        <v>0</v>
      </c>
      <c r="B596" s="2">
        <v>2010</v>
      </c>
      <c r="C596" s="2">
        <v>2011</v>
      </c>
      <c r="D596" s="2">
        <v>2012</v>
      </c>
      <c r="E596" s="2">
        <v>2013</v>
      </c>
      <c r="F596" s="2">
        <v>2014</v>
      </c>
      <c r="G596" s="2">
        <v>2015</v>
      </c>
      <c r="H596" s="2"/>
    </row>
    <row r="597" spans="1:8">
      <c r="A597" s="9" t="s">
        <v>344</v>
      </c>
      <c r="B597" s="3">
        <v>874160</v>
      </c>
      <c r="C597" s="3">
        <v>883350</v>
      </c>
      <c r="D597" s="3">
        <v>888350</v>
      </c>
      <c r="E597" s="3">
        <v>898170</v>
      </c>
      <c r="F597" s="3">
        <v>911180</v>
      </c>
      <c r="G597" s="3"/>
      <c r="H597" s="3"/>
    </row>
    <row r="598" spans="1:8">
      <c r="A598" s="9" t="s">
        <v>345</v>
      </c>
      <c r="B598" s="3">
        <v>899260</v>
      </c>
      <c r="C598" s="3">
        <v>907940</v>
      </c>
      <c r="D598" s="3">
        <v>914490</v>
      </c>
      <c r="E598" s="3">
        <v>924620</v>
      </c>
      <c r="F598" s="3">
        <v>937120</v>
      </c>
      <c r="G598" s="3"/>
      <c r="H598" s="3"/>
    </row>
    <row r="599" spans="1:8">
      <c r="A599" s="9">
        <v>24</v>
      </c>
      <c r="B599" s="3">
        <v>132070</v>
      </c>
      <c r="C599" s="3">
        <v>132840</v>
      </c>
      <c r="D599" s="3">
        <v>132000</v>
      </c>
      <c r="E599" s="3">
        <v>132200</v>
      </c>
      <c r="F599" s="3">
        <v>133220</v>
      </c>
      <c r="G599" s="3"/>
      <c r="H599" s="3"/>
    </row>
    <row r="600" spans="1:8">
      <c r="A600" s="9">
        <v>75</v>
      </c>
      <c r="B600" s="3">
        <v>172940</v>
      </c>
      <c r="C600" s="3">
        <v>176510</v>
      </c>
      <c r="D600" s="3">
        <v>179540</v>
      </c>
      <c r="E600" s="3">
        <v>183950</v>
      </c>
      <c r="F600" s="3">
        <v>187900</v>
      </c>
      <c r="G600" s="3"/>
      <c r="H600" s="3"/>
    </row>
    <row r="602" spans="1:8">
      <c r="A602" s="9" t="s">
        <v>387</v>
      </c>
      <c r="B602" s="3"/>
      <c r="C602" s="3"/>
      <c r="D602" s="3"/>
      <c r="E602" s="3"/>
      <c r="F602" s="3"/>
      <c r="G602" s="3"/>
      <c r="H602" s="3"/>
    </row>
    <row r="603" spans="1:8">
      <c r="A603" s="7" t="s">
        <v>0</v>
      </c>
      <c r="B603" s="2">
        <v>2010</v>
      </c>
      <c r="C603" s="2">
        <v>2011</v>
      </c>
      <c r="D603" s="2">
        <v>2012</v>
      </c>
      <c r="E603" s="2">
        <v>2013</v>
      </c>
      <c r="F603" s="2">
        <v>2014</v>
      </c>
      <c r="G603" s="2">
        <v>2015</v>
      </c>
      <c r="H603" s="2"/>
    </row>
    <row r="604" spans="1:8">
      <c r="A604" s="9" t="s">
        <v>344</v>
      </c>
      <c r="B604" s="3">
        <v>48820</v>
      </c>
      <c r="C604" s="3">
        <v>53180</v>
      </c>
      <c r="D604" s="3">
        <v>51390</v>
      </c>
      <c r="E604" s="3">
        <v>53910</v>
      </c>
      <c r="F604" s="3">
        <v>54570</v>
      </c>
      <c r="G604" s="3"/>
      <c r="H604" s="3"/>
    </row>
    <row r="605" spans="1:8">
      <c r="A605" s="9" t="s">
        <v>345</v>
      </c>
      <c r="B605" s="3">
        <v>30</v>
      </c>
      <c r="C605" s="3">
        <v>180</v>
      </c>
      <c r="D605" s="3">
        <v>250</v>
      </c>
      <c r="E605" s="3">
        <v>320</v>
      </c>
      <c r="F605" s="3">
        <v>250</v>
      </c>
      <c r="G605" s="3"/>
      <c r="H605" s="3"/>
    </row>
    <row r="606" spans="1:8">
      <c r="A606" s="9">
        <v>24</v>
      </c>
      <c r="B606" s="3">
        <v>4230</v>
      </c>
      <c r="C606" s="3">
        <v>3000</v>
      </c>
      <c r="D606" s="3">
        <v>1880</v>
      </c>
      <c r="E606" s="3">
        <v>1010</v>
      </c>
      <c r="F606" s="3">
        <v>90</v>
      </c>
      <c r="G606" s="3"/>
      <c r="H606" s="3"/>
    </row>
    <row r="607" spans="1:8">
      <c r="A607" s="9">
        <v>75</v>
      </c>
      <c r="B607" s="3">
        <v>43930</v>
      </c>
      <c r="C607" s="3">
        <v>43520</v>
      </c>
      <c r="D607" s="3">
        <v>43030</v>
      </c>
      <c r="E607" s="3">
        <v>42660</v>
      </c>
      <c r="F607" s="3">
        <v>41820</v>
      </c>
      <c r="G607" s="3"/>
      <c r="H607" s="3"/>
    </row>
    <row r="609" spans="1:8">
      <c r="A609" s="9" t="s">
        <v>388</v>
      </c>
      <c r="B609" s="3"/>
      <c r="C609" s="3"/>
      <c r="D609" s="3"/>
      <c r="E609" s="3"/>
      <c r="F609" s="3"/>
      <c r="G609" s="3"/>
      <c r="H609" s="3"/>
    </row>
    <row r="610" spans="1:8">
      <c r="A610" s="7" t="s">
        <v>0</v>
      </c>
      <c r="B610" s="2">
        <v>2010</v>
      </c>
      <c r="C610" s="2">
        <v>2011</v>
      </c>
      <c r="D610" s="2">
        <v>2012</v>
      </c>
      <c r="E610" s="2">
        <v>2013</v>
      </c>
      <c r="F610" s="2">
        <v>2014</v>
      </c>
      <c r="G610" s="2">
        <v>2015</v>
      </c>
      <c r="H610" s="2"/>
    </row>
    <row r="611" spans="1:8">
      <c r="A611" s="9" t="s">
        <v>344</v>
      </c>
      <c r="B611" s="3">
        <v>16530</v>
      </c>
      <c r="C611" s="3">
        <v>16970</v>
      </c>
      <c r="D611" s="3">
        <v>17130</v>
      </c>
      <c r="E611" s="3">
        <v>17150</v>
      </c>
      <c r="F611" s="3">
        <v>17270</v>
      </c>
      <c r="G611" s="3"/>
      <c r="H611" s="3"/>
    </row>
    <row r="612" spans="1:8">
      <c r="A612" s="9" t="s">
        <v>345</v>
      </c>
      <c r="B612" s="3">
        <v>10170</v>
      </c>
      <c r="C612" s="3">
        <v>10480</v>
      </c>
      <c r="D612" s="3">
        <v>10470</v>
      </c>
      <c r="E612" s="3">
        <v>10630</v>
      </c>
      <c r="F612" s="3">
        <v>10810</v>
      </c>
      <c r="G612" s="3"/>
      <c r="H612" s="3"/>
    </row>
    <row r="613" spans="1:8">
      <c r="A613" s="9">
        <v>24</v>
      </c>
      <c r="B613" s="3">
        <v>2090</v>
      </c>
      <c r="C613" s="3">
        <v>2140</v>
      </c>
      <c r="D613" s="3">
        <v>2140</v>
      </c>
      <c r="E613" s="3">
        <v>2070</v>
      </c>
      <c r="F613" s="3">
        <v>2020</v>
      </c>
      <c r="G613" s="3"/>
      <c r="H613" s="3"/>
    </row>
    <row r="614" spans="1:8">
      <c r="A614" s="9">
        <v>75</v>
      </c>
      <c r="B614" s="3">
        <v>990</v>
      </c>
      <c r="C614" s="3">
        <v>1000</v>
      </c>
      <c r="D614" s="3">
        <v>1090</v>
      </c>
      <c r="E614" s="3">
        <v>1140</v>
      </c>
      <c r="F614" s="3">
        <v>1190</v>
      </c>
      <c r="G614" s="3"/>
      <c r="H614" s="3"/>
    </row>
    <row r="616" spans="1:8">
      <c r="A616" s="9" t="s">
        <v>389</v>
      </c>
      <c r="B616" s="3"/>
      <c r="C616" s="3"/>
      <c r="D616" s="3"/>
      <c r="E616" s="3"/>
      <c r="F616" s="3"/>
      <c r="G616" s="3"/>
      <c r="H616" s="3"/>
    </row>
    <row r="617" spans="1:8">
      <c r="A617" s="7" t="s">
        <v>0</v>
      </c>
      <c r="B617" s="2">
        <v>2010</v>
      </c>
      <c r="C617" s="2">
        <v>2011</v>
      </c>
      <c r="D617" s="2">
        <v>2012</v>
      </c>
      <c r="E617" s="2">
        <v>2013</v>
      </c>
      <c r="F617" s="2">
        <v>2014</v>
      </c>
      <c r="G617" s="2">
        <v>2015</v>
      </c>
      <c r="H617" s="2"/>
    </row>
    <row r="618" spans="1:8">
      <c r="A618" s="9" t="s">
        <v>344</v>
      </c>
      <c r="B618" s="3">
        <v>8560</v>
      </c>
      <c r="C618" s="3">
        <v>8810</v>
      </c>
      <c r="D618" s="3">
        <v>8880</v>
      </c>
      <c r="E618" s="3">
        <v>8820</v>
      </c>
      <c r="F618" s="3">
        <v>8930</v>
      </c>
      <c r="G618" s="3"/>
      <c r="H618" s="3"/>
    </row>
    <row r="619" spans="1:8">
      <c r="A619" s="9" t="s">
        <v>345</v>
      </c>
      <c r="B619" s="3">
        <v>5070</v>
      </c>
      <c r="C619" s="3">
        <v>5230</v>
      </c>
      <c r="D619" s="3">
        <v>5220</v>
      </c>
      <c r="E619" s="3">
        <v>5300</v>
      </c>
      <c r="F619" s="3">
        <v>5380</v>
      </c>
      <c r="G619" s="3"/>
      <c r="H619" s="3"/>
    </row>
    <row r="620" spans="1:8">
      <c r="A620" s="9">
        <v>24</v>
      </c>
      <c r="B620" s="3">
        <v>1060</v>
      </c>
      <c r="C620" s="3">
        <v>1110</v>
      </c>
      <c r="D620" s="3">
        <v>1120</v>
      </c>
      <c r="E620" s="3">
        <v>1080</v>
      </c>
      <c r="F620" s="3">
        <v>1030</v>
      </c>
      <c r="G620" s="3"/>
      <c r="H620" s="3"/>
    </row>
    <row r="621" spans="1:8">
      <c r="A621" s="9">
        <v>75</v>
      </c>
      <c r="B621" s="3">
        <v>460</v>
      </c>
      <c r="C621" s="3">
        <v>460</v>
      </c>
      <c r="D621" s="3">
        <v>510</v>
      </c>
      <c r="E621" s="3">
        <v>540</v>
      </c>
      <c r="F621" s="3">
        <v>570</v>
      </c>
      <c r="G621" s="3"/>
      <c r="H621" s="3"/>
    </row>
    <row r="623" spans="1:8">
      <c r="A623" s="9" t="s">
        <v>390</v>
      </c>
      <c r="B623" s="3"/>
      <c r="C623" s="3"/>
      <c r="D623" s="3"/>
      <c r="E623" s="3"/>
      <c r="F623" s="3"/>
      <c r="G623" s="3"/>
      <c r="H623" s="3"/>
    </row>
    <row r="624" spans="1:8">
      <c r="A624" s="7" t="s">
        <v>0</v>
      </c>
      <c r="B624" s="2">
        <v>2010</v>
      </c>
      <c r="C624" s="2">
        <v>2011</v>
      </c>
      <c r="D624" s="2">
        <v>2012</v>
      </c>
      <c r="E624" s="2">
        <v>2013</v>
      </c>
      <c r="F624" s="2">
        <v>2014</v>
      </c>
      <c r="G624" s="2">
        <v>2015</v>
      </c>
      <c r="H624" s="2"/>
    </row>
    <row r="625" spans="1:8">
      <c r="A625" s="9" t="s">
        <v>344</v>
      </c>
      <c r="B625" s="3">
        <v>7970</v>
      </c>
      <c r="C625" s="3">
        <v>8160</v>
      </c>
      <c r="D625" s="3">
        <v>8250</v>
      </c>
      <c r="E625" s="3">
        <v>8330</v>
      </c>
      <c r="F625" s="3">
        <v>8350</v>
      </c>
      <c r="G625" s="3"/>
      <c r="H625" s="3"/>
    </row>
    <row r="626" spans="1:8">
      <c r="A626" s="9" t="s">
        <v>345</v>
      </c>
      <c r="B626" s="3">
        <v>5090</v>
      </c>
      <c r="C626" s="3">
        <v>5250</v>
      </c>
      <c r="D626" s="3">
        <v>5240</v>
      </c>
      <c r="E626" s="3">
        <v>5330</v>
      </c>
      <c r="F626" s="3">
        <v>5430</v>
      </c>
      <c r="G626" s="3"/>
      <c r="H626" s="3"/>
    </row>
    <row r="627" spans="1:8">
      <c r="A627" s="9">
        <v>24</v>
      </c>
      <c r="B627" s="3">
        <v>1030</v>
      </c>
      <c r="C627" s="3">
        <v>1030</v>
      </c>
      <c r="D627" s="3">
        <v>1020</v>
      </c>
      <c r="E627" s="3">
        <v>1000</v>
      </c>
      <c r="F627" s="3">
        <v>990</v>
      </c>
      <c r="G627" s="3"/>
      <c r="H627" s="3"/>
    </row>
    <row r="628" spans="1:8">
      <c r="A628" s="9">
        <v>75</v>
      </c>
      <c r="B628" s="3">
        <v>530</v>
      </c>
      <c r="C628" s="3">
        <v>540</v>
      </c>
      <c r="D628" s="3">
        <v>570</v>
      </c>
      <c r="E628" s="3">
        <v>600</v>
      </c>
      <c r="F628" s="3">
        <v>620</v>
      </c>
      <c r="G628" s="3"/>
      <c r="H628" s="3"/>
    </row>
    <row r="630" spans="1:8">
      <c r="A630" s="9" t="s">
        <v>391</v>
      </c>
      <c r="B630" s="3"/>
      <c r="C630" s="3"/>
      <c r="D630" s="3"/>
      <c r="E630" s="3"/>
      <c r="F630" s="3"/>
      <c r="G630" s="3"/>
      <c r="H630" s="3"/>
    </row>
    <row r="631" spans="1:8">
      <c r="A631" s="7" t="s">
        <v>0</v>
      </c>
      <c r="B631" s="2">
        <v>2010</v>
      </c>
      <c r="C631" s="2">
        <v>2011</v>
      </c>
      <c r="D631" s="2">
        <v>2012</v>
      </c>
      <c r="E631" s="2">
        <v>2013</v>
      </c>
      <c r="F631" s="2">
        <v>2014</v>
      </c>
      <c r="G631" s="2">
        <v>2015</v>
      </c>
      <c r="H631" s="2"/>
    </row>
    <row r="632" spans="1:8">
      <c r="A632" s="9" t="s">
        <v>344</v>
      </c>
      <c r="B632" s="3">
        <v>590</v>
      </c>
      <c r="C632" s="3">
        <v>650</v>
      </c>
      <c r="D632" s="3">
        <v>630</v>
      </c>
      <c r="E632" s="3">
        <v>490</v>
      </c>
      <c r="F632" s="3">
        <v>580</v>
      </c>
      <c r="G632" s="3"/>
      <c r="H632" s="3"/>
    </row>
    <row r="633" spans="1:8">
      <c r="A633" s="9" t="s">
        <v>345</v>
      </c>
      <c r="B633" s="3">
        <v>20</v>
      </c>
      <c r="C633" s="3">
        <v>20</v>
      </c>
      <c r="D633" s="3">
        <v>20</v>
      </c>
      <c r="E633" s="3">
        <v>30</v>
      </c>
      <c r="F633" s="3">
        <v>50</v>
      </c>
      <c r="G633" s="3"/>
      <c r="H633" s="3"/>
    </row>
    <row r="634" spans="1:8">
      <c r="A634" s="9">
        <v>24</v>
      </c>
      <c r="B634" s="3">
        <v>30</v>
      </c>
      <c r="C634" s="3">
        <v>80</v>
      </c>
      <c r="D634" s="3">
        <v>100</v>
      </c>
      <c r="E634" s="3">
        <v>80</v>
      </c>
      <c r="F634" s="3">
        <v>40</v>
      </c>
      <c r="G634" s="3"/>
      <c r="H634" s="3"/>
    </row>
    <row r="635" spans="1:8">
      <c r="A635" s="9">
        <v>75</v>
      </c>
      <c r="B635" s="3">
        <v>70</v>
      </c>
      <c r="C635" s="3">
        <v>80</v>
      </c>
      <c r="D635" s="3">
        <v>60</v>
      </c>
      <c r="E635" s="3">
        <v>60</v>
      </c>
      <c r="F635" s="3">
        <v>50</v>
      </c>
      <c r="G635" s="3"/>
      <c r="H635" s="3"/>
    </row>
    <row r="637" spans="1:8">
      <c r="A637" s="9" t="s">
        <v>392</v>
      </c>
      <c r="B637" s="3"/>
      <c r="C637" s="3"/>
      <c r="D637" s="3"/>
      <c r="E637" s="3"/>
      <c r="F637" s="3"/>
      <c r="G637" s="3"/>
      <c r="H637" s="3"/>
    </row>
    <row r="638" spans="1:8">
      <c r="A638" s="7" t="s">
        <v>0</v>
      </c>
      <c r="B638" s="2">
        <v>2010</v>
      </c>
      <c r="C638" s="2">
        <v>2011</v>
      </c>
      <c r="D638" s="2">
        <v>2012</v>
      </c>
      <c r="E638" s="2">
        <v>2013</v>
      </c>
      <c r="F638" s="2">
        <v>2014</v>
      </c>
      <c r="G638" s="2">
        <v>2015</v>
      </c>
      <c r="H638" s="2"/>
    </row>
    <row r="639" spans="1:8">
      <c r="A639" s="9" t="s">
        <v>344</v>
      </c>
      <c r="B639" s="3">
        <v>22880</v>
      </c>
      <c r="C639" s="3">
        <v>22830</v>
      </c>
      <c r="D639" s="3">
        <v>22910</v>
      </c>
      <c r="E639" s="3">
        <v>22870</v>
      </c>
      <c r="F639" s="3">
        <v>23130</v>
      </c>
      <c r="G639" s="3"/>
      <c r="H639" s="3"/>
    </row>
    <row r="640" spans="1:8">
      <c r="A640" s="9" t="s">
        <v>345</v>
      </c>
      <c r="B640" s="3">
        <v>11130</v>
      </c>
      <c r="C640" s="3">
        <v>11110</v>
      </c>
      <c r="D640" s="3">
        <v>11150</v>
      </c>
      <c r="E640" s="3">
        <v>11180</v>
      </c>
      <c r="F640" s="3">
        <v>11250</v>
      </c>
      <c r="G640" s="3"/>
      <c r="H640" s="3"/>
    </row>
    <row r="641" spans="1:8">
      <c r="A641" s="9">
        <v>24</v>
      </c>
      <c r="B641" s="3">
        <v>37</v>
      </c>
      <c r="C641" s="3">
        <v>37</v>
      </c>
      <c r="D641" s="3">
        <v>37</v>
      </c>
      <c r="E641" s="3">
        <v>37</v>
      </c>
      <c r="F641" s="3">
        <v>37</v>
      </c>
      <c r="G641" s="3"/>
      <c r="H641" s="3"/>
    </row>
    <row r="642" spans="1:8">
      <c r="A642" s="9">
        <v>75</v>
      </c>
      <c r="B642" s="3">
        <v>810</v>
      </c>
      <c r="C642" s="3">
        <v>830</v>
      </c>
      <c r="D642" s="3">
        <v>870</v>
      </c>
      <c r="E642" s="3">
        <v>900</v>
      </c>
      <c r="F642" s="3">
        <v>940</v>
      </c>
      <c r="G642" s="3"/>
      <c r="H642" s="3"/>
    </row>
    <row r="644" spans="1:8">
      <c r="A644" s="9" t="s">
        <v>393</v>
      </c>
      <c r="B644" s="3"/>
      <c r="C644" s="3"/>
      <c r="D644" s="3"/>
      <c r="E644" s="3"/>
      <c r="F644" s="3"/>
      <c r="G644" s="3"/>
      <c r="H644" s="3"/>
    </row>
    <row r="645" spans="1:8">
      <c r="A645" s="7" t="s">
        <v>0</v>
      </c>
      <c r="B645" s="2">
        <v>2010</v>
      </c>
      <c r="C645" s="2">
        <v>2011</v>
      </c>
      <c r="D645" s="2">
        <v>2012</v>
      </c>
      <c r="E645" s="2">
        <v>2013</v>
      </c>
      <c r="F645" s="2">
        <v>2014</v>
      </c>
      <c r="G645" s="2">
        <v>2015</v>
      </c>
      <c r="H645" s="2"/>
    </row>
    <row r="646" spans="1:8">
      <c r="A646" s="9" t="s">
        <v>344</v>
      </c>
      <c r="B646" s="3">
        <v>11980</v>
      </c>
      <c r="C646" s="3">
        <v>11970</v>
      </c>
      <c r="D646" s="3">
        <v>11980</v>
      </c>
      <c r="E646" s="3">
        <v>11950</v>
      </c>
      <c r="F646" s="3">
        <v>12070</v>
      </c>
      <c r="G646" s="3"/>
      <c r="H646" s="3"/>
    </row>
    <row r="647" spans="1:8">
      <c r="A647" s="9" t="s">
        <v>345</v>
      </c>
      <c r="B647" s="3">
        <v>5550</v>
      </c>
      <c r="C647" s="3">
        <v>5540</v>
      </c>
      <c r="D647" s="3">
        <v>5550</v>
      </c>
      <c r="E647" s="3">
        <v>5570</v>
      </c>
      <c r="F647" s="3">
        <v>5590</v>
      </c>
      <c r="G647" s="3"/>
      <c r="H647" s="3"/>
    </row>
    <row r="648" spans="1:8">
      <c r="A648" s="9">
        <v>24</v>
      </c>
      <c r="B648" s="3">
        <v>1600</v>
      </c>
      <c r="C648" s="3">
        <v>1610</v>
      </c>
      <c r="D648" s="3">
        <v>1580</v>
      </c>
      <c r="E648" s="3">
        <v>1600</v>
      </c>
      <c r="F648" s="3">
        <v>1570</v>
      </c>
      <c r="G648" s="3"/>
      <c r="H648" s="3"/>
    </row>
    <row r="649" spans="1:8">
      <c r="A649" s="9">
        <v>75</v>
      </c>
      <c r="B649" s="3">
        <v>380</v>
      </c>
      <c r="C649" s="3">
        <v>390</v>
      </c>
      <c r="D649" s="3">
        <v>410</v>
      </c>
      <c r="E649" s="3">
        <v>430</v>
      </c>
      <c r="F649" s="3">
        <v>440</v>
      </c>
      <c r="G649" s="3"/>
      <c r="H649" s="3"/>
    </row>
    <row r="651" spans="1:8">
      <c r="A651" s="9" t="s">
        <v>394</v>
      </c>
      <c r="B651" s="3"/>
      <c r="C651" s="3"/>
      <c r="D651" s="3"/>
      <c r="E651" s="3"/>
      <c r="F651" s="3"/>
      <c r="G651" s="3"/>
      <c r="H651" s="3"/>
    </row>
    <row r="652" spans="1:8">
      <c r="A652" s="7" t="s">
        <v>0</v>
      </c>
      <c r="B652" s="2">
        <v>2010</v>
      </c>
      <c r="C652" s="2">
        <v>2011</v>
      </c>
      <c r="D652" s="2">
        <v>2012</v>
      </c>
      <c r="E652" s="2">
        <v>2013</v>
      </c>
      <c r="F652" s="2">
        <v>2014</v>
      </c>
      <c r="G652" s="2">
        <v>2015</v>
      </c>
      <c r="H652" s="2"/>
    </row>
    <row r="653" spans="1:8">
      <c r="A653" s="9" t="s">
        <v>344</v>
      </c>
      <c r="B653" s="3">
        <v>93</v>
      </c>
      <c r="C653" s="3">
        <v>93</v>
      </c>
      <c r="D653" s="3">
        <v>93</v>
      </c>
      <c r="E653" s="3">
        <v>93</v>
      </c>
      <c r="F653" s="3">
        <v>93</v>
      </c>
      <c r="G653" s="3"/>
      <c r="H653" s="3"/>
    </row>
    <row r="654" spans="1:8">
      <c r="A654" s="9" t="s">
        <v>345</v>
      </c>
      <c r="B654" s="3">
        <v>5580</v>
      </c>
      <c r="C654" s="3">
        <v>5560</v>
      </c>
      <c r="D654" s="3">
        <v>5600</v>
      </c>
      <c r="E654" s="3">
        <v>5610</v>
      </c>
      <c r="F654" s="3">
        <v>5660</v>
      </c>
      <c r="G654" s="3"/>
      <c r="H654" s="3"/>
    </row>
    <row r="655" spans="1:8">
      <c r="A655" s="9">
        <v>24</v>
      </c>
      <c r="B655" s="3">
        <v>109</v>
      </c>
      <c r="C655" s="3">
        <v>109</v>
      </c>
      <c r="D655" s="3">
        <v>109</v>
      </c>
      <c r="E655" s="3">
        <v>109</v>
      </c>
      <c r="F655" s="3">
        <v>109</v>
      </c>
      <c r="G655" s="3"/>
      <c r="H655" s="3"/>
    </row>
    <row r="656" spans="1:8">
      <c r="A656" s="9">
        <v>75</v>
      </c>
      <c r="B656" s="3">
        <v>430</v>
      </c>
      <c r="C656" s="3">
        <v>440</v>
      </c>
      <c r="D656" s="3">
        <v>460</v>
      </c>
      <c r="E656" s="3">
        <v>480</v>
      </c>
      <c r="F656" s="3">
        <v>500</v>
      </c>
      <c r="G656" s="3"/>
      <c r="H656" s="3"/>
    </row>
    <row r="658" spans="1:8">
      <c r="A658" s="9" t="s">
        <v>395</v>
      </c>
      <c r="B658" s="3"/>
      <c r="C658" s="3"/>
      <c r="D658" s="3"/>
      <c r="E658" s="3"/>
      <c r="F658" s="3"/>
      <c r="G658" s="3"/>
      <c r="H658" s="3"/>
    </row>
    <row r="659" spans="1:8">
      <c r="A659" s="7" t="s">
        <v>0</v>
      </c>
      <c r="B659" s="2">
        <v>2010</v>
      </c>
      <c r="C659" s="2">
        <v>2011</v>
      </c>
      <c r="D659" s="2">
        <v>2012</v>
      </c>
      <c r="E659" s="2">
        <v>2013</v>
      </c>
      <c r="F659" s="2">
        <v>2014</v>
      </c>
      <c r="G659" s="2">
        <v>2015</v>
      </c>
      <c r="H659" s="2"/>
    </row>
    <row r="660" spans="1:8">
      <c r="A660" s="9" t="s">
        <v>344</v>
      </c>
      <c r="B660" s="3">
        <v>125</v>
      </c>
      <c r="C660" s="3">
        <v>125</v>
      </c>
      <c r="D660" s="3">
        <v>125</v>
      </c>
      <c r="E660" s="3">
        <v>125</v>
      </c>
      <c r="F660" s="3">
        <v>125</v>
      </c>
      <c r="G660" s="3"/>
      <c r="H660" s="3"/>
    </row>
    <row r="661" spans="1:8">
      <c r="A661" s="9" t="s">
        <v>345</v>
      </c>
      <c r="B661" s="3">
        <v>30</v>
      </c>
      <c r="C661" s="3">
        <v>20</v>
      </c>
      <c r="D661" s="3">
        <v>50</v>
      </c>
      <c r="E661" s="3">
        <v>40</v>
      </c>
      <c r="F661" s="3">
        <v>70</v>
      </c>
      <c r="G661" s="3"/>
      <c r="H661" s="3"/>
    </row>
    <row r="662" spans="1:8">
      <c r="A662" s="9">
        <v>24</v>
      </c>
      <c r="B662" s="3">
        <v>0</v>
      </c>
      <c r="C662" s="3">
        <v>40</v>
      </c>
      <c r="D662" s="3">
        <v>40</v>
      </c>
      <c r="E662" s="3">
        <v>20</v>
      </c>
      <c r="F662" s="3">
        <v>40</v>
      </c>
      <c r="G662" s="3"/>
      <c r="H662" s="3"/>
    </row>
    <row r="663" spans="1:8">
      <c r="A663" s="9">
        <v>75</v>
      </c>
      <c r="B663" s="3">
        <v>50</v>
      </c>
      <c r="C663" s="3">
        <v>50</v>
      </c>
      <c r="D663" s="3">
        <v>50</v>
      </c>
      <c r="E663" s="3">
        <v>50</v>
      </c>
      <c r="F663" s="3">
        <v>60</v>
      </c>
      <c r="G663" s="3"/>
      <c r="H663" s="3"/>
    </row>
    <row r="665" spans="1:8">
      <c r="A665" s="9" t="s">
        <v>396</v>
      </c>
      <c r="B665" s="3"/>
      <c r="C665" s="3"/>
      <c r="D665" s="3"/>
      <c r="E665" s="3"/>
      <c r="F665" s="3"/>
      <c r="G665" s="3"/>
      <c r="H665" s="3"/>
    </row>
    <row r="666" spans="1:8">
      <c r="A666" s="7" t="s">
        <v>0</v>
      </c>
      <c r="B666" s="2">
        <v>2010</v>
      </c>
      <c r="C666" s="2">
        <v>2011</v>
      </c>
      <c r="D666" s="2">
        <v>2012</v>
      </c>
      <c r="E666" s="2">
        <v>2013</v>
      </c>
      <c r="F666" s="2">
        <v>2014</v>
      </c>
      <c r="G666" s="2">
        <v>2015</v>
      </c>
      <c r="H666" s="2"/>
    </row>
    <row r="667" spans="1:8">
      <c r="A667" s="9" t="s">
        <v>344</v>
      </c>
      <c r="B667" s="3">
        <v>20070</v>
      </c>
      <c r="C667" s="3">
        <v>20530</v>
      </c>
      <c r="D667" s="3">
        <v>20890</v>
      </c>
      <c r="E667" s="3">
        <v>21290</v>
      </c>
      <c r="F667" s="3">
        <v>21750</v>
      </c>
      <c r="G667" s="3"/>
      <c r="H667" s="3"/>
    </row>
    <row r="668" spans="1:8">
      <c r="A668" s="9" t="s">
        <v>345</v>
      </c>
      <c r="B668" s="3">
        <v>6100</v>
      </c>
      <c r="C668" s="3">
        <v>6130</v>
      </c>
      <c r="D668" s="3">
        <v>6250</v>
      </c>
      <c r="E668" s="3">
        <v>6220</v>
      </c>
      <c r="F668" s="3">
        <v>6210</v>
      </c>
      <c r="G668" s="3"/>
      <c r="H668" s="3"/>
    </row>
    <row r="669" spans="1:8">
      <c r="A669" s="9">
        <v>24</v>
      </c>
      <c r="B669" s="3">
        <v>2690</v>
      </c>
      <c r="C669" s="3">
        <v>2730</v>
      </c>
      <c r="D669" s="3">
        <v>2700</v>
      </c>
      <c r="E669" s="3">
        <v>2690</v>
      </c>
      <c r="F669" s="3">
        <v>2770</v>
      </c>
      <c r="G669" s="3"/>
      <c r="H669" s="3"/>
    </row>
    <row r="670" spans="1:8">
      <c r="A670" s="9">
        <v>75</v>
      </c>
      <c r="B670" s="3">
        <v>290</v>
      </c>
      <c r="C670" s="3">
        <v>290</v>
      </c>
      <c r="D670" s="3">
        <v>300</v>
      </c>
      <c r="E670" s="3">
        <v>320</v>
      </c>
      <c r="F670" s="3">
        <v>330</v>
      </c>
      <c r="G670" s="3"/>
      <c r="H670" s="3"/>
    </row>
    <row r="671" spans="1:8">
      <c r="A671" s="9"/>
      <c r="B671" s="3"/>
      <c r="C671" s="3"/>
      <c r="D671" s="3"/>
      <c r="E671" s="3"/>
      <c r="F671" s="3"/>
      <c r="G671" s="3"/>
      <c r="H671" s="3"/>
    </row>
    <row r="672" spans="1:8">
      <c r="A672" s="9" t="s">
        <v>397</v>
      </c>
      <c r="B672" s="3"/>
      <c r="C672" s="3"/>
      <c r="D672" s="3"/>
      <c r="E672" s="3"/>
      <c r="F672" s="3"/>
      <c r="G672" s="3"/>
      <c r="H672" s="3"/>
    </row>
    <row r="673" spans="1:8">
      <c r="A673" s="7" t="s">
        <v>0</v>
      </c>
      <c r="B673" s="2">
        <v>2010</v>
      </c>
      <c r="C673" s="2">
        <v>2011</v>
      </c>
      <c r="D673" s="2">
        <v>2012</v>
      </c>
      <c r="E673" s="2">
        <v>2013</v>
      </c>
      <c r="F673" s="2">
        <v>2014</v>
      </c>
      <c r="G673" s="2">
        <v>2015</v>
      </c>
      <c r="H673" s="2"/>
    </row>
    <row r="674" spans="1:8">
      <c r="A674" s="9" t="s">
        <v>344</v>
      </c>
      <c r="B674" s="3">
        <v>10310</v>
      </c>
      <c r="C674" s="3">
        <v>10510</v>
      </c>
      <c r="D674" s="3">
        <v>10640</v>
      </c>
      <c r="E674" s="3">
        <v>10890</v>
      </c>
      <c r="F674" s="3">
        <v>11120</v>
      </c>
      <c r="G674" s="3"/>
      <c r="H674" s="3"/>
    </row>
    <row r="675" spans="1:8">
      <c r="A675" s="9" t="s">
        <v>345</v>
      </c>
      <c r="B675" s="3">
        <v>3040</v>
      </c>
      <c r="C675" s="3">
        <v>3050</v>
      </c>
      <c r="D675" s="3">
        <v>3120</v>
      </c>
      <c r="E675" s="3">
        <v>3100</v>
      </c>
      <c r="F675" s="3">
        <v>3100</v>
      </c>
      <c r="G675" s="3"/>
      <c r="H675" s="3"/>
    </row>
    <row r="676" spans="1:8">
      <c r="A676" s="9">
        <v>24</v>
      </c>
      <c r="B676" s="3">
        <v>1330</v>
      </c>
      <c r="C676" s="3">
        <v>1320</v>
      </c>
      <c r="D676" s="3">
        <v>1320</v>
      </c>
      <c r="E676" s="3">
        <v>1300</v>
      </c>
      <c r="F676" s="3">
        <v>1360</v>
      </c>
      <c r="G676" s="3"/>
      <c r="H676" s="3"/>
    </row>
    <row r="677" spans="1:8">
      <c r="A677" s="9">
        <v>75</v>
      </c>
      <c r="B677" s="3">
        <v>120</v>
      </c>
      <c r="C677" s="3">
        <v>130</v>
      </c>
      <c r="D677" s="3">
        <v>140</v>
      </c>
      <c r="E677" s="3">
        <v>150</v>
      </c>
      <c r="F677" s="3">
        <v>150</v>
      </c>
      <c r="G677" s="3"/>
      <c r="H677" s="3"/>
    </row>
    <row r="679" spans="1:8">
      <c r="A679" s="9" t="s">
        <v>398</v>
      </c>
      <c r="B679" s="3"/>
      <c r="C679" s="3"/>
      <c r="D679" s="3"/>
      <c r="E679" s="3"/>
      <c r="F679" s="3"/>
      <c r="G679" s="3"/>
      <c r="H679" s="3"/>
    </row>
    <row r="680" spans="1:8">
      <c r="A680" s="7" t="s">
        <v>0</v>
      </c>
      <c r="B680" s="2">
        <v>2010</v>
      </c>
      <c r="C680" s="2">
        <v>2011</v>
      </c>
      <c r="D680" s="2">
        <v>2012</v>
      </c>
      <c r="E680" s="2">
        <v>2013</v>
      </c>
      <c r="F680" s="2">
        <v>2014</v>
      </c>
      <c r="G680" s="2">
        <v>2015</v>
      </c>
      <c r="H680" s="2"/>
    </row>
    <row r="681" spans="1:8">
      <c r="A681" s="9" t="s">
        <v>344</v>
      </c>
      <c r="B681" s="3">
        <v>9760</v>
      </c>
      <c r="C681" s="3">
        <v>10020</v>
      </c>
      <c r="D681" s="3">
        <v>10250</v>
      </c>
      <c r="E681" s="3">
        <v>10400</v>
      </c>
      <c r="F681" s="3">
        <v>10630</v>
      </c>
      <c r="G681" s="3"/>
      <c r="H681" s="3"/>
    </row>
    <row r="682" spans="1:8">
      <c r="A682" s="9" t="s">
        <v>345</v>
      </c>
      <c r="B682" s="3">
        <v>3060</v>
      </c>
      <c r="C682" s="3">
        <v>3080</v>
      </c>
      <c r="D682" s="3">
        <v>3130</v>
      </c>
      <c r="E682" s="3">
        <v>3120</v>
      </c>
      <c r="F682" s="3">
        <v>3120</v>
      </c>
      <c r="G682" s="3"/>
      <c r="H682" s="3"/>
    </row>
    <row r="683" spans="1:8">
      <c r="A683" s="9">
        <v>24</v>
      </c>
      <c r="B683" s="3">
        <v>1360</v>
      </c>
      <c r="C683" s="3">
        <v>1410</v>
      </c>
      <c r="D683" s="3">
        <v>1380</v>
      </c>
      <c r="E683" s="3">
        <v>1380</v>
      </c>
      <c r="F683" s="3">
        <v>1410</v>
      </c>
      <c r="G683" s="3"/>
      <c r="H683" s="3"/>
    </row>
    <row r="684" spans="1:8">
      <c r="A684" s="9">
        <v>75</v>
      </c>
      <c r="B684" s="3">
        <v>170</v>
      </c>
      <c r="C684" s="3">
        <v>160</v>
      </c>
      <c r="D684" s="3">
        <v>160</v>
      </c>
      <c r="E684" s="3">
        <v>170</v>
      </c>
      <c r="F684" s="3">
        <v>190</v>
      </c>
      <c r="G684" s="3"/>
      <c r="H684" s="3"/>
    </row>
    <row r="686" spans="1:8">
      <c r="A686" s="9" t="s">
        <v>399</v>
      </c>
      <c r="B686" s="3"/>
      <c r="C686" s="3"/>
      <c r="D686" s="3"/>
      <c r="E686" s="3"/>
      <c r="F686" s="3"/>
      <c r="G686" s="3"/>
    </row>
    <row r="687" spans="1:8">
      <c r="A687" s="7" t="s">
        <v>0</v>
      </c>
      <c r="B687" s="2">
        <v>2010</v>
      </c>
      <c r="C687" s="2">
        <v>2011</v>
      </c>
      <c r="D687" s="2">
        <v>2012</v>
      </c>
      <c r="E687" s="2">
        <v>2013</v>
      </c>
      <c r="F687" s="2">
        <v>2014</v>
      </c>
      <c r="G687" s="2">
        <v>2015</v>
      </c>
    </row>
    <row r="688" spans="1:8">
      <c r="A688" s="9" t="s">
        <v>344</v>
      </c>
      <c r="B688" s="3">
        <v>550</v>
      </c>
      <c r="C688" s="3">
        <v>490</v>
      </c>
      <c r="D688" s="3">
        <v>390</v>
      </c>
      <c r="E688" s="3">
        <v>490</v>
      </c>
      <c r="F688" s="3">
        <v>490</v>
      </c>
      <c r="G688" s="3"/>
    </row>
    <row r="689" spans="1:7">
      <c r="A689" s="9" t="s">
        <v>345</v>
      </c>
      <c r="B689" s="3">
        <v>20</v>
      </c>
      <c r="C689" s="3">
        <v>30</v>
      </c>
      <c r="D689" s="3">
        <v>10</v>
      </c>
      <c r="E689" s="3">
        <v>20</v>
      </c>
      <c r="F689" s="3">
        <v>20</v>
      </c>
      <c r="G689" s="3"/>
    </row>
    <row r="690" spans="1:7">
      <c r="A690" s="9">
        <v>24</v>
      </c>
      <c r="B690" s="3">
        <v>30</v>
      </c>
      <c r="C690" s="3">
        <v>90</v>
      </c>
      <c r="D690" s="3">
        <v>60</v>
      </c>
      <c r="E690" s="3">
        <v>80</v>
      </c>
      <c r="F690" s="3">
        <v>50</v>
      </c>
      <c r="G690" s="3"/>
    </row>
    <row r="691" spans="1:7">
      <c r="A691" s="9">
        <v>75</v>
      </c>
      <c r="B691" s="3">
        <v>50</v>
      </c>
      <c r="C691" s="3">
        <v>30</v>
      </c>
      <c r="D691" s="3">
        <v>20</v>
      </c>
      <c r="E691" s="3">
        <v>20</v>
      </c>
      <c r="F691" s="3">
        <v>40</v>
      </c>
      <c r="G691" s="3"/>
    </row>
  </sheetData>
  <mergeCells count="4">
    <mergeCell ref="A305:H305"/>
    <mergeCell ref="A306:H306"/>
    <mergeCell ref="A1:G1"/>
    <mergeCell ref="A2:G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workbookViewId="0">
      <selection sqref="A1:P1"/>
    </sheetView>
  </sheetViews>
  <sheetFormatPr baseColWidth="10" defaultRowHeight="15" x14ac:dyDescent="0"/>
  <sheetData>
    <row r="1" spans="1:23">
      <c r="A1" s="32" t="s">
        <v>413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3" spans="1:23">
      <c r="A3" s="2" t="s">
        <v>225</v>
      </c>
      <c r="B3" s="2" t="s">
        <v>0</v>
      </c>
      <c r="C3" s="2" t="s">
        <v>222</v>
      </c>
      <c r="D3" s="2" t="s">
        <v>228</v>
      </c>
      <c r="E3" s="2" t="s">
        <v>228</v>
      </c>
      <c r="F3" s="2" t="s">
        <v>233</v>
      </c>
      <c r="G3" s="2" t="s">
        <v>236</v>
      </c>
      <c r="H3" s="2" t="s">
        <v>239</v>
      </c>
      <c r="I3" s="2" t="s">
        <v>242</v>
      </c>
      <c r="J3" s="2" t="s">
        <v>245</v>
      </c>
      <c r="K3" s="2" t="s">
        <v>248</v>
      </c>
      <c r="L3" s="2" t="s">
        <v>251</v>
      </c>
      <c r="M3" s="2" t="s">
        <v>254</v>
      </c>
      <c r="N3" s="2" t="s">
        <v>257</v>
      </c>
      <c r="O3" s="2" t="s">
        <v>260</v>
      </c>
      <c r="P3" s="2" t="s">
        <v>263</v>
      </c>
      <c r="Q3" s="3"/>
      <c r="R3" s="3"/>
      <c r="S3" s="3"/>
      <c r="T3" s="3"/>
      <c r="U3" s="3"/>
      <c r="V3" s="3"/>
      <c r="W3" s="3"/>
    </row>
    <row r="4" spans="1:23">
      <c r="A4" s="2"/>
      <c r="B4" s="2">
        <v>2010</v>
      </c>
      <c r="C4" s="3">
        <v>34005274</v>
      </c>
      <c r="D4" s="3">
        <v>521972</v>
      </c>
      <c r="E4" s="3">
        <v>141678</v>
      </c>
      <c r="F4" s="3">
        <v>942073</v>
      </c>
      <c r="G4" s="3">
        <v>753044</v>
      </c>
      <c r="H4" s="3">
        <v>7929365</v>
      </c>
      <c r="I4" s="3">
        <v>13135063</v>
      </c>
      <c r="J4" s="3">
        <v>1220930</v>
      </c>
      <c r="K4" s="3">
        <v>1051425</v>
      </c>
      <c r="L4" s="3">
        <v>3732573</v>
      </c>
      <c r="M4" s="3">
        <v>4465924</v>
      </c>
      <c r="N4" s="3">
        <v>34596</v>
      </c>
      <c r="O4" s="3">
        <v>43278</v>
      </c>
      <c r="P4" s="3">
        <v>33353</v>
      </c>
      <c r="Q4" s="3"/>
      <c r="R4" s="3"/>
      <c r="S4" s="3"/>
      <c r="T4" s="3"/>
      <c r="U4" s="3"/>
      <c r="V4" s="3"/>
      <c r="W4" s="3"/>
    </row>
    <row r="5" spans="1:23">
      <c r="A5" s="2"/>
      <c r="B5" s="2">
        <v>2011</v>
      </c>
      <c r="C5" s="3">
        <v>34342780</v>
      </c>
      <c r="D5" s="3">
        <v>525037</v>
      </c>
      <c r="E5" s="3">
        <v>144038</v>
      </c>
      <c r="F5" s="3">
        <v>944469</v>
      </c>
      <c r="G5" s="3">
        <v>755530</v>
      </c>
      <c r="H5" s="3">
        <v>8007656</v>
      </c>
      <c r="I5" s="3">
        <v>13263544</v>
      </c>
      <c r="J5" s="3">
        <v>1233728</v>
      </c>
      <c r="K5" s="3">
        <v>1066349</v>
      </c>
      <c r="L5" s="3">
        <v>3790191</v>
      </c>
      <c r="M5" s="3">
        <v>4499139</v>
      </c>
      <c r="N5" s="3">
        <v>35402</v>
      </c>
      <c r="O5" s="3">
        <v>43501</v>
      </c>
      <c r="P5" s="3">
        <v>34196</v>
      </c>
      <c r="Q5" s="3"/>
      <c r="R5" s="3"/>
      <c r="S5" s="3"/>
      <c r="T5" s="3"/>
      <c r="U5" s="3"/>
      <c r="V5" s="3"/>
      <c r="W5" s="3"/>
    </row>
    <row r="6" spans="1:23">
      <c r="A6" s="2"/>
      <c r="B6" s="2">
        <v>2012</v>
      </c>
      <c r="C6" s="3">
        <v>34751476</v>
      </c>
      <c r="D6" s="3">
        <v>526895</v>
      </c>
      <c r="E6" s="3">
        <v>145259</v>
      </c>
      <c r="F6" s="3">
        <v>944835</v>
      </c>
      <c r="G6" s="3">
        <v>756836</v>
      </c>
      <c r="H6" s="3">
        <v>8084768</v>
      </c>
      <c r="I6" s="3">
        <v>13409558</v>
      </c>
      <c r="J6" s="3">
        <v>1250406</v>
      </c>
      <c r="K6" s="3">
        <v>1087223</v>
      </c>
      <c r="L6" s="3">
        <v>3888552</v>
      </c>
      <c r="M6" s="3">
        <v>4542578</v>
      </c>
      <c r="N6" s="3">
        <v>36189</v>
      </c>
      <c r="O6" s="3">
        <v>43648</v>
      </c>
      <c r="P6" s="3">
        <v>34729</v>
      </c>
      <c r="Q6" s="3"/>
      <c r="R6" s="3"/>
      <c r="S6" s="3"/>
      <c r="T6" s="3"/>
      <c r="U6" s="3"/>
      <c r="V6" s="3"/>
      <c r="W6" s="3"/>
    </row>
    <row r="7" spans="1:23">
      <c r="A7" s="2"/>
      <c r="B7" s="2">
        <v>2013</v>
      </c>
      <c r="C7" s="3">
        <v>35155499</v>
      </c>
      <c r="D7" s="3">
        <v>528017</v>
      </c>
      <c r="E7" s="3">
        <v>145441</v>
      </c>
      <c r="F7" s="3">
        <v>942991</v>
      </c>
      <c r="G7" s="3">
        <v>755718</v>
      </c>
      <c r="H7" s="3">
        <v>8154761</v>
      </c>
      <c r="I7" s="3">
        <v>13551004</v>
      </c>
      <c r="J7" s="3">
        <v>1265342</v>
      </c>
      <c r="K7" s="3">
        <v>1106122</v>
      </c>
      <c r="L7" s="3">
        <v>4007748</v>
      </c>
      <c r="M7" s="3">
        <v>4582607</v>
      </c>
      <c r="N7" s="3">
        <v>36429</v>
      </c>
      <c r="O7" s="3">
        <v>43884</v>
      </c>
      <c r="P7" s="3">
        <v>35435</v>
      </c>
      <c r="Q7" s="3"/>
      <c r="R7" s="3"/>
      <c r="S7" s="3"/>
      <c r="T7" s="3"/>
      <c r="U7" s="3"/>
      <c r="V7" s="3"/>
      <c r="W7" s="3"/>
    </row>
    <row r="8" spans="1:23">
      <c r="A8" s="2"/>
      <c r="B8" s="2">
        <v>2014</v>
      </c>
      <c r="C8" s="3">
        <v>35543658</v>
      </c>
      <c r="D8" s="3">
        <v>529069</v>
      </c>
      <c r="E8" s="3">
        <v>146162</v>
      </c>
      <c r="F8" s="3">
        <v>942387</v>
      </c>
      <c r="G8" s="3">
        <v>754578</v>
      </c>
      <c r="H8" s="3">
        <v>8214885</v>
      </c>
      <c r="I8" s="3">
        <v>13677687</v>
      </c>
      <c r="J8" s="3">
        <v>1280242</v>
      </c>
      <c r="K8" s="3">
        <v>1122283</v>
      </c>
      <c r="L8" s="3">
        <v>4120897</v>
      </c>
      <c r="M8" s="3">
        <v>4638415</v>
      </c>
      <c r="N8" s="3">
        <v>36990</v>
      </c>
      <c r="O8" s="3">
        <v>43980</v>
      </c>
      <c r="P8" s="3">
        <v>36083</v>
      </c>
      <c r="Q8" s="3"/>
      <c r="R8" s="3"/>
      <c r="S8" s="3"/>
      <c r="T8" s="3"/>
      <c r="U8" s="3"/>
      <c r="V8" s="3"/>
      <c r="W8" s="3"/>
    </row>
    <row r="9" spans="1:23">
      <c r="A9" s="2"/>
      <c r="B9" s="2">
        <v>2015</v>
      </c>
      <c r="C9" s="3">
        <v>35851774</v>
      </c>
      <c r="D9" s="3">
        <v>527756</v>
      </c>
      <c r="E9" s="3">
        <v>146447</v>
      </c>
      <c r="F9" s="3">
        <v>943002</v>
      </c>
      <c r="G9" s="3">
        <v>753871</v>
      </c>
      <c r="H9" s="3">
        <v>8263600</v>
      </c>
      <c r="I9" s="3">
        <v>13792052</v>
      </c>
      <c r="J9" s="3">
        <v>1293378</v>
      </c>
      <c r="K9" s="3">
        <v>1133637</v>
      </c>
      <c r="L9" s="3">
        <v>4196457</v>
      </c>
      <c r="M9" s="3">
        <v>4683139</v>
      </c>
      <c r="N9" s="3">
        <v>37428</v>
      </c>
      <c r="O9" s="3">
        <v>44088</v>
      </c>
      <c r="P9" s="3">
        <v>36919</v>
      </c>
      <c r="Q9" s="3"/>
      <c r="R9" s="3"/>
      <c r="S9" s="3"/>
      <c r="T9" s="3"/>
      <c r="U9" s="3"/>
      <c r="V9" s="3"/>
      <c r="W9" s="3"/>
    </row>
    <row r="10" spans="1:23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</row>
    <row r="11" spans="1:23">
      <c r="A11" s="2" t="s">
        <v>226</v>
      </c>
      <c r="B11" s="2" t="s">
        <v>0</v>
      </c>
      <c r="C11" s="2" t="s">
        <v>223</v>
      </c>
      <c r="D11" s="2" t="s">
        <v>229</v>
      </c>
      <c r="E11" s="2" t="s">
        <v>231</v>
      </c>
      <c r="F11" s="2" t="s">
        <v>234</v>
      </c>
      <c r="G11" s="2" t="s">
        <v>237</v>
      </c>
      <c r="H11" s="2" t="s">
        <v>240</v>
      </c>
      <c r="I11" s="2" t="s">
        <v>243</v>
      </c>
      <c r="J11" s="2" t="s">
        <v>246</v>
      </c>
      <c r="K11" s="2" t="s">
        <v>249</v>
      </c>
      <c r="L11" s="2" t="s">
        <v>252</v>
      </c>
      <c r="M11" s="2" t="s">
        <v>255</v>
      </c>
      <c r="N11" s="2" t="s">
        <v>258</v>
      </c>
      <c r="O11" s="2" t="s">
        <v>261</v>
      </c>
      <c r="P11" s="2" t="s">
        <v>264</v>
      </c>
      <c r="Q11" s="3"/>
      <c r="R11" s="3"/>
      <c r="S11" s="3"/>
      <c r="T11" s="3"/>
      <c r="U11" s="3"/>
      <c r="V11" s="3"/>
      <c r="W11" s="3"/>
    </row>
    <row r="12" spans="1:23">
      <c r="A12" s="2"/>
      <c r="B12" s="2">
        <v>2010</v>
      </c>
      <c r="C12" s="3">
        <v>16847961</v>
      </c>
      <c r="D12" s="3">
        <v>257449</v>
      </c>
      <c r="E12" s="3">
        <v>69204</v>
      </c>
      <c r="F12" s="3">
        <v>461366</v>
      </c>
      <c r="G12" s="3">
        <v>371833</v>
      </c>
      <c r="H12" s="3">
        <v>3931804</v>
      </c>
      <c r="I12" s="3">
        <v>6452783</v>
      </c>
      <c r="J12" s="3">
        <v>605597</v>
      </c>
      <c r="K12" s="3">
        <v>525716</v>
      </c>
      <c r="L12" s="3">
        <v>1895322</v>
      </c>
      <c r="M12" s="3">
        <v>2219698</v>
      </c>
      <c r="N12" s="3">
        <v>17680</v>
      </c>
      <c r="O12" s="3">
        <v>22249</v>
      </c>
      <c r="P12" s="3">
        <v>17260</v>
      </c>
      <c r="Q12" s="3"/>
      <c r="R12" s="3"/>
      <c r="S12" s="3"/>
      <c r="T12" s="3"/>
      <c r="U12" s="3"/>
      <c r="V12" s="3"/>
      <c r="W12" s="3"/>
    </row>
    <row r="13" spans="1:23">
      <c r="A13" s="2"/>
      <c r="B13" s="2">
        <v>2011</v>
      </c>
      <c r="C13" s="3">
        <v>17015959</v>
      </c>
      <c r="D13" s="3">
        <v>259070</v>
      </c>
      <c r="E13" s="3">
        <v>70319</v>
      </c>
      <c r="F13" s="3">
        <v>463457</v>
      </c>
      <c r="G13" s="3">
        <v>373667</v>
      </c>
      <c r="H13" s="3">
        <v>3973044</v>
      </c>
      <c r="I13" s="3">
        <v>6513580</v>
      </c>
      <c r="J13" s="3">
        <v>611948</v>
      </c>
      <c r="K13" s="3">
        <v>534856</v>
      </c>
      <c r="L13" s="3">
        <v>1921123</v>
      </c>
      <c r="M13" s="3">
        <v>2236756</v>
      </c>
      <c r="N13" s="3">
        <v>18095</v>
      </c>
      <c r="O13" s="3">
        <v>22337</v>
      </c>
      <c r="P13" s="3">
        <v>17707</v>
      </c>
      <c r="Q13" s="3"/>
      <c r="R13" s="3"/>
      <c r="S13" s="3"/>
      <c r="T13" s="3"/>
      <c r="U13" s="3"/>
      <c r="V13" s="3"/>
      <c r="W13" s="3"/>
    </row>
    <row r="14" spans="1:23">
      <c r="A14" s="2"/>
      <c r="B14" s="2">
        <v>2012</v>
      </c>
      <c r="C14" s="3">
        <v>17225198</v>
      </c>
      <c r="D14" s="3">
        <v>259885</v>
      </c>
      <c r="E14" s="3">
        <v>70873</v>
      </c>
      <c r="F14" s="3">
        <v>463616</v>
      </c>
      <c r="G14" s="3">
        <v>374408</v>
      </c>
      <c r="H14" s="3">
        <v>4013825</v>
      </c>
      <c r="I14" s="3">
        <v>6586653</v>
      </c>
      <c r="J14" s="3">
        <v>620685</v>
      </c>
      <c r="K14" s="3">
        <v>546589</v>
      </c>
      <c r="L14" s="3">
        <v>1972434</v>
      </c>
      <c r="M14" s="3">
        <v>2257406</v>
      </c>
      <c r="N14" s="3">
        <v>18480</v>
      </c>
      <c r="O14" s="3">
        <v>22372</v>
      </c>
      <c r="P14" s="3">
        <v>17972</v>
      </c>
      <c r="Q14" s="3"/>
      <c r="R14" s="3"/>
      <c r="S14" s="3"/>
      <c r="T14" s="3"/>
      <c r="U14" s="3"/>
      <c r="V14" s="3"/>
      <c r="W14" s="3"/>
    </row>
    <row r="15" spans="1:23">
      <c r="A15" s="2"/>
      <c r="B15" s="2">
        <v>2013</v>
      </c>
      <c r="C15" s="3">
        <v>17430739</v>
      </c>
      <c r="D15" s="3">
        <v>260340</v>
      </c>
      <c r="E15" s="3">
        <v>70794</v>
      </c>
      <c r="F15" s="3">
        <v>462446</v>
      </c>
      <c r="G15" s="3">
        <v>373587</v>
      </c>
      <c r="H15" s="3">
        <v>4050085</v>
      </c>
      <c r="I15" s="3">
        <v>6655826</v>
      </c>
      <c r="J15" s="3">
        <v>628587</v>
      </c>
      <c r="K15" s="3">
        <v>557064</v>
      </c>
      <c r="L15" s="3">
        <v>2036296</v>
      </c>
      <c r="M15" s="3">
        <v>2276341</v>
      </c>
      <c r="N15" s="3">
        <v>18584</v>
      </c>
      <c r="O15" s="3">
        <v>22447</v>
      </c>
      <c r="P15" s="3">
        <v>18342</v>
      </c>
      <c r="Q15" s="3"/>
      <c r="R15" s="3"/>
      <c r="S15" s="3"/>
      <c r="T15" s="3"/>
      <c r="U15" s="3"/>
      <c r="V15" s="3"/>
      <c r="W15" s="3"/>
    </row>
    <row r="16" spans="1:23">
      <c r="A16" s="2"/>
      <c r="B16" s="2">
        <v>2014</v>
      </c>
      <c r="C16" s="3">
        <v>17626354</v>
      </c>
      <c r="D16" s="3">
        <v>260922</v>
      </c>
      <c r="E16" s="3">
        <v>71250</v>
      </c>
      <c r="F16" s="3">
        <v>461872</v>
      </c>
      <c r="G16" s="3">
        <v>372960</v>
      </c>
      <c r="H16" s="3">
        <v>4080910</v>
      </c>
      <c r="I16" s="3">
        <v>6717164</v>
      </c>
      <c r="J16" s="3">
        <v>636233</v>
      </c>
      <c r="K16" s="3">
        <v>566040</v>
      </c>
      <c r="L16" s="3">
        <v>2095874</v>
      </c>
      <c r="M16" s="3">
        <v>2303157</v>
      </c>
      <c r="N16" s="3">
        <v>18838</v>
      </c>
      <c r="O16" s="3">
        <v>22469</v>
      </c>
      <c r="P16" s="3">
        <v>18665</v>
      </c>
      <c r="Q16" s="3"/>
      <c r="R16" s="3"/>
      <c r="S16" s="3"/>
      <c r="T16" s="3"/>
      <c r="U16" s="3"/>
      <c r="V16" s="3"/>
      <c r="W16" s="3"/>
    </row>
    <row r="17" spans="1:23">
      <c r="A17" s="2"/>
      <c r="B17" s="2">
        <v>2015</v>
      </c>
      <c r="C17" s="3">
        <v>17776719</v>
      </c>
      <c r="D17" s="3">
        <v>260141</v>
      </c>
      <c r="E17" s="3">
        <v>71333</v>
      </c>
      <c r="F17" s="3">
        <v>461969</v>
      </c>
      <c r="G17" s="3">
        <v>372394</v>
      </c>
      <c r="H17" s="3">
        <v>4105520</v>
      </c>
      <c r="I17" s="3">
        <v>6773616</v>
      </c>
      <c r="J17" s="3">
        <v>642866</v>
      </c>
      <c r="K17" s="3">
        <v>571807</v>
      </c>
      <c r="L17" s="3">
        <v>2132266</v>
      </c>
      <c r="M17" s="3">
        <v>2324277</v>
      </c>
      <c r="N17" s="3">
        <v>18985</v>
      </c>
      <c r="O17" s="3">
        <v>22499</v>
      </c>
      <c r="P17" s="3">
        <v>19046</v>
      </c>
      <c r="Q17" s="3"/>
      <c r="R17" s="3"/>
      <c r="S17" s="3"/>
      <c r="T17" s="3"/>
      <c r="U17" s="3"/>
      <c r="V17" s="3"/>
      <c r="W17" s="3"/>
    </row>
    <row r="18" spans="1:23">
      <c r="A18" s="2"/>
      <c r="B18" s="3"/>
      <c r="C18" s="2"/>
      <c r="D18" s="3"/>
      <c r="E18" s="2"/>
      <c r="F18" s="3"/>
      <c r="G18" s="2"/>
      <c r="H18" s="2"/>
      <c r="I18" s="2"/>
      <c r="J18" s="2"/>
      <c r="K18" s="3"/>
      <c r="L18" s="3"/>
      <c r="M18" s="3"/>
      <c r="N18" s="2"/>
      <c r="O18" s="2"/>
      <c r="P18" s="2"/>
      <c r="Q18" s="3"/>
      <c r="R18" s="3"/>
      <c r="S18" s="3"/>
      <c r="T18" s="3"/>
      <c r="U18" s="3"/>
      <c r="V18" s="3"/>
      <c r="W18" s="3"/>
    </row>
    <row r="19" spans="1:23">
      <c r="A19" s="2" t="s">
        <v>227</v>
      </c>
      <c r="B19" s="2" t="s">
        <v>0</v>
      </c>
      <c r="C19" s="2" t="s">
        <v>224</v>
      </c>
      <c r="D19" s="2" t="s">
        <v>230</v>
      </c>
      <c r="E19" s="2" t="s">
        <v>232</v>
      </c>
      <c r="F19" s="2" t="s">
        <v>235</v>
      </c>
      <c r="G19" s="2" t="s">
        <v>238</v>
      </c>
      <c r="H19" s="2" t="s">
        <v>241</v>
      </c>
      <c r="I19" s="2" t="s">
        <v>244</v>
      </c>
      <c r="J19" s="2" t="s">
        <v>247</v>
      </c>
      <c r="K19" s="2" t="s">
        <v>250</v>
      </c>
      <c r="L19" s="2" t="s">
        <v>253</v>
      </c>
      <c r="M19" s="2" t="s">
        <v>256</v>
      </c>
      <c r="N19" s="2" t="s">
        <v>259</v>
      </c>
      <c r="O19" s="2" t="s">
        <v>262</v>
      </c>
      <c r="P19" s="2" t="s">
        <v>265</v>
      </c>
      <c r="Q19" s="3"/>
      <c r="R19" s="3"/>
      <c r="S19" s="3"/>
      <c r="T19" s="3"/>
      <c r="U19" s="3"/>
      <c r="V19" s="3"/>
      <c r="W19" s="3"/>
    </row>
    <row r="20" spans="1:23">
      <c r="A20" s="2"/>
      <c r="B20" s="2">
        <v>2010</v>
      </c>
      <c r="C20" s="3">
        <v>17157313</v>
      </c>
      <c r="D20" s="3">
        <v>264523</v>
      </c>
      <c r="E20" s="3">
        <v>72474</v>
      </c>
      <c r="F20" s="3">
        <v>480707</v>
      </c>
      <c r="G20" s="3">
        <v>381211</v>
      </c>
      <c r="H20" s="3">
        <v>3997561</v>
      </c>
      <c r="I20" s="3">
        <v>6682280</v>
      </c>
      <c r="J20" s="3">
        <v>615333</v>
      </c>
      <c r="K20" s="3">
        <v>525709</v>
      </c>
      <c r="L20" s="3">
        <v>1837251</v>
      </c>
      <c r="M20" s="3">
        <v>2246226</v>
      </c>
      <c r="N20" s="3">
        <v>16916</v>
      </c>
      <c r="O20" s="3">
        <v>21029</v>
      </c>
      <c r="P20" s="3">
        <v>16093</v>
      </c>
      <c r="Q20" s="3"/>
      <c r="R20" s="3"/>
      <c r="S20" s="3"/>
      <c r="T20" s="3"/>
      <c r="U20" s="3"/>
      <c r="V20" s="3"/>
      <c r="W20" s="3"/>
    </row>
    <row r="21" spans="1:23">
      <c r="A21" s="2"/>
      <c r="B21" s="2">
        <v>2011</v>
      </c>
      <c r="C21" s="3">
        <v>17326821</v>
      </c>
      <c r="D21" s="3">
        <v>265967</v>
      </c>
      <c r="E21" s="3">
        <v>73719</v>
      </c>
      <c r="F21" s="3">
        <v>481012</v>
      </c>
      <c r="G21" s="3">
        <v>381863</v>
      </c>
      <c r="H21" s="3">
        <v>4034612</v>
      </c>
      <c r="I21" s="3">
        <v>6749964</v>
      </c>
      <c r="J21" s="3">
        <v>621780</v>
      </c>
      <c r="K21" s="3">
        <v>531493</v>
      </c>
      <c r="L21" s="3">
        <v>1869068</v>
      </c>
      <c r="M21" s="3">
        <v>2262383</v>
      </c>
      <c r="N21" s="3">
        <v>17307</v>
      </c>
      <c r="O21" s="3">
        <v>21164</v>
      </c>
      <c r="P21" s="3">
        <v>16489</v>
      </c>
      <c r="Q21" s="3"/>
      <c r="R21" s="3"/>
      <c r="S21" s="3"/>
      <c r="T21" s="3"/>
      <c r="U21" s="3"/>
      <c r="V21" s="3"/>
      <c r="W21" s="3"/>
    </row>
    <row r="22" spans="1:23">
      <c r="A22" s="2"/>
      <c r="B22" s="2">
        <v>2012</v>
      </c>
      <c r="C22" s="3">
        <v>17526278</v>
      </c>
      <c r="D22" s="3">
        <v>267010</v>
      </c>
      <c r="E22" s="3">
        <v>74386</v>
      </c>
      <c r="F22" s="3">
        <v>481219</v>
      </c>
      <c r="G22" s="3">
        <v>382428</v>
      </c>
      <c r="H22" s="3">
        <v>4070943</v>
      </c>
      <c r="I22" s="3">
        <v>6822905</v>
      </c>
      <c r="J22" s="3">
        <v>629721</v>
      </c>
      <c r="K22" s="3">
        <v>540634</v>
      </c>
      <c r="L22" s="3">
        <v>1916118</v>
      </c>
      <c r="M22" s="3">
        <v>2285172</v>
      </c>
      <c r="N22" s="3">
        <v>17709</v>
      </c>
      <c r="O22" s="3">
        <v>21276</v>
      </c>
      <c r="P22" s="3">
        <v>16757</v>
      </c>
      <c r="Q22" s="3"/>
      <c r="R22" s="3"/>
      <c r="S22" s="3"/>
      <c r="T22" s="3"/>
      <c r="U22" s="3"/>
      <c r="V22" s="3"/>
      <c r="W22" s="3"/>
    </row>
    <row r="23" spans="1:23">
      <c r="A23" s="2"/>
      <c r="B23" s="2">
        <v>2013</v>
      </c>
      <c r="C23" s="3">
        <v>17724760</v>
      </c>
      <c r="D23" s="3">
        <v>267677</v>
      </c>
      <c r="E23" s="3">
        <v>74647</v>
      </c>
      <c r="F23" s="3">
        <v>480545</v>
      </c>
      <c r="G23" s="3">
        <v>382131</v>
      </c>
      <c r="H23" s="3">
        <v>4104676</v>
      </c>
      <c r="I23" s="3">
        <v>6895178</v>
      </c>
      <c r="J23" s="3">
        <v>636755</v>
      </c>
      <c r="K23" s="3">
        <v>549058</v>
      </c>
      <c r="L23" s="3">
        <v>1971452</v>
      </c>
      <c r="M23" s="3">
        <v>2306266</v>
      </c>
      <c r="N23" s="3">
        <v>17845</v>
      </c>
      <c r="O23" s="3">
        <v>21437</v>
      </c>
      <c r="P23" s="3">
        <v>17093</v>
      </c>
      <c r="Q23" s="3"/>
      <c r="R23" s="3"/>
      <c r="S23" s="3"/>
      <c r="T23" s="3"/>
      <c r="U23" s="3"/>
      <c r="V23" s="3"/>
      <c r="W23" s="3"/>
    </row>
    <row r="24" spans="1:23">
      <c r="A24" s="2"/>
      <c r="B24" s="2">
        <v>2014</v>
      </c>
      <c r="C24" s="3">
        <v>17917304</v>
      </c>
      <c r="D24" s="3">
        <v>268147</v>
      </c>
      <c r="E24" s="3">
        <v>74912</v>
      </c>
      <c r="F24" s="3">
        <v>480515</v>
      </c>
      <c r="G24" s="3">
        <v>381618</v>
      </c>
      <c r="H24" s="3">
        <v>4133975</v>
      </c>
      <c r="I24" s="3">
        <v>6960523</v>
      </c>
      <c r="J24" s="3">
        <v>644009</v>
      </c>
      <c r="K24" s="3">
        <v>556243</v>
      </c>
      <c r="L24" s="3">
        <v>2025023</v>
      </c>
      <c r="M24" s="3">
        <v>2335258</v>
      </c>
      <c r="N24" s="3">
        <v>18152</v>
      </c>
      <c r="O24" s="3">
        <v>21511</v>
      </c>
      <c r="P24" s="3">
        <v>17418</v>
      </c>
      <c r="Q24" s="3"/>
      <c r="R24" s="3"/>
      <c r="S24" s="3"/>
      <c r="T24" s="3"/>
      <c r="U24" s="3"/>
      <c r="V24" s="3"/>
      <c r="W24" s="3"/>
    </row>
    <row r="25" spans="1:23">
      <c r="A25" s="2"/>
      <c r="B25" s="2">
        <v>2015</v>
      </c>
      <c r="C25" s="3">
        <v>18075055</v>
      </c>
      <c r="D25" s="3">
        <v>267615</v>
      </c>
      <c r="E25" s="3">
        <v>75114</v>
      </c>
      <c r="F25" s="3">
        <v>481033</v>
      </c>
      <c r="G25" s="3">
        <v>381477</v>
      </c>
      <c r="H25" s="3">
        <v>4158080</v>
      </c>
      <c r="I25" s="3">
        <v>7018436</v>
      </c>
      <c r="J25" s="3">
        <v>650512</v>
      </c>
      <c r="K25" s="3">
        <v>561830</v>
      </c>
      <c r="L25" s="3">
        <v>2064191</v>
      </c>
      <c r="M25" s="3">
        <v>2358862</v>
      </c>
      <c r="N25" s="3">
        <v>18443</v>
      </c>
      <c r="O25" s="3">
        <v>21589</v>
      </c>
      <c r="P25" s="3">
        <v>17873</v>
      </c>
      <c r="Q25" s="3"/>
      <c r="R25" s="3"/>
      <c r="S25" s="3"/>
      <c r="T25" s="3"/>
      <c r="U25" s="3"/>
      <c r="V25" s="3"/>
      <c r="W25" s="3"/>
    </row>
    <row r="26" spans="1:23">
      <c r="A26" s="2"/>
      <c r="B26" s="3"/>
      <c r="C26" s="2"/>
      <c r="D26" s="3"/>
      <c r="E26" s="2"/>
      <c r="F26" s="2"/>
      <c r="G26" s="2"/>
      <c r="H26" s="2"/>
      <c r="I26" s="2"/>
      <c r="J26" s="3"/>
      <c r="K26" s="3"/>
      <c r="L26" s="3"/>
      <c r="M26" s="3"/>
      <c r="N26" s="2"/>
      <c r="O26" s="2"/>
      <c r="P26" s="3"/>
      <c r="Q26" s="3"/>
      <c r="R26" s="3"/>
      <c r="S26" s="3"/>
      <c r="T26" s="3"/>
      <c r="U26" s="3"/>
      <c r="V26" s="3"/>
      <c r="W26" s="3"/>
    </row>
    <row r="27" spans="1:23">
      <c r="A27" s="2" t="s">
        <v>404</v>
      </c>
      <c r="B27" s="2" t="s">
        <v>0</v>
      </c>
      <c r="C27" s="2" t="s">
        <v>266</v>
      </c>
      <c r="D27" s="2" t="s">
        <v>267</v>
      </c>
      <c r="E27" s="2" t="s">
        <v>268</v>
      </c>
      <c r="F27" s="2" t="s">
        <v>269</v>
      </c>
      <c r="G27" s="2" t="s">
        <v>270</v>
      </c>
      <c r="H27" s="2" t="s">
        <v>271</v>
      </c>
      <c r="I27" s="2" t="s">
        <v>272</v>
      </c>
      <c r="J27" s="2" t="s">
        <v>273</v>
      </c>
      <c r="K27" s="2" t="s">
        <v>274</v>
      </c>
      <c r="L27" s="2" t="s">
        <v>275</v>
      </c>
      <c r="M27" s="2" t="s">
        <v>276</v>
      </c>
      <c r="N27" s="2" t="s">
        <v>277</v>
      </c>
      <c r="O27" s="2" t="s">
        <v>278</v>
      </c>
      <c r="P27" s="2" t="s">
        <v>279</v>
      </c>
      <c r="Q27" s="3"/>
      <c r="R27" s="3"/>
      <c r="S27" s="3"/>
      <c r="T27" s="3"/>
      <c r="U27" s="3"/>
      <c r="V27" s="3"/>
      <c r="W27" s="3"/>
    </row>
    <row r="28" spans="1:23">
      <c r="A28" s="2"/>
      <c r="B28" s="2">
        <v>2010</v>
      </c>
      <c r="C28" s="3">
        <v>309352</v>
      </c>
      <c r="D28" s="3">
        <v>7074</v>
      </c>
      <c r="E28" s="3">
        <v>3270</v>
      </c>
      <c r="F28" s="3">
        <v>19341</v>
      </c>
      <c r="G28" s="3">
        <v>9378</v>
      </c>
      <c r="H28" s="3">
        <v>65757</v>
      </c>
      <c r="I28" s="3">
        <v>229497</v>
      </c>
      <c r="J28" s="3">
        <v>9736</v>
      </c>
      <c r="K28" s="3">
        <v>7</v>
      </c>
      <c r="L28" s="3">
        <v>58071</v>
      </c>
      <c r="M28" s="3">
        <v>26528</v>
      </c>
      <c r="N28" s="3">
        <v>764</v>
      </c>
      <c r="O28" s="3">
        <v>1220</v>
      </c>
      <c r="P28" s="3">
        <v>1167</v>
      </c>
      <c r="Q28" s="3"/>
      <c r="R28" s="3"/>
      <c r="S28" s="3"/>
      <c r="T28" s="3"/>
      <c r="U28" s="3"/>
      <c r="V28" s="3"/>
      <c r="W28" s="3"/>
    </row>
    <row r="29" spans="1:23">
      <c r="A29" s="2"/>
      <c r="B29" s="2">
        <v>2011</v>
      </c>
      <c r="C29" s="3">
        <v>310862</v>
      </c>
      <c r="D29" s="3">
        <v>6897</v>
      </c>
      <c r="E29" s="3">
        <v>3400</v>
      </c>
      <c r="F29" s="3">
        <v>17555</v>
      </c>
      <c r="G29" s="3">
        <v>8196</v>
      </c>
      <c r="H29" s="3">
        <v>61568</v>
      </c>
      <c r="I29" s="3">
        <v>236384</v>
      </c>
      <c r="J29" s="3">
        <v>9832</v>
      </c>
      <c r="K29" s="3">
        <v>3363</v>
      </c>
      <c r="L29" s="3">
        <v>52055</v>
      </c>
      <c r="M29" s="3">
        <v>25627</v>
      </c>
      <c r="N29" s="3">
        <v>788</v>
      </c>
      <c r="O29" s="3">
        <v>1173</v>
      </c>
      <c r="P29" s="3">
        <v>1218</v>
      </c>
      <c r="Q29" s="3"/>
      <c r="R29" s="3"/>
      <c r="S29" s="3"/>
      <c r="T29" s="3"/>
      <c r="U29" s="3"/>
      <c r="V29" s="3"/>
      <c r="W29" s="3"/>
    </row>
    <row r="30" spans="1:23">
      <c r="A30" s="2"/>
      <c r="B30" s="2">
        <v>2012</v>
      </c>
      <c r="C30" s="3">
        <v>301080</v>
      </c>
      <c r="D30" s="3">
        <v>7125</v>
      </c>
      <c r="E30" s="3">
        <v>3513</v>
      </c>
      <c r="F30" s="3">
        <v>17603</v>
      </c>
      <c r="G30" s="3">
        <v>8020</v>
      </c>
      <c r="H30" s="3">
        <v>57118</v>
      </c>
      <c r="I30" s="3">
        <v>236252</v>
      </c>
      <c r="J30" s="3">
        <v>9036</v>
      </c>
      <c r="K30" s="3">
        <v>5955</v>
      </c>
      <c r="L30" s="3">
        <v>56316</v>
      </c>
      <c r="M30" s="3">
        <v>27766</v>
      </c>
      <c r="N30" s="3">
        <v>771</v>
      </c>
      <c r="O30" s="3">
        <v>1096</v>
      </c>
      <c r="P30" s="3">
        <v>1215</v>
      </c>
      <c r="Q30" s="3"/>
      <c r="R30" s="3"/>
      <c r="S30" s="3"/>
      <c r="T30" s="3"/>
      <c r="U30" s="3"/>
      <c r="V30" s="3"/>
      <c r="W30" s="3"/>
    </row>
    <row r="31" spans="1:23">
      <c r="A31" s="2"/>
      <c r="B31" s="2">
        <v>2013</v>
      </c>
      <c r="C31" s="3">
        <v>294021</v>
      </c>
      <c r="D31" s="3">
        <v>7337</v>
      </c>
      <c r="E31" s="3">
        <v>3853</v>
      </c>
      <c r="F31" s="3">
        <v>18099</v>
      </c>
      <c r="G31" s="3">
        <v>8544</v>
      </c>
      <c r="H31" s="3">
        <v>54591</v>
      </c>
      <c r="I31" s="3">
        <v>239352</v>
      </c>
      <c r="J31" s="3">
        <v>8168</v>
      </c>
      <c r="K31" s="3">
        <v>8006</v>
      </c>
      <c r="L31" s="3">
        <v>64844</v>
      </c>
      <c r="M31" s="3">
        <v>29925</v>
      </c>
      <c r="N31" s="3">
        <v>739</v>
      </c>
      <c r="O31" s="3">
        <v>1010</v>
      </c>
      <c r="P31" s="3">
        <v>1249</v>
      </c>
      <c r="Q31" s="3"/>
      <c r="R31" s="3"/>
      <c r="S31" s="3"/>
      <c r="T31" s="3"/>
      <c r="U31" s="3"/>
      <c r="V31" s="3"/>
      <c r="W31" s="3"/>
    </row>
    <row r="32" spans="1:23">
      <c r="A32" s="2"/>
      <c r="B32" s="2">
        <v>2014</v>
      </c>
      <c r="C32" s="3">
        <v>290950</v>
      </c>
      <c r="D32" s="3">
        <v>7225</v>
      </c>
      <c r="E32" s="3">
        <v>3662</v>
      </c>
      <c r="F32" s="3">
        <v>18643</v>
      </c>
      <c r="G32" s="3">
        <v>8658</v>
      </c>
      <c r="H32" s="3">
        <v>53065</v>
      </c>
      <c r="I32" s="3">
        <v>243359</v>
      </c>
      <c r="J32" s="3">
        <v>7776</v>
      </c>
      <c r="K32" s="3">
        <v>9797</v>
      </c>
      <c r="L32" s="3">
        <v>70851</v>
      </c>
      <c r="M32" s="3">
        <v>32101</v>
      </c>
      <c r="N32" s="3">
        <v>686</v>
      </c>
      <c r="O32" s="3">
        <v>958</v>
      </c>
      <c r="P32" s="3">
        <v>1247</v>
      </c>
      <c r="Q32" s="3"/>
      <c r="R32" s="3"/>
      <c r="S32" s="3"/>
      <c r="T32" s="3"/>
      <c r="U32" s="3"/>
      <c r="V32" s="3"/>
      <c r="W32" s="3"/>
    </row>
    <row r="33" spans="1:23">
      <c r="A33" s="2"/>
      <c r="B33" s="2">
        <v>2015</v>
      </c>
      <c r="C33" s="3">
        <v>298336</v>
      </c>
      <c r="D33" s="3">
        <v>7474</v>
      </c>
      <c r="E33" s="3">
        <v>3781</v>
      </c>
      <c r="F33" s="3">
        <v>19064</v>
      </c>
      <c r="G33" s="3">
        <v>9083</v>
      </c>
      <c r="H33" s="3">
        <v>52560</v>
      </c>
      <c r="I33" s="3">
        <v>244820</v>
      </c>
      <c r="J33" s="3">
        <v>7646</v>
      </c>
      <c r="K33" s="3">
        <v>9977</v>
      </c>
      <c r="L33" s="3">
        <v>68075</v>
      </c>
      <c r="M33" s="3">
        <v>34585</v>
      </c>
      <c r="N33" s="3">
        <v>542</v>
      </c>
      <c r="O33" s="3">
        <v>910</v>
      </c>
      <c r="P33" s="3">
        <v>1173</v>
      </c>
      <c r="Q33" s="3"/>
      <c r="R33" s="3"/>
      <c r="S33" s="3"/>
      <c r="T33" s="3"/>
      <c r="U33" s="3"/>
      <c r="V33" s="3"/>
      <c r="W33" s="3"/>
    </row>
    <row r="35" spans="1:23">
      <c r="A35" s="32" t="s">
        <v>410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7" spans="1:23">
      <c r="A37" s="6" t="s">
        <v>225</v>
      </c>
      <c r="B37" s="1"/>
      <c r="C37" s="1"/>
      <c r="D37" s="1"/>
      <c r="E37" s="1"/>
      <c r="F37" s="1"/>
      <c r="G37" s="1"/>
      <c r="H37" s="1"/>
      <c r="I37" s="1"/>
    </row>
    <row r="38" spans="1:23">
      <c r="A38" s="6" t="s">
        <v>0</v>
      </c>
      <c r="B38" s="2">
        <v>2010</v>
      </c>
      <c r="C38" s="2">
        <v>2011</v>
      </c>
      <c r="D38" s="2">
        <v>2012</v>
      </c>
      <c r="E38" s="2">
        <v>2013</v>
      </c>
      <c r="F38" s="2">
        <v>2014</v>
      </c>
      <c r="G38" s="2">
        <v>2015</v>
      </c>
    </row>
    <row r="39" spans="1:23">
      <c r="A39" s="7" t="s">
        <v>222</v>
      </c>
      <c r="B39" s="3">
        <v>34005274</v>
      </c>
      <c r="C39" s="3">
        <v>34342780</v>
      </c>
      <c r="D39" s="3">
        <v>34751476</v>
      </c>
      <c r="E39" s="3">
        <v>35155499</v>
      </c>
      <c r="F39" s="3">
        <v>35543658</v>
      </c>
      <c r="G39" s="3">
        <v>35851774</v>
      </c>
      <c r="H39" s="1"/>
      <c r="I39" s="1"/>
    </row>
    <row r="40" spans="1:23">
      <c r="A40" s="7" t="s">
        <v>228</v>
      </c>
      <c r="B40" s="3">
        <v>521972</v>
      </c>
      <c r="C40" s="3">
        <v>525037</v>
      </c>
      <c r="D40" s="3">
        <v>526895</v>
      </c>
      <c r="E40" s="3">
        <v>528017</v>
      </c>
      <c r="F40" s="3">
        <v>529069</v>
      </c>
      <c r="G40" s="3">
        <v>527756</v>
      </c>
      <c r="H40" s="1"/>
    </row>
    <row r="41" spans="1:23">
      <c r="A41" s="7" t="s">
        <v>228</v>
      </c>
      <c r="B41" s="3">
        <v>141678</v>
      </c>
      <c r="C41" s="3">
        <v>144038</v>
      </c>
      <c r="D41" s="3">
        <v>145259</v>
      </c>
      <c r="E41" s="3">
        <v>145441</v>
      </c>
      <c r="F41" s="3">
        <v>146162</v>
      </c>
      <c r="G41" s="3">
        <v>146447</v>
      </c>
      <c r="H41" s="1"/>
      <c r="I41" s="1"/>
    </row>
    <row r="42" spans="1:23">
      <c r="A42" s="7" t="s">
        <v>233</v>
      </c>
      <c r="B42" s="3">
        <v>942073</v>
      </c>
      <c r="C42" s="3">
        <v>944469</v>
      </c>
      <c r="D42" s="3">
        <v>944835</v>
      </c>
      <c r="E42" s="3">
        <v>942991</v>
      </c>
      <c r="F42" s="3">
        <v>942387</v>
      </c>
      <c r="G42" s="3">
        <v>943002</v>
      </c>
      <c r="H42" s="1"/>
    </row>
    <row r="43" spans="1:23">
      <c r="A43" s="7" t="s">
        <v>236</v>
      </c>
      <c r="B43" s="3">
        <v>753044</v>
      </c>
      <c r="C43" s="3">
        <v>755530</v>
      </c>
      <c r="D43" s="3">
        <v>756836</v>
      </c>
      <c r="E43" s="3">
        <v>755718</v>
      </c>
      <c r="F43" s="3">
        <v>754578</v>
      </c>
      <c r="G43" s="3">
        <v>753871</v>
      </c>
      <c r="H43" s="1"/>
      <c r="I43" s="1"/>
    </row>
    <row r="44" spans="1:23">
      <c r="A44" s="7" t="s">
        <v>239</v>
      </c>
      <c r="B44" s="3">
        <v>7929365</v>
      </c>
      <c r="C44" s="3">
        <v>8007656</v>
      </c>
      <c r="D44" s="3">
        <v>8084768</v>
      </c>
      <c r="E44" s="3">
        <v>8154761</v>
      </c>
      <c r="F44" s="3">
        <v>8214885</v>
      </c>
      <c r="G44" s="3">
        <v>8263600</v>
      </c>
      <c r="H44" s="1"/>
      <c r="I44" s="1"/>
    </row>
    <row r="45" spans="1:23">
      <c r="A45" s="7" t="s">
        <v>242</v>
      </c>
      <c r="B45" s="3">
        <v>13135063</v>
      </c>
      <c r="C45" s="3">
        <v>13263544</v>
      </c>
      <c r="D45" s="3">
        <v>13409558</v>
      </c>
      <c r="E45" s="3">
        <v>13551004</v>
      </c>
      <c r="F45" s="3">
        <v>13677687</v>
      </c>
      <c r="G45" s="3">
        <v>13792052</v>
      </c>
      <c r="H45" s="1"/>
      <c r="I45" s="1"/>
    </row>
    <row r="46" spans="1:23">
      <c r="A46" s="7" t="s">
        <v>245</v>
      </c>
      <c r="B46" s="3">
        <v>1220930</v>
      </c>
      <c r="C46" s="3">
        <v>1233728</v>
      </c>
      <c r="D46" s="3">
        <v>1250406</v>
      </c>
      <c r="E46" s="3">
        <v>1265342</v>
      </c>
      <c r="F46" s="3">
        <v>1280242</v>
      </c>
      <c r="G46" s="3">
        <v>1293378</v>
      </c>
      <c r="H46" s="1"/>
      <c r="I46" s="1"/>
    </row>
    <row r="47" spans="1:23">
      <c r="A47" s="7" t="s">
        <v>248</v>
      </c>
      <c r="B47" s="3">
        <v>1051425</v>
      </c>
      <c r="C47" s="3">
        <v>1066349</v>
      </c>
      <c r="D47" s="3">
        <v>1087223</v>
      </c>
      <c r="E47" s="3">
        <v>1106122</v>
      </c>
      <c r="F47" s="3">
        <v>1122283</v>
      </c>
      <c r="G47" s="3">
        <v>1133637</v>
      </c>
      <c r="H47" s="1"/>
    </row>
    <row r="48" spans="1:23">
      <c r="A48" s="7" t="s">
        <v>251</v>
      </c>
      <c r="B48" s="3">
        <v>3732573</v>
      </c>
      <c r="C48" s="3">
        <v>3790191</v>
      </c>
      <c r="D48" s="3">
        <v>3888552</v>
      </c>
      <c r="E48" s="3">
        <v>4007748</v>
      </c>
      <c r="F48" s="3">
        <v>4120897</v>
      </c>
      <c r="G48" s="3">
        <v>4196457</v>
      </c>
      <c r="H48" s="1"/>
    </row>
    <row r="49" spans="1:9">
      <c r="A49" s="7" t="s">
        <v>254</v>
      </c>
      <c r="B49" s="3">
        <v>4465924</v>
      </c>
      <c r="C49" s="3">
        <v>4499139</v>
      </c>
      <c r="D49" s="3">
        <v>4542578</v>
      </c>
      <c r="E49" s="3">
        <v>4582607</v>
      </c>
      <c r="F49" s="3">
        <v>4638415</v>
      </c>
      <c r="G49" s="3">
        <v>4683139</v>
      </c>
      <c r="H49" s="1"/>
    </row>
    <row r="50" spans="1:9">
      <c r="A50" s="7" t="s">
        <v>257</v>
      </c>
      <c r="B50" s="3">
        <v>34596</v>
      </c>
      <c r="C50" s="3">
        <v>35402</v>
      </c>
      <c r="D50" s="3">
        <v>36189</v>
      </c>
      <c r="E50" s="3">
        <v>36429</v>
      </c>
      <c r="F50" s="3">
        <v>36990</v>
      </c>
      <c r="G50" s="3">
        <v>37428</v>
      </c>
      <c r="H50" s="1"/>
      <c r="I50" s="1"/>
    </row>
    <row r="51" spans="1:9">
      <c r="A51" s="7" t="s">
        <v>260</v>
      </c>
      <c r="B51" s="3">
        <v>43278</v>
      </c>
      <c r="C51" s="3">
        <v>43501</v>
      </c>
      <c r="D51" s="3">
        <v>43648</v>
      </c>
      <c r="E51" s="3">
        <v>43884</v>
      </c>
      <c r="F51" s="3">
        <v>43980</v>
      </c>
      <c r="G51" s="3">
        <v>44088</v>
      </c>
      <c r="H51" s="1"/>
      <c r="I51" s="1"/>
    </row>
    <row r="52" spans="1:9">
      <c r="A52" s="7" t="s">
        <v>263</v>
      </c>
      <c r="B52" s="3">
        <v>33353</v>
      </c>
      <c r="C52" s="3">
        <v>34196</v>
      </c>
      <c r="D52" s="3">
        <v>34729</v>
      </c>
      <c r="E52" s="3">
        <v>35435</v>
      </c>
      <c r="F52" s="3">
        <v>36083</v>
      </c>
      <c r="G52" s="3">
        <v>36919</v>
      </c>
      <c r="H52" s="1"/>
      <c r="I52" s="1"/>
    </row>
    <row r="53" spans="1:9">
      <c r="A53" s="6"/>
    </row>
    <row r="54" spans="1:9">
      <c r="A54" s="7" t="s">
        <v>226</v>
      </c>
      <c r="B54" s="2"/>
      <c r="C54" s="2"/>
      <c r="D54" s="2"/>
      <c r="E54" s="2"/>
      <c r="F54" s="2"/>
      <c r="G54" s="2"/>
    </row>
    <row r="55" spans="1:9">
      <c r="A55" s="7" t="s">
        <v>0</v>
      </c>
      <c r="B55" s="2">
        <v>2010</v>
      </c>
      <c r="C55" s="2">
        <v>2011</v>
      </c>
      <c r="D55" s="2">
        <v>2012</v>
      </c>
      <c r="E55" s="2">
        <v>2013</v>
      </c>
      <c r="F55" s="2">
        <v>2014</v>
      </c>
      <c r="G55" s="2">
        <v>2015</v>
      </c>
    </row>
    <row r="56" spans="1:9">
      <c r="A56" s="7" t="s">
        <v>223</v>
      </c>
      <c r="B56" s="3">
        <v>16847961</v>
      </c>
      <c r="C56" s="3">
        <v>17015959</v>
      </c>
      <c r="D56" s="3">
        <v>17225198</v>
      </c>
      <c r="E56" s="3">
        <v>17430739</v>
      </c>
      <c r="F56" s="3">
        <v>17626354</v>
      </c>
      <c r="G56" s="3">
        <v>17776719</v>
      </c>
    </row>
    <row r="57" spans="1:9">
      <c r="A57" s="7" t="s">
        <v>229</v>
      </c>
      <c r="B57" s="3">
        <v>257449</v>
      </c>
      <c r="C57" s="3">
        <v>259070</v>
      </c>
      <c r="D57" s="3">
        <v>259885</v>
      </c>
      <c r="E57" s="3">
        <v>260340</v>
      </c>
      <c r="F57" s="3">
        <v>260922</v>
      </c>
      <c r="G57" s="3">
        <v>260141</v>
      </c>
    </row>
    <row r="58" spans="1:9">
      <c r="A58" s="7" t="s">
        <v>231</v>
      </c>
      <c r="B58" s="3">
        <v>69204</v>
      </c>
      <c r="C58" s="3">
        <v>70319</v>
      </c>
      <c r="D58" s="3">
        <v>70873</v>
      </c>
      <c r="E58" s="3">
        <v>70794</v>
      </c>
      <c r="F58" s="3">
        <v>71250</v>
      </c>
      <c r="G58" s="3">
        <v>71333</v>
      </c>
    </row>
    <row r="59" spans="1:9">
      <c r="A59" s="7" t="s">
        <v>234</v>
      </c>
      <c r="B59" s="3">
        <v>461366</v>
      </c>
      <c r="C59" s="3">
        <v>463457</v>
      </c>
      <c r="D59" s="3">
        <v>463616</v>
      </c>
      <c r="E59" s="3">
        <v>462446</v>
      </c>
      <c r="F59" s="3">
        <v>461872</v>
      </c>
      <c r="G59" s="3">
        <v>461969</v>
      </c>
    </row>
    <row r="60" spans="1:9">
      <c r="A60" s="7" t="s">
        <v>237</v>
      </c>
      <c r="B60" s="3">
        <v>371833</v>
      </c>
      <c r="C60" s="3">
        <v>373667</v>
      </c>
      <c r="D60" s="3">
        <v>374408</v>
      </c>
      <c r="E60" s="3">
        <v>373587</v>
      </c>
      <c r="F60" s="3">
        <v>372960</v>
      </c>
      <c r="G60" s="3">
        <v>372394</v>
      </c>
    </row>
    <row r="61" spans="1:9">
      <c r="A61" s="7" t="s">
        <v>240</v>
      </c>
      <c r="B61" s="3">
        <v>3931804</v>
      </c>
      <c r="C61" s="3">
        <v>3973044</v>
      </c>
      <c r="D61" s="3">
        <v>4013825</v>
      </c>
      <c r="E61" s="3">
        <v>4050085</v>
      </c>
      <c r="F61" s="3">
        <v>4080910</v>
      </c>
      <c r="G61" s="3">
        <v>4105520</v>
      </c>
    </row>
    <row r="62" spans="1:9">
      <c r="A62" s="7" t="s">
        <v>243</v>
      </c>
      <c r="B62" s="3">
        <v>6452783</v>
      </c>
      <c r="C62" s="3">
        <v>6513580</v>
      </c>
      <c r="D62" s="3">
        <v>6586653</v>
      </c>
      <c r="E62" s="3">
        <v>6655826</v>
      </c>
      <c r="F62" s="3">
        <v>6717164</v>
      </c>
      <c r="G62" s="3">
        <v>6773616</v>
      </c>
    </row>
    <row r="63" spans="1:9">
      <c r="A63" s="7" t="s">
        <v>246</v>
      </c>
      <c r="B63" s="3">
        <v>605597</v>
      </c>
      <c r="C63" s="3">
        <v>611948</v>
      </c>
      <c r="D63" s="3">
        <v>620685</v>
      </c>
      <c r="E63" s="3">
        <v>628587</v>
      </c>
      <c r="F63" s="3">
        <v>636233</v>
      </c>
      <c r="G63" s="3">
        <v>642866</v>
      </c>
    </row>
    <row r="64" spans="1:9">
      <c r="A64" s="7" t="s">
        <v>249</v>
      </c>
      <c r="B64" s="3">
        <v>525716</v>
      </c>
      <c r="C64" s="3">
        <v>534856</v>
      </c>
      <c r="D64" s="3">
        <v>546589</v>
      </c>
      <c r="E64" s="3">
        <v>557064</v>
      </c>
      <c r="F64" s="3">
        <v>566040</v>
      </c>
      <c r="G64" s="3">
        <v>571807</v>
      </c>
    </row>
    <row r="65" spans="1:7">
      <c r="A65" s="7" t="s">
        <v>252</v>
      </c>
      <c r="B65" s="3">
        <v>1895322</v>
      </c>
      <c r="C65" s="3">
        <v>1921123</v>
      </c>
      <c r="D65" s="3">
        <v>1972434</v>
      </c>
      <c r="E65" s="3">
        <v>2036296</v>
      </c>
      <c r="F65" s="3">
        <v>2095874</v>
      </c>
      <c r="G65" s="3">
        <v>2132266</v>
      </c>
    </row>
    <row r="66" spans="1:7">
      <c r="A66" s="7" t="s">
        <v>255</v>
      </c>
      <c r="B66" s="3">
        <v>2219698</v>
      </c>
      <c r="C66" s="3">
        <v>2236756</v>
      </c>
      <c r="D66" s="3">
        <v>2257406</v>
      </c>
      <c r="E66" s="3">
        <v>2276341</v>
      </c>
      <c r="F66" s="3">
        <v>2303157</v>
      </c>
      <c r="G66" s="3">
        <v>2324277</v>
      </c>
    </row>
    <row r="67" spans="1:7">
      <c r="A67" s="7" t="s">
        <v>258</v>
      </c>
      <c r="B67" s="3">
        <v>17680</v>
      </c>
      <c r="C67" s="3">
        <v>18095</v>
      </c>
      <c r="D67" s="3">
        <v>18480</v>
      </c>
      <c r="E67" s="3">
        <v>18584</v>
      </c>
      <c r="F67" s="3">
        <v>18838</v>
      </c>
      <c r="G67" s="3">
        <v>18985</v>
      </c>
    </row>
    <row r="68" spans="1:7">
      <c r="A68" s="7" t="s">
        <v>261</v>
      </c>
      <c r="B68" s="3">
        <v>22249</v>
      </c>
      <c r="C68" s="3">
        <v>22337</v>
      </c>
      <c r="D68" s="3">
        <v>22372</v>
      </c>
      <c r="E68" s="3">
        <v>22447</v>
      </c>
      <c r="F68" s="3">
        <v>22469</v>
      </c>
      <c r="G68" s="3">
        <v>22499</v>
      </c>
    </row>
    <row r="69" spans="1:7">
      <c r="A69" s="7" t="s">
        <v>264</v>
      </c>
      <c r="B69" s="3">
        <v>17260</v>
      </c>
      <c r="C69" s="3">
        <v>17707</v>
      </c>
      <c r="D69" s="3">
        <v>17972</v>
      </c>
      <c r="E69" s="3">
        <v>18342</v>
      </c>
      <c r="F69" s="3">
        <v>18665</v>
      </c>
      <c r="G69" s="3">
        <v>19046</v>
      </c>
    </row>
    <row r="70" spans="1:7">
      <c r="A70" s="6"/>
    </row>
    <row r="71" spans="1:7">
      <c r="A71" s="7" t="s">
        <v>227</v>
      </c>
      <c r="B71" s="2"/>
      <c r="C71" s="2"/>
      <c r="D71" s="2"/>
      <c r="E71" s="2"/>
      <c r="F71" s="2"/>
      <c r="G71" s="2"/>
    </row>
    <row r="72" spans="1:7">
      <c r="A72" s="7" t="s">
        <v>0</v>
      </c>
      <c r="B72" s="2">
        <v>2010</v>
      </c>
      <c r="C72" s="2">
        <v>2011</v>
      </c>
      <c r="D72" s="2">
        <v>2012</v>
      </c>
      <c r="E72" s="2">
        <v>2013</v>
      </c>
      <c r="F72" s="2">
        <v>2014</v>
      </c>
      <c r="G72" s="2">
        <v>2015</v>
      </c>
    </row>
    <row r="73" spans="1:7">
      <c r="A73" s="7" t="s">
        <v>224</v>
      </c>
      <c r="B73" s="3">
        <v>17157313</v>
      </c>
      <c r="C73" s="3">
        <v>17326821</v>
      </c>
      <c r="D73" s="3">
        <v>17526278</v>
      </c>
      <c r="E73" s="3">
        <v>17724760</v>
      </c>
      <c r="F73" s="3">
        <v>17917304</v>
      </c>
      <c r="G73" s="3">
        <v>18075055</v>
      </c>
    </row>
    <row r="74" spans="1:7">
      <c r="A74" s="7" t="s">
        <v>230</v>
      </c>
      <c r="B74" s="3">
        <v>264523</v>
      </c>
      <c r="C74" s="3">
        <v>265967</v>
      </c>
      <c r="D74" s="3">
        <v>267010</v>
      </c>
      <c r="E74" s="3">
        <v>267677</v>
      </c>
      <c r="F74" s="3">
        <v>268147</v>
      </c>
      <c r="G74" s="3">
        <v>267615</v>
      </c>
    </row>
    <row r="75" spans="1:7">
      <c r="A75" s="7" t="s">
        <v>232</v>
      </c>
      <c r="B75" s="3">
        <v>72474</v>
      </c>
      <c r="C75" s="3">
        <v>73719</v>
      </c>
      <c r="D75" s="3">
        <v>74386</v>
      </c>
      <c r="E75" s="3">
        <v>74647</v>
      </c>
      <c r="F75" s="3">
        <v>74912</v>
      </c>
      <c r="G75" s="3">
        <v>75114</v>
      </c>
    </row>
    <row r="76" spans="1:7">
      <c r="A76" s="7" t="s">
        <v>235</v>
      </c>
      <c r="B76" s="3">
        <v>480707</v>
      </c>
      <c r="C76" s="3">
        <v>481012</v>
      </c>
      <c r="D76" s="3">
        <v>481219</v>
      </c>
      <c r="E76" s="3">
        <v>480545</v>
      </c>
      <c r="F76" s="3">
        <v>480515</v>
      </c>
      <c r="G76" s="3">
        <v>481033</v>
      </c>
    </row>
    <row r="77" spans="1:7">
      <c r="A77" s="7" t="s">
        <v>238</v>
      </c>
      <c r="B77" s="3">
        <v>381211</v>
      </c>
      <c r="C77" s="3">
        <v>381863</v>
      </c>
      <c r="D77" s="3">
        <v>382428</v>
      </c>
      <c r="E77" s="3">
        <v>382131</v>
      </c>
      <c r="F77" s="3">
        <v>381618</v>
      </c>
      <c r="G77" s="3">
        <v>381477</v>
      </c>
    </row>
    <row r="78" spans="1:7">
      <c r="A78" s="7" t="s">
        <v>241</v>
      </c>
      <c r="B78" s="3">
        <v>3997561</v>
      </c>
      <c r="C78" s="3">
        <v>4034612</v>
      </c>
      <c r="D78" s="3">
        <v>4070943</v>
      </c>
      <c r="E78" s="3">
        <v>4104676</v>
      </c>
      <c r="F78" s="3">
        <v>4133975</v>
      </c>
      <c r="G78" s="3">
        <v>4158080</v>
      </c>
    </row>
    <row r="79" spans="1:7">
      <c r="A79" s="7" t="s">
        <v>244</v>
      </c>
      <c r="B79" s="3">
        <v>6682280</v>
      </c>
      <c r="C79" s="3">
        <v>6749964</v>
      </c>
      <c r="D79" s="3">
        <v>6822905</v>
      </c>
      <c r="E79" s="3">
        <v>6895178</v>
      </c>
      <c r="F79" s="3">
        <v>6960523</v>
      </c>
      <c r="G79" s="3">
        <v>7018436</v>
      </c>
    </row>
    <row r="80" spans="1:7">
      <c r="A80" s="7" t="s">
        <v>247</v>
      </c>
      <c r="B80" s="3">
        <v>615333</v>
      </c>
      <c r="C80" s="3">
        <v>621780</v>
      </c>
      <c r="D80" s="3">
        <v>629721</v>
      </c>
      <c r="E80" s="3">
        <v>636755</v>
      </c>
      <c r="F80" s="3">
        <v>644009</v>
      </c>
      <c r="G80" s="3">
        <v>650512</v>
      </c>
    </row>
    <row r="81" spans="1:7">
      <c r="A81" s="7" t="s">
        <v>250</v>
      </c>
      <c r="B81" s="3">
        <v>525709</v>
      </c>
      <c r="C81" s="3">
        <v>531493</v>
      </c>
      <c r="D81" s="3">
        <v>540634</v>
      </c>
      <c r="E81" s="3">
        <v>549058</v>
      </c>
      <c r="F81" s="3">
        <v>556243</v>
      </c>
      <c r="G81" s="3">
        <v>561830</v>
      </c>
    </row>
    <row r="82" spans="1:7">
      <c r="A82" s="7" t="s">
        <v>253</v>
      </c>
      <c r="B82" s="3">
        <v>1837251</v>
      </c>
      <c r="C82" s="3">
        <v>1869068</v>
      </c>
      <c r="D82" s="3">
        <v>1916118</v>
      </c>
      <c r="E82" s="3">
        <v>1971452</v>
      </c>
      <c r="F82" s="3">
        <v>2025023</v>
      </c>
      <c r="G82" s="3">
        <v>2064191</v>
      </c>
    </row>
    <row r="83" spans="1:7">
      <c r="A83" s="7" t="s">
        <v>256</v>
      </c>
      <c r="B83" s="3">
        <v>2246226</v>
      </c>
      <c r="C83" s="3">
        <v>2262383</v>
      </c>
      <c r="D83" s="3">
        <v>2285172</v>
      </c>
      <c r="E83" s="3">
        <v>2306266</v>
      </c>
      <c r="F83" s="3">
        <v>2335258</v>
      </c>
      <c r="G83" s="3">
        <v>2358862</v>
      </c>
    </row>
    <row r="84" spans="1:7">
      <c r="A84" s="7" t="s">
        <v>259</v>
      </c>
      <c r="B84" s="3">
        <v>16916</v>
      </c>
      <c r="C84" s="3">
        <v>17307</v>
      </c>
      <c r="D84" s="3">
        <v>17709</v>
      </c>
      <c r="E84" s="3">
        <v>17845</v>
      </c>
      <c r="F84" s="3">
        <v>18152</v>
      </c>
      <c r="G84" s="3">
        <v>18443</v>
      </c>
    </row>
    <row r="85" spans="1:7">
      <c r="A85" s="7" t="s">
        <v>262</v>
      </c>
      <c r="B85" s="3">
        <v>21029</v>
      </c>
      <c r="C85" s="3">
        <v>21164</v>
      </c>
      <c r="D85" s="3">
        <v>21276</v>
      </c>
      <c r="E85" s="3">
        <v>21437</v>
      </c>
      <c r="F85" s="3">
        <v>21511</v>
      </c>
      <c r="G85" s="3">
        <v>21589</v>
      </c>
    </row>
    <row r="86" spans="1:7">
      <c r="A86" s="7" t="s">
        <v>265</v>
      </c>
      <c r="B86" s="3">
        <v>16093</v>
      </c>
      <c r="C86" s="3">
        <v>16489</v>
      </c>
      <c r="D86" s="3">
        <v>16757</v>
      </c>
      <c r="E86" s="3">
        <v>17093</v>
      </c>
      <c r="F86" s="3">
        <v>17418</v>
      </c>
      <c r="G86" s="3">
        <v>17873</v>
      </c>
    </row>
    <row r="87" spans="1:7">
      <c r="A87" s="6"/>
    </row>
    <row r="88" spans="1:7">
      <c r="A88" s="6" t="s">
        <v>404</v>
      </c>
      <c r="B88" s="1"/>
      <c r="C88" s="1"/>
      <c r="D88" s="1"/>
      <c r="E88" s="1"/>
      <c r="F88" s="1"/>
      <c r="G88" s="1"/>
    </row>
    <row r="89" spans="1:7">
      <c r="A89" s="6" t="s">
        <v>0</v>
      </c>
      <c r="B89" s="2">
        <v>2010</v>
      </c>
      <c r="C89" s="2">
        <v>2011</v>
      </c>
      <c r="D89" s="2">
        <v>2012</v>
      </c>
      <c r="E89" s="2">
        <v>2013</v>
      </c>
      <c r="F89" s="2">
        <v>2014</v>
      </c>
      <c r="G89" s="2">
        <v>2015</v>
      </c>
    </row>
    <row r="90" spans="1:7">
      <c r="A90" s="7" t="s">
        <v>266</v>
      </c>
      <c r="B90">
        <f>ABS(B56-B73)</f>
        <v>309352</v>
      </c>
      <c r="C90">
        <f t="shared" ref="C90:G90" si="0">ABS(C56-C73)</f>
        <v>310862</v>
      </c>
      <c r="D90">
        <f t="shared" si="0"/>
        <v>301080</v>
      </c>
      <c r="E90">
        <f t="shared" si="0"/>
        <v>294021</v>
      </c>
      <c r="F90">
        <f t="shared" si="0"/>
        <v>290950</v>
      </c>
      <c r="G90">
        <f t="shared" si="0"/>
        <v>298336</v>
      </c>
    </row>
    <row r="91" spans="1:7">
      <c r="A91" s="7" t="s">
        <v>267</v>
      </c>
      <c r="B91">
        <f t="shared" ref="B91:G103" si="1">ABS(B57-B74)</f>
        <v>7074</v>
      </c>
      <c r="C91">
        <f t="shared" si="1"/>
        <v>6897</v>
      </c>
      <c r="D91">
        <f t="shared" si="1"/>
        <v>7125</v>
      </c>
      <c r="E91">
        <f t="shared" si="1"/>
        <v>7337</v>
      </c>
      <c r="F91">
        <f t="shared" si="1"/>
        <v>7225</v>
      </c>
      <c r="G91">
        <f t="shared" si="1"/>
        <v>7474</v>
      </c>
    </row>
    <row r="92" spans="1:7">
      <c r="A92" s="7" t="s">
        <v>268</v>
      </c>
      <c r="B92">
        <f t="shared" si="1"/>
        <v>3270</v>
      </c>
      <c r="C92">
        <f t="shared" si="1"/>
        <v>3400</v>
      </c>
      <c r="D92">
        <f t="shared" si="1"/>
        <v>3513</v>
      </c>
      <c r="E92">
        <f t="shared" si="1"/>
        <v>3853</v>
      </c>
      <c r="F92">
        <f t="shared" si="1"/>
        <v>3662</v>
      </c>
      <c r="G92">
        <f t="shared" si="1"/>
        <v>3781</v>
      </c>
    </row>
    <row r="93" spans="1:7">
      <c r="A93" s="7" t="s">
        <v>269</v>
      </c>
      <c r="B93">
        <f t="shared" si="1"/>
        <v>19341</v>
      </c>
      <c r="C93">
        <f t="shared" si="1"/>
        <v>17555</v>
      </c>
      <c r="D93">
        <f t="shared" si="1"/>
        <v>17603</v>
      </c>
      <c r="E93">
        <f t="shared" si="1"/>
        <v>18099</v>
      </c>
      <c r="F93">
        <f t="shared" si="1"/>
        <v>18643</v>
      </c>
      <c r="G93">
        <f t="shared" si="1"/>
        <v>19064</v>
      </c>
    </row>
    <row r="94" spans="1:7">
      <c r="A94" s="7" t="s">
        <v>270</v>
      </c>
      <c r="B94">
        <f t="shared" si="1"/>
        <v>9378</v>
      </c>
      <c r="C94">
        <f t="shared" si="1"/>
        <v>8196</v>
      </c>
      <c r="D94">
        <f t="shared" si="1"/>
        <v>8020</v>
      </c>
      <c r="E94">
        <f t="shared" si="1"/>
        <v>8544</v>
      </c>
      <c r="F94">
        <f t="shared" si="1"/>
        <v>8658</v>
      </c>
      <c r="G94">
        <f t="shared" si="1"/>
        <v>9083</v>
      </c>
    </row>
    <row r="95" spans="1:7">
      <c r="A95" s="7" t="s">
        <v>271</v>
      </c>
      <c r="B95">
        <f t="shared" si="1"/>
        <v>65757</v>
      </c>
      <c r="C95">
        <f t="shared" si="1"/>
        <v>61568</v>
      </c>
      <c r="D95">
        <f t="shared" si="1"/>
        <v>57118</v>
      </c>
      <c r="E95">
        <f t="shared" si="1"/>
        <v>54591</v>
      </c>
      <c r="F95">
        <f t="shared" si="1"/>
        <v>53065</v>
      </c>
      <c r="G95">
        <f t="shared" si="1"/>
        <v>52560</v>
      </c>
    </row>
    <row r="96" spans="1:7">
      <c r="A96" s="7" t="s">
        <v>272</v>
      </c>
      <c r="B96">
        <f t="shared" si="1"/>
        <v>229497</v>
      </c>
      <c r="C96">
        <f t="shared" si="1"/>
        <v>236384</v>
      </c>
      <c r="D96">
        <f t="shared" si="1"/>
        <v>236252</v>
      </c>
      <c r="E96">
        <f t="shared" si="1"/>
        <v>239352</v>
      </c>
      <c r="F96">
        <f t="shared" si="1"/>
        <v>243359</v>
      </c>
      <c r="G96">
        <f t="shared" si="1"/>
        <v>244820</v>
      </c>
    </row>
    <row r="97" spans="1:7">
      <c r="A97" s="7" t="s">
        <v>273</v>
      </c>
      <c r="B97">
        <f t="shared" si="1"/>
        <v>9736</v>
      </c>
      <c r="C97">
        <f t="shared" si="1"/>
        <v>9832</v>
      </c>
      <c r="D97">
        <f t="shared" si="1"/>
        <v>9036</v>
      </c>
      <c r="E97">
        <f t="shared" si="1"/>
        <v>8168</v>
      </c>
      <c r="F97">
        <f t="shared" si="1"/>
        <v>7776</v>
      </c>
      <c r="G97">
        <f t="shared" si="1"/>
        <v>7646</v>
      </c>
    </row>
    <row r="98" spans="1:7">
      <c r="A98" s="7" t="s">
        <v>274</v>
      </c>
      <c r="B98">
        <f t="shared" si="1"/>
        <v>7</v>
      </c>
      <c r="C98">
        <f t="shared" si="1"/>
        <v>3363</v>
      </c>
      <c r="D98">
        <f t="shared" si="1"/>
        <v>5955</v>
      </c>
      <c r="E98">
        <f t="shared" si="1"/>
        <v>8006</v>
      </c>
      <c r="F98">
        <f t="shared" si="1"/>
        <v>9797</v>
      </c>
      <c r="G98">
        <f t="shared" si="1"/>
        <v>9977</v>
      </c>
    </row>
    <row r="99" spans="1:7">
      <c r="A99" s="7" t="s">
        <v>275</v>
      </c>
      <c r="B99">
        <f t="shared" si="1"/>
        <v>58071</v>
      </c>
      <c r="C99">
        <f t="shared" si="1"/>
        <v>52055</v>
      </c>
      <c r="D99">
        <f t="shared" si="1"/>
        <v>56316</v>
      </c>
      <c r="E99">
        <f t="shared" si="1"/>
        <v>64844</v>
      </c>
      <c r="F99">
        <f t="shared" si="1"/>
        <v>70851</v>
      </c>
      <c r="G99">
        <f t="shared" si="1"/>
        <v>68075</v>
      </c>
    </row>
    <row r="100" spans="1:7">
      <c r="A100" s="7" t="s">
        <v>276</v>
      </c>
      <c r="B100">
        <f t="shared" si="1"/>
        <v>26528</v>
      </c>
      <c r="C100">
        <f t="shared" si="1"/>
        <v>25627</v>
      </c>
      <c r="D100">
        <f t="shared" si="1"/>
        <v>27766</v>
      </c>
      <c r="E100">
        <f t="shared" si="1"/>
        <v>29925</v>
      </c>
      <c r="F100">
        <f t="shared" si="1"/>
        <v>32101</v>
      </c>
      <c r="G100">
        <f t="shared" si="1"/>
        <v>34585</v>
      </c>
    </row>
    <row r="101" spans="1:7">
      <c r="A101" s="7" t="s">
        <v>277</v>
      </c>
      <c r="B101">
        <f t="shared" si="1"/>
        <v>764</v>
      </c>
      <c r="C101">
        <f t="shared" si="1"/>
        <v>788</v>
      </c>
      <c r="D101">
        <f t="shared" si="1"/>
        <v>771</v>
      </c>
      <c r="E101">
        <f t="shared" si="1"/>
        <v>739</v>
      </c>
      <c r="F101">
        <f t="shared" si="1"/>
        <v>686</v>
      </c>
      <c r="G101">
        <f t="shared" si="1"/>
        <v>542</v>
      </c>
    </row>
    <row r="102" spans="1:7">
      <c r="A102" s="7" t="s">
        <v>278</v>
      </c>
      <c r="B102">
        <f t="shared" si="1"/>
        <v>1220</v>
      </c>
      <c r="C102">
        <f t="shared" si="1"/>
        <v>1173</v>
      </c>
      <c r="D102">
        <f t="shared" si="1"/>
        <v>1096</v>
      </c>
      <c r="E102">
        <f t="shared" si="1"/>
        <v>1010</v>
      </c>
      <c r="F102">
        <f t="shared" si="1"/>
        <v>958</v>
      </c>
      <c r="G102">
        <f t="shared" si="1"/>
        <v>910</v>
      </c>
    </row>
    <row r="103" spans="1:7">
      <c r="A103" s="7" t="s">
        <v>279</v>
      </c>
      <c r="B103">
        <f t="shared" si="1"/>
        <v>1167</v>
      </c>
      <c r="C103">
        <f t="shared" si="1"/>
        <v>1218</v>
      </c>
      <c r="D103">
        <f t="shared" si="1"/>
        <v>1215</v>
      </c>
      <c r="E103">
        <f t="shared" si="1"/>
        <v>1249</v>
      </c>
      <c r="F103">
        <f t="shared" si="1"/>
        <v>1247</v>
      </c>
      <c r="G103">
        <f t="shared" si="1"/>
        <v>1173</v>
      </c>
    </row>
  </sheetData>
  <mergeCells count="2">
    <mergeCell ref="A35:P35"/>
    <mergeCell ref="A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workbookViewId="0">
      <selection sqref="A1:P1"/>
    </sheetView>
  </sheetViews>
  <sheetFormatPr baseColWidth="10" defaultRowHeight="15" x14ac:dyDescent="0"/>
  <sheetData>
    <row r="1" spans="1:16">
      <c r="A1" s="32" t="s">
        <v>414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>
      <c r="A2" s="1"/>
      <c r="B2" s="2"/>
    </row>
    <row r="3" spans="1:16">
      <c r="A3" s="1" t="s">
        <v>280</v>
      </c>
      <c r="B3" s="1" t="s">
        <v>0</v>
      </c>
      <c r="C3" s="2" t="s">
        <v>284</v>
      </c>
      <c r="D3" s="2" t="s">
        <v>288</v>
      </c>
      <c r="E3" s="2" t="s">
        <v>292</v>
      </c>
      <c r="F3" s="2" t="s">
        <v>296</v>
      </c>
      <c r="G3" s="2" t="s">
        <v>300</v>
      </c>
      <c r="H3" s="2" t="s">
        <v>304</v>
      </c>
      <c r="I3" s="2" t="s">
        <v>308</v>
      </c>
      <c r="J3" s="2" t="s">
        <v>312</v>
      </c>
      <c r="K3" s="2" t="s">
        <v>316</v>
      </c>
      <c r="L3" s="2" t="s">
        <v>320</v>
      </c>
      <c r="M3" s="2" t="s">
        <v>324</v>
      </c>
      <c r="N3" s="2" t="s">
        <v>328</v>
      </c>
      <c r="O3" s="2" t="s">
        <v>332</v>
      </c>
      <c r="P3" s="2" t="s">
        <v>336</v>
      </c>
    </row>
    <row r="4" spans="1:16">
      <c r="A4" s="1"/>
      <c r="B4" s="2">
        <v>2010</v>
      </c>
      <c r="C4" s="3">
        <v>32700430</v>
      </c>
      <c r="D4" s="3">
        <v>510200</v>
      </c>
      <c r="E4" s="3">
        <v>138610</v>
      </c>
      <c r="F4" s="3">
        <v>900240</v>
      </c>
      <c r="G4" s="3">
        <v>737220</v>
      </c>
      <c r="H4" s="3">
        <v>7717710</v>
      </c>
      <c r="I4" s="3">
        <v>12593440</v>
      </c>
      <c r="J4" s="3">
        <v>1187700</v>
      </c>
      <c r="K4" s="3">
        <v>1022160</v>
      </c>
      <c r="L4" s="3">
        <v>3544590</v>
      </c>
      <c r="M4" s="3">
        <v>4243560</v>
      </c>
      <c r="N4" s="3">
        <v>32210</v>
      </c>
      <c r="O4" s="3">
        <v>41080</v>
      </c>
      <c r="P4" s="3">
        <v>31710</v>
      </c>
    </row>
    <row r="5" spans="1:16">
      <c r="A5" s="1"/>
      <c r="B5" s="2">
        <v>2011</v>
      </c>
      <c r="C5" s="3">
        <v>33087940</v>
      </c>
      <c r="D5" s="3">
        <v>512900</v>
      </c>
      <c r="E5" s="3">
        <v>139420</v>
      </c>
      <c r="F5" s="3">
        <v>902250</v>
      </c>
      <c r="G5" s="3">
        <v>738640</v>
      </c>
      <c r="H5" s="3">
        <v>7792820</v>
      </c>
      <c r="I5" s="3">
        <v>12707860</v>
      </c>
      <c r="J5" s="3">
        <v>1203690</v>
      </c>
      <c r="K5" s="3">
        <v>1042260</v>
      </c>
      <c r="L5" s="3">
        <v>3644620</v>
      </c>
      <c r="M5" s="3">
        <v>4296660</v>
      </c>
      <c r="N5" s="3">
        <v>33240</v>
      </c>
      <c r="O5" s="3">
        <v>41220</v>
      </c>
      <c r="P5" s="3">
        <v>32360</v>
      </c>
    </row>
    <row r="6" spans="1:16">
      <c r="A6" s="1"/>
      <c r="B6" s="2">
        <v>2012</v>
      </c>
      <c r="C6" s="3">
        <v>33399630</v>
      </c>
      <c r="D6" s="3">
        <v>513500</v>
      </c>
      <c r="E6" s="3">
        <v>139020</v>
      </c>
      <c r="F6" s="3">
        <v>898330</v>
      </c>
      <c r="G6" s="3">
        <v>736420</v>
      </c>
      <c r="H6" s="3">
        <v>7848370</v>
      </c>
      <c r="I6" s="3">
        <v>12796300</v>
      </c>
      <c r="J6" s="3">
        <v>1215110</v>
      </c>
      <c r="K6" s="3">
        <v>1058700</v>
      </c>
      <c r="L6" s="3">
        <v>3765200</v>
      </c>
      <c r="M6" s="3">
        <v>4321100</v>
      </c>
      <c r="N6" s="3">
        <v>33420</v>
      </c>
      <c r="O6" s="3">
        <v>41130</v>
      </c>
      <c r="P6" s="3">
        <v>33030</v>
      </c>
    </row>
    <row r="7" spans="1:16">
      <c r="A7" s="1"/>
      <c r="B7" s="2">
        <v>2013</v>
      </c>
      <c r="C7" s="3">
        <v>33784140</v>
      </c>
      <c r="D7" s="3">
        <v>515080</v>
      </c>
      <c r="E7" s="3">
        <v>138920</v>
      </c>
      <c r="F7" s="3">
        <v>898170</v>
      </c>
      <c r="G7" s="3">
        <v>734470</v>
      </c>
      <c r="H7" s="3">
        <v>7904880</v>
      </c>
      <c r="I7" s="3">
        <v>12912940</v>
      </c>
      <c r="J7" s="3">
        <v>1227940</v>
      </c>
      <c r="K7" s="3">
        <v>1073430</v>
      </c>
      <c r="L7" s="3">
        <v>3891740</v>
      </c>
      <c r="M7" s="3">
        <v>4377850</v>
      </c>
      <c r="N7" s="3">
        <v>33680</v>
      </c>
      <c r="O7" s="3">
        <v>41350</v>
      </c>
      <c r="P7" s="3">
        <v>33690</v>
      </c>
    </row>
    <row r="8" spans="1:16">
      <c r="A8" s="1"/>
      <c r="B8" s="2">
        <v>2014</v>
      </c>
      <c r="C8" s="3">
        <v>34164940</v>
      </c>
      <c r="D8" s="3">
        <v>517560</v>
      </c>
      <c r="E8" s="3">
        <v>139810</v>
      </c>
      <c r="F8" s="3">
        <v>898890</v>
      </c>
      <c r="G8" s="3">
        <v>736080</v>
      </c>
      <c r="H8" s="3">
        <v>7960870</v>
      </c>
      <c r="I8" s="3">
        <v>13040270</v>
      </c>
      <c r="J8" s="3">
        <v>1240970</v>
      </c>
      <c r="K8" s="3">
        <v>1086200</v>
      </c>
      <c r="L8" s="3">
        <v>3991300</v>
      </c>
      <c r="M8" s="3">
        <v>4442710</v>
      </c>
      <c r="N8" s="3">
        <v>34140</v>
      </c>
      <c r="O8" s="3">
        <v>41730</v>
      </c>
      <c r="P8" s="3">
        <v>34410</v>
      </c>
    </row>
    <row r="9" spans="1:16">
      <c r="A9" s="1"/>
      <c r="B9" s="2">
        <v>2015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1"/>
    </row>
    <row r="11" spans="1:16">
      <c r="A11" s="1" t="s">
        <v>281</v>
      </c>
      <c r="B11" s="1" t="s">
        <v>0</v>
      </c>
      <c r="C11" s="2" t="s">
        <v>285</v>
      </c>
      <c r="D11" s="2" t="s">
        <v>289</v>
      </c>
      <c r="E11" s="2" t="s">
        <v>293</v>
      </c>
      <c r="F11" s="2" t="s">
        <v>297</v>
      </c>
      <c r="G11" s="2" t="s">
        <v>301</v>
      </c>
      <c r="H11" s="2" t="s">
        <v>305</v>
      </c>
      <c r="I11" s="2" t="s">
        <v>309</v>
      </c>
      <c r="J11" s="2" t="s">
        <v>313</v>
      </c>
      <c r="K11" s="2" t="s">
        <v>317</v>
      </c>
      <c r="L11" s="2" t="s">
        <v>321</v>
      </c>
      <c r="M11" s="2" t="s">
        <v>325</v>
      </c>
      <c r="N11" s="2" t="s">
        <v>329</v>
      </c>
      <c r="O11" s="2" t="s">
        <v>333</v>
      </c>
      <c r="P11" s="2" t="s">
        <v>337</v>
      </c>
    </row>
    <row r="12" spans="1:16">
      <c r="A12" s="1"/>
      <c r="B12" s="2">
        <v>2010</v>
      </c>
      <c r="C12" s="3">
        <v>15915100</v>
      </c>
      <c r="D12" s="3">
        <v>249230</v>
      </c>
      <c r="E12" s="3">
        <v>66880</v>
      </c>
      <c r="F12" s="3">
        <v>433370</v>
      </c>
      <c r="G12" s="3">
        <v>358730</v>
      </c>
      <c r="H12" s="3">
        <v>3763670</v>
      </c>
      <c r="I12" s="3">
        <v>6094540</v>
      </c>
      <c r="J12" s="3">
        <v>580200</v>
      </c>
      <c r="K12" s="3">
        <v>501220</v>
      </c>
      <c r="L12" s="3">
        <v>1755420</v>
      </c>
      <c r="M12" s="3">
        <v>2059040</v>
      </c>
      <c r="N12" s="3">
        <v>16080</v>
      </c>
      <c r="O12" s="3">
        <v>20800</v>
      </c>
      <c r="P12" s="3">
        <v>15950</v>
      </c>
    </row>
    <row r="13" spans="1:16">
      <c r="A13" s="1"/>
      <c r="B13" s="2">
        <v>2011</v>
      </c>
      <c r="C13" s="3">
        <v>16117200</v>
      </c>
      <c r="D13" s="3">
        <v>250770</v>
      </c>
      <c r="E13" s="3">
        <v>67330</v>
      </c>
      <c r="F13" s="3">
        <v>434600</v>
      </c>
      <c r="G13" s="3">
        <v>359550</v>
      </c>
      <c r="H13" s="3">
        <v>3804230</v>
      </c>
      <c r="I13" s="3">
        <v>6148440</v>
      </c>
      <c r="J13" s="3">
        <v>589010</v>
      </c>
      <c r="K13" s="3">
        <v>512830</v>
      </c>
      <c r="L13" s="3">
        <v>1808700</v>
      </c>
      <c r="M13" s="3">
        <v>2088020</v>
      </c>
      <c r="N13" s="3">
        <v>16610</v>
      </c>
      <c r="O13" s="3">
        <v>20900</v>
      </c>
      <c r="P13" s="3">
        <v>16230</v>
      </c>
    </row>
    <row r="14" spans="1:16">
      <c r="A14" s="1"/>
      <c r="B14" s="2">
        <v>2012</v>
      </c>
      <c r="C14" s="3">
        <v>16275110</v>
      </c>
      <c r="D14" s="3">
        <v>251070</v>
      </c>
      <c r="E14" s="3">
        <v>67060</v>
      </c>
      <c r="F14" s="3">
        <v>432560</v>
      </c>
      <c r="G14" s="3">
        <v>358040</v>
      </c>
      <c r="H14" s="3">
        <v>3833780</v>
      </c>
      <c r="I14" s="3">
        <v>6190660</v>
      </c>
      <c r="J14" s="3">
        <v>594860</v>
      </c>
      <c r="K14" s="3">
        <v>521170</v>
      </c>
      <c r="L14" s="3">
        <v>1872750</v>
      </c>
      <c r="M14" s="3">
        <v>2099160</v>
      </c>
      <c r="N14" s="3">
        <v>16680</v>
      </c>
      <c r="O14" s="3">
        <v>20790</v>
      </c>
      <c r="P14" s="3">
        <v>16520</v>
      </c>
    </row>
    <row r="15" spans="1:16">
      <c r="A15" s="1"/>
      <c r="B15" s="2">
        <v>2013</v>
      </c>
      <c r="C15" s="3">
        <v>16475000</v>
      </c>
      <c r="D15" s="3">
        <v>251950</v>
      </c>
      <c r="E15" s="3">
        <v>66980</v>
      </c>
      <c r="F15" s="3">
        <v>432430</v>
      </c>
      <c r="G15" s="3">
        <v>357100</v>
      </c>
      <c r="H15" s="3">
        <v>3864260</v>
      </c>
      <c r="I15" s="3">
        <v>6249350</v>
      </c>
      <c r="J15" s="3">
        <v>601690</v>
      </c>
      <c r="K15" s="3">
        <v>529170</v>
      </c>
      <c r="L15" s="3">
        <v>1939070</v>
      </c>
      <c r="M15" s="3">
        <v>2128480</v>
      </c>
      <c r="N15" s="3">
        <v>16760</v>
      </c>
      <c r="O15" s="3">
        <v>20880</v>
      </c>
      <c r="P15" s="3">
        <v>16890</v>
      </c>
    </row>
    <row r="16" spans="1:16">
      <c r="A16" s="1"/>
      <c r="B16" s="2">
        <v>2014</v>
      </c>
      <c r="C16" s="3">
        <v>16671910</v>
      </c>
      <c r="D16" s="3">
        <v>253410</v>
      </c>
      <c r="E16" s="3">
        <v>67380</v>
      </c>
      <c r="F16" s="3">
        <v>432930</v>
      </c>
      <c r="G16" s="3">
        <v>358190</v>
      </c>
      <c r="H16" s="3">
        <v>3894630</v>
      </c>
      <c r="I16" s="3">
        <v>6315200</v>
      </c>
      <c r="J16" s="3">
        <v>608650</v>
      </c>
      <c r="K16" s="3">
        <v>535550</v>
      </c>
      <c r="L16" s="3">
        <v>1989840</v>
      </c>
      <c r="M16" s="3">
        <v>2160820</v>
      </c>
      <c r="N16" s="3">
        <v>16990</v>
      </c>
      <c r="O16" s="3">
        <v>21060</v>
      </c>
      <c r="P16" s="3">
        <v>17270</v>
      </c>
    </row>
    <row r="17" spans="1:16">
      <c r="A17" s="1"/>
      <c r="B17" s="2">
        <v>2015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1"/>
    </row>
    <row r="19" spans="1:16">
      <c r="A19" s="1" t="s">
        <v>282</v>
      </c>
      <c r="B19" s="1" t="s">
        <v>0</v>
      </c>
      <c r="C19" s="2" t="s">
        <v>286</v>
      </c>
      <c r="D19" s="2" t="s">
        <v>290</v>
      </c>
      <c r="E19" s="2" t="s">
        <v>294</v>
      </c>
      <c r="F19" s="2" t="s">
        <v>298</v>
      </c>
      <c r="G19" s="2" t="s">
        <v>302</v>
      </c>
      <c r="H19" s="2" t="s">
        <v>306</v>
      </c>
      <c r="I19" s="2" t="s">
        <v>310</v>
      </c>
      <c r="J19" s="2" t="s">
        <v>314</v>
      </c>
      <c r="K19" s="2" t="s">
        <v>318</v>
      </c>
      <c r="L19" s="2" t="s">
        <v>322</v>
      </c>
      <c r="M19" s="2" t="s">
        <v>326</v>
      </c>
      <c r="N19" s="2" t="s">
        <v>330</v>
      </c>
      <c r="O19" s="2" t="s">
        <v>334</v>
      </c>
      <c r="P19" s="2" t="s">
        <v>338</v>
      </c>
    </row>
    <row r="20" spans="1:16">
      <c r="A20" s="1"/>
      <c r="B20" s="2">
        <v>2010</v>
      </c>
      <c r="C20" s="3">
        <v>16785330</v>
      </c>
      <c r="D20" s="3">
        <v>260970</v>
      </c>
      <c r="E20" s="3">
        <v>71730</v>
      </c>
      <c r="F20" s="3">
        <v>466870</v>
      </c>
      <c r="G20" s="3">
        <v>378490</v>
      </c>
      <c r="H20" s="3">
        <v>3954040</v>
      </c>
      <c r="I20" s="3">
        <v>6498910</v>
      </c>
      <c r="J20" s="3">
        <v>607500</v>
      </c>
      <c r="K20" s="3">
        <v>520940</v>
      </c>
      <c r="L20" s="3">
        <v>1789170</v>
      </c>
      <c r="M20" s="3">
        <v>2184530</v>
      </c>
      <c r="N20" s="3">
        <v>16130</v>
      </c>
      <c r="O20" s="3">
        <v>20280</v>
      </c>
      <c r="P20" s="3">
        <v>15760</v>
      </c>
    </row>
    <row r="21" spans="1:16">
      <c r="A21" s="1"/>
      <c r="B21" s="2">
        <v>2011</v>
      </c>
      <c r="C21" s="3">
        <v>16970740</v>
      </c>
      <c r="D21" s="3">
        <v>262140</v>
      </c>
      <c r="E21" s="3">
        <v>72090</v>
      </c>
      <c r="F21" s="3">
        <v>467660</v>
      </c>
      <c r="G21" s="3">
        <v>379100</v>
      </c>
      <c r="H21" s="3">
        <v>3988590</v>
      </c>
      <c r="I21" s="3">
        <v>6559420</v>
      </c>
      <c r="J21" s="3">
        <v>614670</v>
      </c>
      <c r="K21" s="3">
        <v>529440</v>
      </c>
      <c r="L21" s="3">
        <v>1835920</v>
      </c>
      <c r="M21" s="3">
        <v>2208640</v>
      </c>
      <c r="N21" s="3">
        <v>16630</v>
      </c>
      <c r="O21" s="3">
        <v>20330</v>
      </c>
      <c r="P21" s="3">
        <v>16130</v>
      </c>
    </row>
    <row r="22" spans="1:16">
      <c r="A22" s="1"/>
      <c r="B22" s="2">
        <v>2012</v>
      </c>
      <c r="C22" s="3">
        <v>17124520</v>
      </c>
      <c r="D22" s="3">
        <v>262430</v>
      </c>
      <c r="E22" s="3">
        <v>71960</v>
      </c>
      <c r="F22" s="3">
        <v>465770</v>
      </c>
      <c r="G22" s="3">
        <v>378380</v>
      </c>
      <c r="H22" s="3">
        <v>4014590</v>
      </c>
      <c r="I22" s="3">
        <v>6605630</v>
      </c>
      <c r="J22" s="3">
        <v>620250</v>
      </c>
      <c r="K22" s="3">
        <v>537530</v>
      </c>
      <c r="L22" s="3">
        <v>1892450</v>
      </c>
      <c r="M22" s="3">
        <v>2221940</v>
      </c>
      <c r="N22" s="3">
        <v>16740</v>
      </c>
      <c r="O22" s="3">
        <v>20340</v>
      </c>
      <c r="P22" s="3">
        <v>16510</v>
      </c>
    </row>
    <row r="23" spans="1:16">
      <c r="A23" s="1"/>
      <c r="B23" s="2">
        <v>2013</v>
      </c>
      <c r="C23" s="3">
        <v>17309140</v>
      </c>
      <c r="D23" s="3">
        <v>263130</v>
      </c>
      <c r="E23" s="3">
        <v>71940</v>
      </c>
      <c r="F23" s="3">
        <v>465750</v>
      </c>
      <c r="G23" s="3">
        <v>377370</v>
      </c>
      <c r="H23" s="3">
        <v>4040620</v>
      </c>
      <c r="I23" s="3">
        <v>6663600</v>
      </c>
      <c r="J23" s="3">
        <v>626240</v>
      </c>
      <c r="K23" s="3">
        <v>544260</v>
      </c>
      <c r="L23" s="3">
        <v>1952670</v>
      </c>
      <c r="M23" s="3">
        <v>2249380</v>
      </c>
      <c r="N23" s="3">
        <v>16920</v>
      </c>
      <c r="O23" s="3">
        <v>20470</v>
      </c>
      <c r="P23" s="3">
        <v>16800</v>
      </c>
    </row>
    <row r="24" spans="1:16">
      <c r="A24" s="1"/>
      <c r="B24" s="2">
        <v>2014</v>
      </c>
      <c r="C24" s="3">
        <v>17493040</v>
      </c>
      <c r="D24" s="3">
        <v>264150</v>
      </c>
      <c r="E24" s="3">
        <v>72420</v>
      </c>
      <c r="F24" s="3">
        <v>465960</v>
      </c>
      <c r="G24" s="3">
        <v>377890</v>
      </c>
      <c r="H24" s="3">
        <v>4066240</v>
      </c>
      <c r="I24" s="3">
        <v>6725080</v>
      </c>
      <c r="J24" s="3">
        <v>632320</v>
      </c>
      <c r="K24" s="3">
        <v>550650</v>
      </c>
      <c r="L24" s="3">
        <v>2001460</v>
      </c>
      <c r="M24" s="3">
        <v>2281900</v>
      </c>
      <c r="N24" s="3">
        <v>17160</v>
      </c>
      <c r="O24" s="3">
        <v>20680</v>
      </c>
      <c r="P24" s="3">
        <v>17140</v>
      </c>
    </row>
    <row r="25" spans="1:16">
      <c r="A25" s="1"/>
      <c r="B25" s="2">
        <v>2015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1"/>
    </row>
    <row r="27" spans="1:16">
      <c r="A27" s="1" t="s">
        <v>283</v>
      </c>
      <c r="B27" s="1" t="s">
        <v>0</v>
      </c>
      <c r="C27" s="2" t="s">
        <v>287</v>
      </c>
      <c r="D27" s="2" t="s">
        <v>291</v>
      </c>
      <c r="E27" s="2" t="s">
        <v>295</v>
      </c>
      <c r="F27" s="2" t="s">
        <v>299</v>
      </c>
      <c r="G27" s="2" t="s">
        <v>303</v>
      </c>
      <c r="H27" s="2" t="s">
        <v>307</v>
      </c>
      <c r="I27" s="2" t="s">
        <v>311</v>
      </c>
      <c r="J27" s="2" t="s">
        <v>315</v>
      </c>
      <c r="K27" s="2" t="s">
        <v>319</v>
      </c>
      <c r="L27" s="2" t="s">
        <v>323</v>
      </c>
      <c r="M27" s="2" t="s">
        <v>327</v>
      </c>
      <c r="N27" s="2" t="s">
        <v>331</v>
      </c>
      <c r="O27" s="2" t="s">
        <v>335</v>
      </c>
      <c r="P27" s="1" t="s">
        <v>339</v>
      </c>
    </row>
    <row r="28" spans="1:16">
      <c r="A28" s="1"/>
      <c r="B28" s="2">
        <v>2010</v>
      </c>
      <c r="C28" s="3">
        <f>ABS(C12-C20)</f>
        <v>870230</v>
      </c>
      <c r="D28" s="3">
        <f t="shared" ref="D28:P32" si="0">ABS(D12-D20)</f>
        <v>11740</v>
      </c>
      <c r="E28" s="3">
        <f t="shared" si="0"/>
        <v>4850</v>
      </c>
      <c r="F28" s="3">
        <f t="shared" si="0"/>
        <v>33500</v>
      </c>
      <c r="G28" s="3">
        <f t="shared" si="0"/>
        <v>19760</v>
      </c>
      <c r="H28" s="3">
        <f t="shared" si="0"/>
        <v>190370</v>
      </c>
      <c r="I28" s="3">
        <f t="shared" si="0"/>
        <v>404370</v>
      </c>
      <c r="J28" s="3">
        <f t="shared" si="0"/>
        <v>27300</v>
      </c>
      <c r="K28" s="3">
        <f t="shared" si="0"/>
        <v>19720</v>
      </c>
      <c r="L28" s="3">
        <f t="shared" si="0"/>
        <v>33750</v>
      </c>
      <c r="M28" s="3">
        <f t="shared" si="0"/>
        <v>125490</v>
      </c>
      <c r="N28" s="3">
        <f t="shared" si="0"/>
        <v>50</v>
      </c>
      <c r="O28" s="3">
        <f t="shared" si="0"/>
        <v>520</v>
      </c>
      <c r="P28" s="3">
        <f t="shared" si="0"/>
        <v>190</v>
      </c>
    </row>
    <row r="29" spans="1:16">
      <c r="A29" s="1"/>
      <c r="B29" s="2">
        <v>2011</v>
      </c>
      <c r="C29" s="3">
        <f t="shared" ref="C29:C32" si="1">ABS(C13-C21)</f>
        <v>853540</v>
      </c>
      <c r="D29" s="3">
        <f t="shared" si="0"/>
        <v>11370</v>
      </c>
      <c r="E29" s="3">
        <f t="shared" si="0"/>
        <v>4760</v>
      </c>
      <c r="F29" s="3">
        <f t="shared" si="0"/>
        <v>33060</v>
      </c>
      <c r="G29" s="3">
        <f t="shared" si="0"/>
        <v>19550</v>
      </c>
      <c r="H29" s="3">
        <f t="shared" si="0"/>
        <v>184360</v>
      </c>
      <c r="I29" s="3">
        <f t="shared" si="0"/>
        <v>410980</v>
      </c>
      <c r="J29" s="3">
        <f t="shared" si="0"/>
        <v>25660</v>
      </c>
      <c r="K29" s="3">
        <f t="shared" si="0"/>
        <v>16610</v>
      </c>
      <c r="L29" s="3">
        <f t="shared" si="0"/>
        <v>27220</v>
      </c>
      <c r="M29" s="3">
        <f t="shared" si="0"/>
        <v>120620</v>
      </c>
      <c r="N29" s="3">
        <f t="shared" si="0"/>
        <v>20</v>
      </c>
      <c r="O29" s="3">
        <f t="shared" si="0"/>
        <v>570</v>
      </c>
      <c r="P29" s="3">
        <f t="shared" si="0"/>
        <v>100</v>
      </c>
    </row>
    <row r="30" spans="1:16">
      <c r="A30" s="1"/>
      <c r="B30" s="2">
        <v>2012</v>
      </c>
      <c r="C30" s="3">
        <f t="shared" si="1"/>
        <v>849410</v>
      </c>
      <c r="D30" s="3">
        <f t="shared" si="0"/>
        <v>11360</v>
      </c>
      <c r="E30" s="3">
        <f t="shared" si="0"/>
        <v>4900</v>
      </c>
      <c r="F30" s="3">
        <f t="shared" si="0"/>
        <v>33210</v>
      </c>
      <c r="G30" s="3">
        <f t="shared" si="0"/>
        <v>20340</v>
      </c>
      <c r="H30" s="3">
        <f t="shared" si="0"/>
        <v>180810</v>
      </c>
      <c r="I30" s="3">
        <f t="shared" si="0"/>
        <v>414970</v>
      </c>
      <c r="J30" s="3">
        <f t="shared" si="0"/>
        <v>25390</v>
      </c>
      <c r="K30" s="3">
        <f t="shared" si="0"/>
        <v>16360</v>
      </c>
      <c r="L30" s="3">
        <f t="shared" si="0"/>
        <v>19700</v>
      </c>
      <c r="M30" s="3">
        <f t="shared" si="0"/>
        <v>122780</v>
      </c>
      <c r="N30" s="3">
        <f t="shared" si="0"/>
        <v>60</v>
      </c>
      <c r="O30" s="3">
        <f t="shared" si="0"/>
        <v>450</v>
      </c>
      <c r="P30" s="3">
        <f t="shared" si="0"/>
        <v>10</v>
      </c>
    </row>
    <row r="31" spans="1:16">
      <c r="A31" s="1"/>
      <c r="B31" s="2">
        <v>2013</v>
      </c>
      <c r="C31" s="3">
        <f t="shared" si="1"/>
        <v>834140</v>
      </c>
      <c r="D31" s="3">
        <f t="shared" si="0"/>
        <v>11180</v>
      </c>
      <c r="E31" s="3">
        <f t="shared" si="0"/>
        <v>4960</v>
      </c>
      <c r="F31" s="3">
        <f t="shared" si="0"/>
        <v>33320</v>
      </c>
      <c r="G31" s="3">
        <f t="shared" si="0"/>
        <v>20270</v>
      </c>
      <c r="H31" s="3">
        <f t="shared" si="0"/>
        <v>176360</v>
      </c>
      <c r="I31" s="3">
        <f t="shared" si="0"/>
        <v>414250</v>
      </c>
      <c r="J31" s="3">
        <f t="shared" si="0"/>
        <v>24550</v>
      </c>
      <c r="K31" s="3">
        <f t="shared" si="0"/>
        <v>15090</v>
      </c>
      <c r="L31" s="3">
        <f t="shared" si="0"/>
        <v>13600</v>
      </c>
      <c r="M31" s="3">
        <f t="shared" si="0"/>
        <v>120900</v>
      </c>
      <c r="N31" s="3">
        <f t="shared" si="0"/>
        <v>160</v>
      </c>
      <c r="O31" s="3">
        <f t="shared" si="0"/>
        <v>410</v>
      </c>
      <c r="P31" s="3">
        <f t="shared" si="0"/>
        <v>90</v>
      </c>
    </row>
    <row r="32" spans="1:16">
      <c r="A32" s="1"/>
      <c r="B32" s="2">
        <v>2014</v>
      </c>
      <c r="C32" s="3">
        <f t="shared" si="1"/>
        <v>821130</v>
      </c>
      <c r="D32" s="3">
        <f t="shared" si="0"/>
        <v>10740</v>
      </c>
      <c r="E32" s="3">
        <f t="shared" si="0"/>
        <v>5040</v>
      </c>
      <c r="F32" s="3">
        <f t="shared" si="0"/>
        <v>33030</v>
      </c>
      <c r="G32" s="3">
        <f t="shared" si="0"/>
        <v>19700</v>
      </c>
      <c r="H32" s="3">
        <f t="shared" si="0"/>
        <v>171610</v>
      </c>
      <c r="I32" s="3">
        <f t="shared" si="0"/>
        <v>409880</v>
      </c>
      <c r="J32" s="3">
        <f t="shared" si="0"/>
        <v>23670</v>
      </c>
      <c r="K32" s="3">
        <f t="shared" si="0"/>
        <v>15100</v>
      </c>
      <c r="L32" s="3">
        <f t="shared" si="0"/>
        <v>11620</v>
      </c>
      <c r="M32" s="3">
        <f t="shared" si="0"/>
        <v>121080</v>
      </c>
      <c r="N32" s="3">
        <f t="shared" si="0"/>
        <v>170</v>
      </c>
      <c r="O32" s="3">
        <f t="shared" si="0"/>
        <v>380</v>
      </c>
      <c r="P32" s="3">
        <f t="shared" si="0"/>
        <v>130</v>
      </c>
    </row>
    <row r="33" spans="1:16">
      <c r="A33" s="1"/>
      <c r="B33" s="2">
        <v>2015</v>
      </c>
      <c r="C33" s="3"/>
      <c r="D33" s="4"/>
      <c r="E33" s="4"/>
      <c r="F33" s="4"/>
      <c r="G33" s="4"/>
      <c r="H33" s="4"/>
      <c r="I33" s="4"/>
      <c r="K33" s="4"/>
      <c r="L33" s="4"/>
      <c r="N33" s="4"/>
      <c r="O33" s="4"/>
      <c r="P33" s="4"/>
    </row>
    <row r="35" spans="1:16">
      <c r="A35" s="33" t="s">
        <v>410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7" t="s">
        <v>280</v>
      </c>
      <c r="B37" s="2"/>
      <c r="C37" s="2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</row>
    <row r="38" spans="1:16">
      <c r="A38" s="7" t="s">
        <v>0</v>
      </c>
      <c r="B38" s="2">
        <v>2010</v>
      </c>
      <c r="C38" s="2">
        <v>2011</v>
      </c>
      <c r="D38" s="2">
        <v>2012</v>
      </c>
      <c r="E38" s="2">
        <v>2013</v>
      </c>
      <c r="F38" s="2">
        <v>2014</v>
      </c>
      <c r="G38" s="2">
        <v>2015</v>
      </c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7" t="s">
        <v>284</v>
      </c>
      <c r="B39" s="3">
        <v>32700430</v>
      </c>
      <c r="C39" s="3">
        <v>33087940</v>
      </c>
      <c r="D39" s="3">
        <v>33399630</v>
      </c>
      <c r="E39" s="3">
        <v>33784140</v>
      </c>
      <c r="F39" s="3">
        <v>34164940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7" t="s">
        <v>288</v>
      </c>
      <c r="B40" s="3">
        <v>510200</v>
      </c>
      <c r="C40" s="3">
        <v>512900</v>
      </c>
      <c r="D40" s="3">
        <v>513500</v>
      </c>
      <c r="E40" s="3">
        <v>515080</v>
      </c>
      <c r="F40" s="3">
        <v>517560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7" t="s">
        <v>292</v>
      </c>
      <c r="B41" s="3">
        <v>138610</v>
      </c>
      <c r="C41" s="3">
        <v>139420</v>
      </c>
      <c r="D41" s="3">
        <v>139020</v>
      </c>
      <c r="E41" s="3">
        <v>138920</v>
      </c>
      <c r="F41" s="3">
        <v>139810</v>
      </c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7" t="s">
        <v>296</v>
      </c>
      <c r="B42" s="3">
        <v>900240</v>
      </c>
      <c r="C42" s="3">
        <v>902250</v>
      </c>
      <c r="D42" s="3">
        <v>898330</v>
      </c>
      <c r="E42" s="3">
        <v>898170</v>
      </c>
      <c r="F42" s="3">
        <v>898890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7" t="s">
        <v>300</v>
      </c>
      <c r="B43" s="3">
        <v>737220</v>
      </c>
      <c r="C43" s="3">
        <v>738640</v>
      </c>
      <c r="D43" s="3">
        <v>736420</v>
      </c>
      <c r="E43" s="3">
        <v>734470</v>
      </c>
      <c r="F43" s="3">
        <v>736080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7" t="s">
        <v>304</v>
      </c>
      <c r="B44" s="3">
        <v>7717710</v>
      </c>
      <c r="C44" s="3">
        <v>7792820</v>
      </c>
      <c r="D44" s="3">
        <v>7848370</v>
      </c>
      <c r="E44" s="3">
        <v>7904880</v>
      </c>
      <c r="F44" s="3">
        <v>7960870</v>
      </c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7" t="s">
        <v>308</v>
      </c>
      <c r="B45" s="3">
        <v>12593440</v>
      </c>
      <c r="C45" s="3">
        <v>12707860</v>
      </c>
      <c r="D45" s="3">
        <v>12796300</v>
      </c>
      <c r="E45" s="3">
        <v>12912940</v>
      </c>
      <c r="F45" s="3">
        <v>13040270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7" t="s">
        <v>312</v>
      </c>
      <c r="B46" s="3">
        <v>1187700</v>
      </c>
      <c r="C46" s="3">
        <v>1203690</v>
      </c>
      <c r="D46" s="3">
        <v>1215110</v>
      </c>
      <c r="E46" s="3">
        <v>1227940</v>
      </c>
      <c r="F46" s="3">
        <v>1240970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7" t="s">
        <v>316</v>
      </c>
      <c r="B47" s="3">
        <v>1022160</v>
      </c>
      <c r="C47" s="3">
        <v>1042260</v>
      </c>
      <c r="D47" s="3">
        <v>1058700</v>
      </c>
      <c r="E47" s="3">
        <v>1073430</v>
      </c>
      <c r="F47" s="3">
        <v>1086200</v>
      </c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7" t="s">
        <v>320</v>
      </c>
      <c r="B48" s="3">
        <v>3544590</v>
      </c>
      <c r="C48" s="3">
        <v>3644620</v>
      </c>
      <c r="D48" s="3">
        <v>3765200</v>
      </c>
      <c r="E48" s="3">
        <v>3891740</v>
      </c>
      <c r="F48" s="3">
        <v>3991300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7" t="s">
        <v>324</v>
      </c>
      <c r="B49" s="3">
        <v>4243560</v>
      </c>
      <c r="C49" s="3">
        <v>4296660</v>
      </c>
      <c r="D49" s="3">
        <v>4321100</v>
      </c>
      <c r="E49" s="3">
        <v>4377850</v>
      </c>
      <c r="F49" s="3">
        <v>4442710</v>
      </c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7" t="s">
        <v>328</v>
      </c>
      <c r="B50" s="3">
        <v>32210</v>
      </c>
      <c r="C50" s="3">
        <v>33240</v>
      </c>
      <c r="D50" s="3">
        <v>33420</v>
      </c>
      <c r="E50" s="3">
        <v>33680</v>
      </c>
      <c r="F50" s="3">
        <v>34140</v>
      </c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7" t="s">
        <v>332</v>
      </c>
      <c r="B51" s="3">
        <v>41080</v>
      </c>
      <c r="C51" s="3">
        <v>41220</v>
      </c>
      <c r="D51" s="3">
        <v>41130</v>
      </c>
      <c r="E51" s="3">
        <v>41350</v>
      </c>
      <c r="F51" s="3">
        <v>41730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7" t="s">
        <v>336</v>
      </c>
      <c r="B52" s="3">
        <v>31710</v>
      </c>
      <c r="C52" s="3">
        <v>32360</v>
      </c>
      <c r="D52" s="3">
        <v>33030</v>
      </c>
      <c r="E52" s="3">
        <v>33690</v>
      </c>
      <c r="F52" s="3">
        <v>34410</v>
      </c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7" t="s">
        <v>281</v>
      </c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7" t="s">
        <v>0</v>
      </c>
      <c r="B55" s="2">
        <v>2010</v>
      </c>
      <c r="C55" s="2">
        <v>2011</v>
      </c>
      <c r="D55" s="2">
        <v>2012</v>
      </c>
      <c r="E55" s="2">
        <v>2013</v>
      </c>
      <c r="F55" s="2">
        <v>2014</v>
      </c>
      <c r="G55" s="2">
        <v>2015</v>
      </c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7" t="s">
        <v>285</v>
      </c>
      <c r="B56" s="3">
        <v>15915100</v>
      </c>
      <c r="C56" s="3">
        <v>16117200</v>
      </c>
      <c r="D56" s="3">
        <v>16275110</v>
      </c>
      <c r="E56" s="3">
        <v>16475000</v>
      </c>
      <c r="F56" s="3">
        <v>16671910</v>
      </c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7" t="s">
        <v>289</v>
      </c>
      <c r="B57" s="3">
        <v>249230</v>
      </c>
      <c r="C57" s="3">
        <v>250770</v>
      </c>
      <c r="D57" s="3">
        <v>251070</v>
      </c>
      <c r="E57" s="3">
        <v>251950</v>
      </c>
      <c r="F57" s="3">
        <v>253410</v>
      </c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7" t="s">
        <v>293</v>
      </c>
      <c r="B58" s="3">
        <v>66880</v>
      </c>
      <c r="C58" s="3">
        <v>67330</v>
      </c>
      <c r="D58" s="3">
        <v>67060</v>
      </c>
      <c r="E58" s="3">
        <v>66980</v>
      </c>
      <c r="F58" s="3">
        <v>67380</v>
      </c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7" t="s">
        <v>297</v>
      </c>
      <c r="B59" s="3">
        <v>433370</v>
      </c>
      <c r="C59" s="3">
        <v>434600</v>
      </c>
      <c r="D59" s="3">
        <v>432560</v>
      </c>
      <c r="E59" s="3">
        <v>432430</v>
      </c>
      <c r="F59" s="3">
        <v>432930</v>
      </c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7" t="s">
        <v>301</v>
      </c>
      <c r="B60" s="3">
        <v>358730</v>
      </c>
      <c r="C60" s="3">
        <v>359550</v>
      </c>
      <c r="D60" s="3">
        <v>358040</v>
      </c>
      <c r="E60" s="3">
        <v>357100</v>
      </c>
      <c r="F60" s="3">
        <v>358190</v>
      </c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7" t="s">
        <v>305</v>
      </c>
      <c r="B61" s="3">
        <v>3763670</v>
      </c>
      <c r="C61" s="3">
        <v>3804230</v>
      </c>
      <c r="D61" s="3">
        <v>3833780</v>
      </c>
      <c r="E61" s="3">
        <v>3864260</v>
      </c>
      <c r="F61" s="3">
        <v>3894630</v>
      </c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7" t="s">
        <v>309</v>
      </c>
      <c r="B62" s="3">
        <v>6094540</v>
      </c>
      <c r="C62" s="3">
        <v>6148440</v>
      </c>
      <c r="D62" s="3">
        <v>6190660</v>
      </c>
      <c r="E62" s="3">
        <v>6249350</v>
      </c>
      <c r="F62" s="3">
        <v>6315200</v>
      </c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7" t="s">
        <v>313</v>
      </c>
      <c r="B63" s="3">
        <v>580200</v>
      </c>
      <c r="C63" s="3">
        <v>589010</v>
      </c>
      <c r="D63" s="3">
        <v>594860</v>
      </c>
      <c r="E63" s="3">
        <v>601690</v>
      </c>
      <c r="F63" s="3">
        <v>608650</v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7" t="s">
        <v>317</v>
      </c>
      <c r="B64" s="3">
        <v>501220</v>
      </c>
      <c r="C64" s="3">
        <v>512830</v>
      </c>
      <c r="D64" s="3">
        <v>521170</v>
      </c>
      <c r="E64" s="3">
        <v>529170</v>
      </c>
      <c r="F64" s="3">
        <v>535550</v>
      </c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7" t="s">
        <v>321</v>
      </c>
      <c r="B65" s="3">
        <v>1755420</v>
      </c>
      <c r="C65" s="3">
        <v>1808700</v>
      </c>
      <c r="D65" s="3">
        <v>1872750</v>
      </c>
      <c r="E65" s="3">
        <v>1939070</v>
      </c>
      <c r="F65" s="3">
        <v>1989840</v>
      </c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7" t="s">
        <v>325</v>
      </c>
      <c r="B66" s="3">
        <v>2059040</v>
      </c>
      <c r="C66" s="3">
        <v>2088020</v>
      </c>
      <c r="D66" s="3">
        <v>2099160</v>
      </c>
      <c r="E66" s="3">
        <v>2128480</v>
      </c>
      <c r="F66" s="3">
        <v>2160820</v>
      </c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7" t="s">
        <v>329</v>
      </c>
      <c r="B67" s="3">
        <v>16080</v>
      </c>
      <c r="C67" s="3">
        <v>16610</v>
      </c>
      <c r="D67" s="3">
        <v>16680</v>
      </c>
      <c r="E67" s="3">
        <v>16760</v>
      </c>
      <c r="F67" s="3">
        <v>16990</v>
      </c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7" t="s">
        <v>333</v>
      </c>
      <c r="B68" s="3">
        <v>20800</v>
      </c>
      <c r="C68" s="3">
        <v>20900</v>
      </c>
      <c r="D68" s="3">
        <v>20790</v>
      </c>
      <c r="E68" s="3">
        <v>20880</v>
      </c>
      <c r="F68" s="3">
        <v>21060</v>
      </c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7" t="s">
        <v>337</v>
      </c>
      <c r="B69" s="3">
        <v>15950</v>
      </c>
      <c r="C69" s="3">
        <v>16230</v>
      </c>
      <c r="D69" s="3">
        <v>16520</v>
      </c>
      <c r="E69" s="3">
        <v>16890</v>
      </c>
      <c r="F69" s="3">
        <v>17270</v>
      </c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7" t="s">
        <v>282</v>
      </c>
      <c r="B71" s="2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7" t="s">
        <v>0</v>
      </c>
      <c r="B72" s="2">
        <v>2010</v>
      </c>
      <c r="C72" s="2">
        <v>2011</v>
      </c>
      <c r="D72" s="2">
        <v>2012</v>
      </c>
      <c r="E72" s="2">
        <v>2013</v>
      </c>
      <c r="F72" s="2">
        <v>2014</v>
      </c>
      <c r="G72" s="2">
        <v>2015</v>
      </c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7" t="s">
        <v>286</v>
      </c>
      <c r="B73" s="3">
        <v>16785330</v>
      </c>
      <c r="C73" s="3">
        <v>16970740</v>
      </c>
      <c r="D73" s="3">
        <v>17124520</v>
      </c>
      <c r="E73" s="3">
        <v>17309140</v>
      </c>
      <c r="F73" s="3">
        <v>17493040</v>
      </c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7" t="s">
        <v>290</v>
      </c>
      <c r="B74" s="3">
        <v>260970</v>
      </c>
      <c r="C74" s="3">
        <v>262140</v>
      </c>
      <c r="D74" s="3">
        <v>262430</v>
      </c>
      <c r="E74" s="3">
        <v>263130</v>
      </c>
      <c r="F74" s="3">
        <v>264150</v>
      </c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7" t="s">
        <v>294</v>
      </c>
      <c r="B75" s="3">
        <v>71730</v>
      </c>
      <c r="C75" s="3">
        <v>72090</v>
      </c>
      <c r="D75" s="3">
        <v>71960</v>
      </c>
      <c r="E75" s="3">
        <v>71940</v>
      </c>
      <c r="F75" s="3">
        <v>72420</v>
      </c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7" t="s">
        <v>298</v>
      </c>
      <c r="B76" s="3">
        <v>466870</v>
      </c>
      <c r="C76" s="3">
        <v>467660</v>
      </c>
      <c r="D76" s="3">
        <v>465770</v>
      </c>
      <c r="E76" s="3">
        <v>465750</v>
      </c>
      <c r="F76" s="3">
        <v>465960</v>
      </c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7" t="s">
        <v>302</v>
      </c>
      <c r="B77" s="3">
        <v>378490</v>
      </c>
      <c r="C77" s="3">
        <v>379100</v>
      </c>
      <c r="D77" s="3">
        <v>378380</v>
      </c>
      <c r="E77" s="3">
        <v>377370</v>
      </c>
      <c r="F77" s="3">
        <v>377890</v>
      </c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7" t="s">
        <v>306</v>
      </c>
      <c r="B78" s="3">
        <v>3954040</v>
      </c>
      <c r="C78" s="3">
        <v>3988590</v>
      </c>
      <c r="D78" s="3">
        <v>4014590</v>
      </c>
      <c r="E78" s="3">
        <v>4040620</v>
      </c>
      <c r="F78" s="3">
        <v>4066240</v>
      </c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7" t="s">
        <v>310</v>
      </c>
      <c r="B79" s="3">
        <v>6498910</v>
      </c>
      <c r="C79" s="3">
        <v>6559420</v>
      </c>
      <c r="D79" s="3">
        <v>6605630</v>
      </c>
      <c r="E79" s="3">
        <v>6663600</v>
      </c>
      <c r="F79" s="3">
        <v>6725080</v>
      </c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7" t="s">
        <v>314</v>
      </c>
      <c r="B80" s="3">
        <v>607500</v>
      </c>
      <c r="C80" s="3">
        <v>614670</v>
      </c>
      <c r="D80" s="3">
        <v>620250</v>
      </c>
      <c r="E80" s="3">
        <v>626240</v>
      </c>
      <c r="F80" s="3">
        <v>632320</v>
      </c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7" t="s">
        <v>318</v>
      </c>
      <c r="B81" s="3">
        <v>520940</v>
      </c>
      <c r="C81" s="3">
        <v>529440</v>
      </c>
      <c r="D81" s="3">
        <v>537530</v>
      </c>
      <c r="E81" s="3">
        <v>544260</v>
      </c>
      <c r="F81" s="3">
        <v>550650</v>
      </c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7" t="s">
        <v>322</v>
      </c>
      <c r="B82" s="3">
        <v>1789170</v>
      </c>
      <c r="C82" s="3">
        <v>1835920</v>
      </c>
      <c r="D82" s="3">
        <v>1892450</v>
      </c>
      <c r="E82" s="3">
        <v>1952670</v>
      </c>
      <c r="F82" s="3">
        <v>2001460</v>
      </c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7" t="s">
        <v>326</v>
      </c>
      <c r="B83" s="3">
        <v>2184530</v>
      </c>
      <c r="C83" s="3">
        <v>2208640</v>
      </c>
      <c r="D83" s="3">
        <v>2221940</v>
      </c>
      <c r="E83" s="3">
        <v>2249380</v>
      </c>
      <c r="F83" s="3">
        <v>2281900</v>
      </c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7" t="s">
        <v>330</v>
      </c>
      <c r="B84" s="3">
        <v>16130</v>
      </c>
      <c r="C84" s="3">
        <v>16630</v>
      </c>
      <c r="D84" s="3">
        <v>16740</v>
      </c>
      <c r="E84" s="3">
        <v>16920</v>
      </c>
      <c r="F84" s="3">
        <v>17160</v>
      </c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7" t="s">
        <v>334</v>
      </c>
      <c r="B85" s="3">
        <v>20280</v>
      </c>
      <c r="C85" s="3">
        <v>20330</v>
      </c>
      <c r="D85" s="3">
        <v>20340</v>
      </c>
      <c r="E85" s="3">
        <v>20470</v>
      </c>
      <c r="F85" s="3">
        <v>20680</v>
      </c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7" t="s">
        <v>338</v>
      </c>
      <c r="B86" s="3">
        <v>15760</v>
      </c>
      <c r="C86" s="3">
        <v>16130</v>
      </c>
      <c r="D86" s="3">
        <v>16510</v>
      </c>
      <c r="E86" s="3">
        <v>16800</v>
      </c>
      <c r="F86" s="3">
        <v>17140</v>
      </c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7" t="s">
        <v>283</v>
      </c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7" t="s">
        <v>0</v>
      </c>
      <c r="B89" s="2">
        <v>2010</v>
      </c>
      <c r="C89" s="2">
        <v>2011</v>
      </c>
      <c r="D89" s="2">
        <v>2012</v>
      </c>
      <c r="E89" s="2">
        <v>2013</v>
      </c>
      <c r="F89" s="2">
        <v>2014</v>
      </c>
      <c r="G89" s="2">
        <v>2015</v>
      </c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7" t="s">
        <v>287</v>
      </c>
      <c r="B90" s="3">
        <v>870230</v>
      </c>
      <c r="C90" s="3">
        <v>853540</v>
      </c>
      <c r="D90" s="3">
        <v>849410</v>
      </c>
      <c r="E90" s="3">
        <v>834140</v>
      </c>
      <c r="F90" s="3">
        <v>821130</v>
      </c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7" t="s">
        <v>291</v>
      </c>
      <c r="B91" s="3">
        <v>11740</v>
      </c>
      <c r="C91" s="3">
        <v>11370</v>
      </c>
      <c r="D91" s="3">
        <v>11360</v>
      </c>
      <c r="E91" s="3">
        <v>11180</v>
      </c>
      <c r="F91" s="3">
        <v>10740</v>
      </c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7" t="s">
        <v>295</v>
      </c>
      <c r="B92" s="3">
        <v>4850</v>
      </c>
      <c r="C92" s="3">
        <v>4760</v>
      </c>
      <c r="D92" s="3">
        <v>4900</v>
      </c>
      <c r="E92" s="3">
        <v>4960</v>
      </c>
      <c r="F92" s="3">
        <v>5040</v>
      </c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7" t="s">
        <v>299</v>
      </c>
      <c r="B93" s="3">
        <v>33500</v>
      </c>
      <c r="C93" s="3">
        <v>33060</v>
      </c>
      <c r="D93" s="3">
        <v>33210</v>
      </c>
      <c r="E93" s="3">
        <v>33320</v>
      </c>
      <c r="F93" s="3">
        <v>33030</v>
      </c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7" t="s">
        <v>303</v>
      </c>
      <c r="B94" s="3">
        <v>19760</v>
      </c>
      <c r="C94" s="3">
        <v>19550</v>
      </c>
      <c r="D94" s="3">
        <v>20340</v>
      </c>
      <c r="E94" s="3">
        <v>20270</v>
      </c>
      <c r="F94" s="3">
        <v>19700</v>
      </c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7" t="s">
        <v>307</v>
      </c>
      <c r="B95" s="3">
        <v>190370</v>
      </c>
      <c r="C95" s="3">
        <v>184360</v>
      </c>
      <c r="D95" s="3">
        <v>180810</v>
      </c>
      <c r="E95" s="3">
        <v>176360</v>
      </c>
      <c r="F95" s="3">
        <v>171610</v>
      </c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7" t="s">
        <v>311</v>
      </c>
      <c r="B96" s="3">
        <v>404370</v>
      </c>
      <c r="C96" s="3">
        <v>410980</v>
      </c>
      <c r="D96" s="3">
        <v>414970</v>
      </c>
      <c r="E96" s="3">
        <v>414250</v>
      </c>
      <c r="F96" s="3">
        <v>409880</v>
      </c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7" t="s">
        <v>315</v>
      </c>
      <c r="B97" s="3">
        <v>27300</v>
      </c>
      <c r="C97" s="3">
        <v>25660</v>
      </c>
      <c r="D97" s="3">
        <v>25390</v>
      </c>
      <c r="E97" s="3">
        <v>24550</v>
      </c>
      <c r="F97" s="3">
        <v>23670</v>
      </c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7" t="s">
        <v>319</v>
      </c>
      <c r="B98" s="3">
        <v>19720</v>
      </c>
      <c r="C98" s="3">
        <v>16610</v>
      </c>
      <c r="D98" s="3">
        <v>16360</v>
      </c>
      <c r="E98" s="3">
        <v>15090</v>
      </c>
      <c r="F98" s="3">
        <v>15100</v>
      </c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7" t="s">
        <v>323</v>
      </c>
      <c r="B99" s="3">
        <v>33750</v>
      </c>
      <c r="C99" s="3">
        <v>27220</v>
      </c>
      <c r="D99" s="3">
        <v>19700</v>
      </c>
      <c r="E99" s="3">
        <v>13600</v>
      </c>
      <c r="F99" s="3">
        <v>11620</v>
      </c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7" t="s">
        <v>327</v>
      </c>
      <c r="B100" s="3">
        <v>125490</v>
      </c>
      <c r="C100" s="3">
        <v>120620</v>
      </c>
      <c r="D100" s="3">
        <v>122780</v>
      </c>
      <c r="E100" s="3">
        <v>120900</v>
      </c>
      <c r="F100" s="3">
        <v>121080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7" t="s">
        <v>331</v>
      </c>
      <c r="B101" s="3">
        <v>50</v>
      </c>
      <c r="C101" s="3">
        <v>20</v>
      </c>
      <c r="D101" s="3">
        <v>60</v>
      </c>
      <c r="E101" s="3">
        <v>160</v>
      </c>
      <c r="F101" s="3">
        <v>170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7" t="s">
        <v>335</v>
      </c>
      <c r="B102" s="3">
        <v>520</v>
      </c>
      <c r="C102" s="3">
        <v>570</v>
      </c>
      <c r="D102" s="3">
        <v>450</v>
      </c>
      <c r="E102" s="3">
        <v>410</v>
      </c>
      <c r="F102" s="3">
        <v>380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7" t="s">
        <v>339</v>
      </c>
      <c r="B103" s="3">
        <v>190</v>
      </c>
      <c r="C103" s="3">
        <v>100</v>
      </c>
      <c r="D103" s="3">
        <v>10</v>
      </c>
      <c r="E103" s="3">
        <v>90</v>
      </c>
      <c r="F103" s="3">
        <v>130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</row>
  </sheetData>
  <mergeCells count="2">
    <mergeCell ref="A35:P35"/>
    <mergeCell ref="A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3"/>
  <sheetViews>
    <sheetView tabSelected="1" topLeftCell="E101" zoomScale="150" zoomScaleNormal="150" zoomScalePageLayoutView="150" workbookViewId="0">
      <selection activeCell="P122" sqref="P122:U122"/>
    </sheetView>
  </sheetViews>
  <sheetFormatPr baseColWidth="10" defaultRowHeight="15" x14ac:dyDescent="0"/>
  <sheetData>
    <row r="1" spans="1:21" s="12" customFormat="1">
      <c r="A1" s="32" t="s">
        <v>416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0"/>
    </row>
    <row r="2" spans="1:21" s="12" customForma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30"/>
    </row>
    <row r="3" spans="1:21" s="12" customFormat="1" ht="16" thickBot="1">
      <c r="A3" s="14"/>
      <c r="B3" s="23" t="s">
        <v>419</v>
      </c>
      <c r="C3" s="23" t="s">
        <v>95</v>
      </c>
      <c r="D3" s="23" t="s">
        <v>96</v>
      </c>
      <c r="E3" s="23" t="s">
        <v>97</v>
      </c>
      <c r="F3"/>
      <c r="G3"/>
      <c r="H3" s="29" t="s">
        <v>417</v>
      </c>
      <c r="I3" s="23" t="s">
        <v>91</v>
      </c>
      <c r="J3" s="23" t="s">
        <v>92</v>
      </c>
      <c r="K3" s="23" t="s">
        <v>415</v>
      </c>
      <c r="L3" s="23" t="s">
        <v>94</v>
      </c>
      <c r="M3" s="30"/>
      <c r="N3" s="30"/>
      <c r="O3" s="29" t="s">
        <v>418</v>
      </c>
      <c r="P3" s="23" t="s">
        <v>50</v>
      </c>
      <c r="Q3" s="23" t="s">
        <v>64</v>
      </c>
      <c r="R3" s="23" t="s">
        <v>87</v>
      </c>
      <c r="S3" s="23" t="s">
        <v>88</v>
      </c>
      <c r="T3" s="23" t="s">
        <v>89</v>
      </c>
      <c r="U3" s="23" t="s">
        <v>90</v>
      </c>
    </row>
    <row r="4" spans="1:21" s="12" customFormat="1">
      <c r="A4" s="17"/>
      <c r="B4" s="24"/>
      <c r="C4" s="24"/>
      <c r="D4" s="24"/>
      <c r="E4" s="24"/>
      <c r="F4"/>
      <c r="G4"/>
      <c r="H4"/>
      <c r="I4"/>
      <c r="J4"/>
      <c r="K4"/>
      <c r="L4"/>
      <c r="M4"/>
      <c r="N4"/>
      <c r="O4"/>
      <c r="P4" s="30"/>
      <c r="Q4" s="30"/>
      <c r="R4" s="30"/>
      <c r="S4" s="30"/>
      <c r="T4" s="30"/>
      <c r="U4" s="30"/>
    </row>
    <row r="5" spans="1:21" s="12" customFormat="1">
      <c r="A5" s="14" t="s">
        <v>31</v>
      </c>
      <c r="B5" s="14" t="s">
        <v>0</v>
      </c>
      <c r="C5" s="25" t="s">
        <v>182</v>
      </c>
      <c r="D5" s="25" t="s">
        <v>195</v>
      </c>
      <c r="E5" s="25" t="s">
        <v>208</v>
      </c>
      <c r="F5"/>
      <c r="G5" s="14" t="s">
        <v>31</v>
      </c>
      <c r="H5" s="14" t="s">
        <v>0</v>
      </c>
      <c r="I5" s="14" t="s">
        <v>130</v>
      </c>
      <c r="J5" s="14" t="s">
        <v>143</v>
      </c>
      <c r="K5" s="14" t="s">
        <v>156</v>
      </c>
      <c r="L5" s="14" t="s">
        <v>169</v>
      </c>
      <c r="M5" s="14"/>
      <c r="N5" s="14" t="s">
        <v>31</v>
      </c>
      <c r="O5" s="14" t="s">
        <v>0</v>
      </c>
      <c r="P5" s="14" t="s">
        <v>18</v>
      </c>
      <c r="Q5" s="14" t="s">
        <v>51</v>
      </c>
      <c r="R5" s="14" t="s">
        <v>65</v>
      </c>
      <c r="S5" s="14" t="s">
        <v>78</v>
      </c>
      <c r="T5" s="14" t="s">
        <v>104</v>
      </c>
      <c r="U5" s="14" t="s">
        <v>117</v>
      </c>
    </row>
    <row r="6" spans="1:21" s="12" customFormat="1">
      <c r="A6" s="14"/>
      <c r="B6" s="15">
        <v>2010</v>
      </c>
      <c r="C6" s="26">
        <v>16530</v>
      </c>
      <c r="D6" s="26">
        <v>22880</v>
      </c>
      <c r="E6" s="26">
        <v>20070</v>
      </c>
      <c r="F6"/>
      <c r="G6" s="14"/>
      <c r="H6" s="15">
        <v>2010</v>
      </c>
      <c r="I6" s="17">
        <v>550740</v>
      </c>
      <c r="J6" s="17">
        <v>470660</v>
      </c>
      <c r="K6" s="17">
        <v>1598410</v>
      </c>
      <c r="L6" s="17">
        <v>1797140</v>
      </c>
      <c r="M6" s="17"/>
      <c r="N6" s="14"/>
      <c r="O6" s="15">
        <v>2010</v>
      </c>
      <c r="P6" s="17">
        <v>205830</v>
      </c>
      <c r="Q6" s="17">
        <v>58930</v>
      </c>
      <c r="R6" s="17">
        <v>382650</v>
      </c>
      <c r="S6" s="17">
        <v>302780</v>
      </c>
      <c r="T6" s="17">
        <v>3330360</v>
      </c>
      <c r="U6" s="17">
        <v>5479920</v>
      </c>
    </row>
    <row r="7" spans="1:21" s="12" customFormat="1">
      <c r="A7" s="14"/>
      <c r="B7" s="15">
        <v>2011</v>
      </c>
      <c r="C7" s="26">
        <v>16970</v>
      </c>
      <c r="D7" s="26">
        <v>22830</v>
      </c>
      <c r="E7" s="26">
        <v>20530</v>
      </c>
      <c r="F7"/>
      <c r="G7" s="14"/>
      <c r="H7" s="15">
        <v>2011</v>
      </c>
      <c r="I7" s="17">
        <v>559000</v>
      </c>
      <c r="J7" s="17">
        <v>482110</v>
      </c>
      <c r="K7" s="17">
        <v>1650840</v>
      </c>
      <c r="L7" s="17">
        <v>1819880</v>
      </c>
      <c r="M7" s="17"/>
      <c r="N7" s="14"/>
      <c r="O7" s="15">
        <v>2011</v>
      </c>
      <c r="P7" s="17">
        <v>206740</v>
      </c>
      <c r="Q7" s="17">
        <v>59070</v>
      </c>
      <c r="R7" s="17">
        <v>383330</v>
      </c>
      <c r="S7" s="17">
        <v>302150</v>
      </c>
      <c r="T7" s="17">
        <v>3365750</v>
      </c>
      <c r="U7" s="17">
        <v>5526970</v>
      </c>
    </row>
    <row r="8" spans="1:21" s="12" customFormat="1">
      <c r="A8" s="14"/>
      <c r="B8" s="15">
        <v>2012</v>
      </c>
      <c r="C8" s="26">
        <v>17130</v>
      </c>
      <c r="D8" s="26">
        <v>22910</v>
      </c>
      <c r="E8" s="26">
        <v>20890</v>
      </c>
      <c r="F8"/>
      <c r="G8" s="14"/>
      <c r="H8" s="15">
        <v>2012</v>
      </c>
      <c r="I8" s="17">
        <v>564890</v>
      </c>
      <c r="J8" s="17">
        <v>490370</v>
      </c>
      <c r="K8" s="17">
        <v>1717230</v>
      </c>
      <c r="L8" s="17">
        <v>1828090</v>
      </c>
      <c r="M8" s="17"/>
      <c r="N8" s="14"/>
      <c r="O8" s="15">
        <v>2012</v>
      </c>
      <c r="P8" s="17">
        <v>207080</v>
      </c>
      <c r="Q8" s="17">
        <v>58630</v>
      </c>
      <c r="R8" s="17">
        <v>381040</v>
      </c>
      <c r="S8" s="17">
        <v>300100</v>
      </c>
      <c r="T8" s="17">
        <v>3396010</v>
      </c>
      <c r="U8" s="17">
        <v>5569180</v>
      </c>
    </row>
    <row r="9" spans="1:21" s="12" customFormat="1">
      <c r="A9" s="14"/>
      <c r="B9" s="15">
        <v>2013</v>
      </c>
      <c r="C9" s="26">
        <v>17150</v>
      </c>
      <c r="D9" s="26">
        <v>22870</v>
      </c>
      <c r="E9" s="26">
        <v>21290</v>
      </c>
      <c r="F9"/>
      <c r="G9" s="14"/>
      <c r="H9" s="15">
        <v>2013</v>
      </c>
      <c r="I9" s="17">
        <v>571780</v>
      </c>
      <c r="J9" s="17">
        <v>497220</v>
      </c>
      <c r="K9" s="17">
        <v>1779830</v>
      </c>
      <c r="L9" s="17">
        <v>1850260</v>
      </c>
      <c r="M9" s="17"/>
      <c r="N9" s="14"/>
      <c r="O9" s="15">
        <v>2013</v>
      </c>
      <c r="P9" s="17">
        <v>207310</v>
      </c>
      <c r="Q9" s="17">
        <v>58480</v>
      </c>
      <c r="R9" s="17">
        <v>381010</v>
      </c>
      <c r="S9" s="17">
        <v>298560</v>
      </c>
      <c r="T9" s="17">
        <v>3420020</v>
      </c>
      <c r="U9" s="17">
        <v>5623700</v>
      </c>
    </row>
    <row r="10" spans="1:21" s="12" customFormat="1">
      <c r="A10" s="14"/>
      <c r="B10" s="15">
        <v>2014</v>
      </c>
      <c r="C10" s="26">
        <v>17270</v>
      </c>
      <c r="D10" s="26">
        <v>23130</v>
      </c>
      <c r="E10" s="26">
        <v>21750</v>
      </c>
      <c r="F10"/>
      <c r="G10" s="14"/>
      <c r="H10" s="15">
        <v>2014</v>
      </c>
      <c r="I10" s="17">
        <v>578420</v>
      </c>
      <c r="J10" s="17">
        <v>503860</v>
      </c>
      <c r="K10" s="17">
        <v>1822880</v>
      </c>
      <c r="L10" s="17">
        <v>1876930</v>
      </c>
      <c r="M10" s="17"/>
      <c r="N10" s="14"/>
      <c r="O10" s="15">
        <v>2014</v>
      </c>
      <c r="P10" s="17">
        <v>208650</v>
      </c>
      <c r="Q10" s="17">
        <v>58720</v>
      </c>
      <c r="R10" s="17">
        <v>381540</v>
      </c>
      <c r="S10" s="17">
        <v>299360</v>
      </c>
      <c r="T10" s="17">
        <v>3448690</v>
      </c>
      <c r="U10" s="17">
        <v>5681420</v>
      </c>
    </row>
    <row r="11" spans="1:21" s="12" customFormat="1">
      <c r="A11" s="14"/>
      <c r="C11" s="27"/>
      <c r="D11" s="27"/>
      <c r="E11" s="27"/>
      <c r="F11"/>
      <c r="G11" s="14"/>
      <c r="N11" s="14"/>
    </row>
    <row r="12" spans="1:21" s="12" customFormat="1">
      <c r="A12" s="14" t="s">
        <v>32</v>
      </c>
      <c r="B12" s="14" t="s">
        <v>0</v>
      </c>
      <c r="C12" s="25" t="s">
        <v>183</v>
      </c>
      <c r="D12" s="25" t="s">
        <v>196</v>
      </c>
      <c r="E12" s="25" t="s">
        <v>209</v>
      </c>
      <c r="F12"/>
      <c r="G12" s="14" t="s">
        <v>32</v>
      </c>
      <c r="H12" s="14" t="s">
        <v>0</v>
      </c>
      <c r="I12" s="15" t="s">
        <v>131</v>
      </c>
      <c r="J12" s="15" t="s">
        <v>144</v>
      </c>
      <c r="K12" s="14" t="s">
        <v>157</v>
      </c>
      <c r="L12" s="14" t="s">
        <v>170</v>
      </c>
      <c r="M12" s="14"/>
      <c r="N12" s="14" t="s">
        <v>32</v>
      </c>
      <c r="O12" s="14" t="s">
        <v>0</v>
      </c>
      <c r="P12" s="15" t="s">
        <v>19</v>
      </c>
      <c r="Q12" s="15" t="s">
        <v>52</v>
      </c>
      <c r="R12" s="15" t="s">
        <v>66</v>
      </c>
      <c r="S12" s="14" t="s">
        <v>79</v>
      </c>
      <c r="T12" s="15" t="s">
        <v>105</v>
      </c>
      <c r="U12" s="15" t="s">
        <v>118</v>
      </c>
    </row>
    <row r="13" spans="1:21" s="12" customFormat="1">
      <c r="A13" s="14"/>
      <c r="B13" s="15">
        <v>2010</v>
      </c>
      <c r="C13" s="26">
        <v>10170</v>
      </c>
      <c r="D13" s="26">
        <v>11130</v>
      </c>
      <c r="E13" s="26">
        <v>6100</v>
      </c>
      <c r="F13"/>
      <c r="G13" s="14"/>
      <c r="H13" s="15">
        <v>2010</v>
      </c>
      <c r="I13" s="16">
        <v>470400</v>
      </c>
      <c r="J13" s="16">
        <v>407900</v>
      </c>
      <c r="K13" s="17">
        <v>1474280</v>
      </c>
      <c r="L13" s="17">
        <v>1798550</v>
      </c>
      <c r="M13" s="17"/>
      <c r="N13" s="14"/>
      <c r="O13" s="15">
        <v>2010</v>
      </c>
      <c r="P13" s="16">
        <v>225350</v>
      </c>
      <c r="Q13" s="16">
        <v>58960</v>
      </c>
      <c r="R13" s="16">
        <v>365010</v>
      </c>
      <c r="S13" s="17">
        <v>299470</v>
      </c>
      <c r="T13" s="16">
        <v>2316960</v>
      </c>
      <c r="U13" s="16">
        <v>5303640</v>
      </c>
    </row>
    <row r="14" spans="1:21" s="12" customFormat="1">
      <c r="A14" s="14"/>
      <c r="B14" s="15">
        <v>2011</v>
      </c>
      <c r="C14" s="26">
        <v>10480</v>
      </c>
      <c r="D14" s="26">
        <v>11110</v>
      </c>
      <c r="E14" s="26">
        <v>6130</v>
      </c>
      <c r="F14"/>
      <c r="G14" s="14"/>
      <c r="H14" s="15">
        <v>2011</v>
      </c>
      <c r="I14" s="16">
        <v>475680</v>
      </c>
      <c r="J14" s="16">
        <v>413920</v>
      </c>
      <c r="K14" s="17">
        <v>1506390</v>
      </c>
      <c r="L14" s="17">
        <v>1815700</v>
      </c>
      <c r="M14" s="17"/>
      <c r="N14" s="14"/>
      <c r="O14" s="15">
        <v>2011</v>
      </c>
      <c r="P14" s="16">
        <v>225910</v>
      </c>
      <c r="Q14" s="16">
        <v>59170</v>
      </c>
      <c r="R14" s="16">
        <v>364550</v>
      </c>
      <c r="S14" s="17">
        <v>298920</v>
      </c>
      <c r="T14" s="16">
        <v>2318250</v>
      </c>
      <c r="U14" s="16">
        <v>5343040</v>
      </c>
    </row>
    <row r="15" spans="1:21" s="12" customFormat="1">
      <c r="A15" s="14"/>
      <c r="B15" s="15">
        <v>2012</v>
      </c>
      <c r="C15" s="26">
        <v>10470</v>
      </c>
      <c r="D15" s="26">
        <v>11150</v>
      </c>
      <c r="E15" s="26">
        <v>6250</v>
      </c>
      <c r="F15"/>
      <c r="G15" s="14"/>
      <c r="H15" s="15">
        <v>2012</v>
      </c>
      <c r="I15" s="16">
        <v>480250</v>
      </c>
      <c r="J15" s="16">
        <v>420850</v>
      </c>
      <c r="K15" s="17">
        <v>1549690</v>
      </c>
      <c r="L15" s="17">
        <v>1828730</v>
      </c>
      <c r="M15" s="17"/>
      <c r="N15" s="14"/>
      <c r="O15" s="15">
        <v>2012</v>
      </c>
      <c r="P15" s="16">
        <v>225760</v>
      </c>
      <c r="Q15" s="16">
        <v>59190</v>
      </c>
      <c r="R15" s="16">
        <v>362910</v>
      </c>
      <c r="S15" s="17">
        <v>298130</v>
      </c>
      <c r="T15" s="16">
        <v>2319520</v>
      </c>
      <c r="U15" s="16">
        <v>5376040</v>
      </c>
    </row>
    <row r="16" spans="1:21" s="12" customFormat="1">
      <c r="A16" s="14"/>
      <c r="B16" s="15">
        <v>2013</v>
      </c>
      <c r="C16" s="26">
        <v>10630</v>
      </c>
      <c r="D16" s="26">
        <v>11180</v>
      </c>
      <c r="E16" s="26">
        <v>6220</v>
      </c>
      <c r="F16"/>
      <c r="G16" s="14"/>
      <c r="H16" s="15">
        <v>2013</v>
      </c>
      <c r="I16" s="16">
        <v>484480</v>
      </c>
      <c r="J16" s="16">
        <v>426060</v>
      </c>
      <c r="K16" s="17">
        <v>1597430</v>
      </c>
      <c r="L16" s="17">
        <v>1848920</v>
      </c>
      <c r="M16" s="17"/>
      <c r="N16" s="14"/>
      <c r="O16" s="15">
        <v>2013</v>
      </c>
      <c r="P16" s="16">
        <v>225990</v>
      </c>
      <c r="Q16" s="16">
        <v>59020</v>
      </c>
      <c r="R16" s="16">
        <v>361150</v>
      </c>
      <c r="S16" s="17">
        <v>296410</v>
      </c>
      <c r="T16" s="16">
        <v>2316210</v>
      </c>
      <c r="U16" s="16">
        <v>5409690</v>
      </c>
    </row>
    <row r="17" spans="1:21" s="12" customFormat="1">
      <c r="A17" s="14"/>
      <c r="B17" s="15">
        <v>2014</v>
      </c>
      <c r="C17" s="26">
        <v>10810</v>
      </c>
      <c r="D17" s="26">
        <v>11250</v>
      </c>
      <c r="E17" s="26">
        <v>6210</v>
      </c>
      <c r="F17"/>
      <c r="G17" s="14"/>
      <c r="H17" s="15">
        <v>2014</v>
      </c>
      <c r="I17" s="16">
        <v>489190</v>
      </c>
      <c r="J17" s="16">
        <v>430690</v>
      </c>
      <c r="K17" s="17">
        <v>1637860</v>
      </c>
      <c r="L17" s="17">
        <v>1873990</v>
      </c>
      <c r="M17" s="17"/>
      <c r="N17" s="14"/>
      <c r="O17" s="15">
        <v>2014</v>
      </c>
      <c r="P17" s="16">
        <v>226490</v>
      </c>
      <c r="Q17" s="16">
        <v>59240</v>
      </c>
      <c r="R17" s="16">
        <v>360140</v>
      </c>
      <c r="S17" s="17">
        <v>295600</v>
      </c>
      <c r="T17" s="16">
        <v>2311820</v>
      </c>
      <c r="U17" s="16">
        <v>5449970</v>
      </c>
    </row>
    <row r="18" spans="1:21" s="12" customFormat="1">
      <c r="A18" s="14"/>
      <c r="C18" s="27"/>
      <c r="D18" s="27"/>
      <c r="E18" s="27"/>
      <c r="F18"/>
      <c r="G18" s="14"/>
      <c r="N18" s="14"/>
    </row>
    <row r="19" spans="1:21" s="12" customFormat="1">
      <c r="A19" s="14" t="s">
        <v>33</v>
      </c>
      <c r="B19" s="14" t="s">
        <v>0</v>
      </c>
      <c r="C19" s="25" t="s">
        <v>184</v>
      </c>
      <c r="D19" s="25" t="s">
        <v>197</v>
      </c>
      <c r="E19" s="25" t="s">
        <v>210</v>
      </c>
      <c r="F19"/>
      <c r="G19" s="14" t="s">
        <v>33</v>
      </c>
      <c r="H19" s="14" t="s">
        <v>0</v>
      </c>
      <c r="I19" s="15" t="s">
        <v>132</v>
      </c>
      <c r="J19" s="15" t="s">
        <v>145</v>
      </c>
      <c r="K19" s="14" t="s">
        <v>158</v>
      </c>
      <c r="L19" s="14" t="s">
        <v>171</v>
      </c>
      <c r="M19" s="14"/>
      <c r="N19" s="14" t="s">
        <v>33</v>
      </c>
      <c r="O19" s="14" t="s">
        <v>0</v>
      </c>
      <c r="P19" s="15" t="s">
        <v>20</v>
      </c>
      <c r="Q19" s="15" t="s">
        <v>53</v>
      </c>
      <c r="R19" s="15" t="s">
        <v>67</v>
      </c>
      <c r="S19" s="14" t="s">
        <v>80</v>
      </c>
      <c r="T19" s="15" t="s">
        <v>106</v>
      </c>
      <c r="U19" s="15" t="s">
        <v>119</v>
      </c>
    </row>
    <row r="20" spans="1:21" s="12" customFormat="1">
      <c r="A20" s="14"/>
      <c r="B20" s="15">
        <v>2010</v>
      </c>
      <c r="C20" s="26">
        <v>2090</v>
      </c>
      <c r="D20" s="26">
        <v>3200</v>
      </c>
      <c r="E20" s="26">
        <v>2690</v>
      </c>
      <c r="F20"/>
      <c r="G20" s="14"/>
      <c r="H20" s="15">
        <v>2010</v>
      </c>
      <c r="I20" s="16">
        <v>80170</v>
      </c>
      <c r="J20" s="16">
        <v>70800</v>
      </c>
      <c r="K20" s="17">
        <v>238430</v>
      </c>
      <c r="L20" s="17">
        <v>259920</v>
      </c>
      <c r="M20" s="17"/>
      <c r="N20" s="14"/>
      <c r="O20" s="15">
        <v>2010</v>
      </c>
      <c r="P20" s="16">
        <v>29470</v>
      </c>
      <c r="Q20" s="16">
        <v>8810</v>
      </c>
      <c r="R20" s="16">
        <v>54960</v>
      </c>
      <c r="S20" s="17">
        <v>43640</v>
      </c>
      <c r="T20" s="16">
        <v>447550</v>
      </c>
      <c r="U20" s="16">
        <v>784580</v>
      </c>
    </row>
    <row r="21" spans="1:21" s="12" customFormat="1">
      <c r="A21" s="14"/>
      <c r="B21" s="15">
        <v>2011</v>
      </c>
      <c r="C21" s="26">
        <v>2140</v>
      </c>
      <c r="D21" s="26">
        <v>3250</v>
      </c>
      <c r="E21" s="26">
        <v>2730</v>
      </c>
      <c r="F21"/>
      <c r="G21" s="14"/>
      <c r="H21" s="15">
        <v>2011</v>
      </c>
      <c r="I21" s="16">
        <v>82370</v>
      </c>
      <c r="J21" s="16">
        <v>73080</v>
      </c>
      <c r="K21" s="17">
        <v>243780</v>
      </c>
      <c r="L21" s="17">
        <v>262680</v>
      </c>
      <c r="M21" s="17"/>
      <c r="N21" s="14"/>
      <c r="O21" s="15">
        <v>2011</v>
      </c>
      <c r="P21" s="16">
        <v>29450</v>
      </c>
      <c r="Q21" s="16">
        <v>8890</v>
      </c>
      <c r="R21" s="16">
        <v>55560</v>
      </c>
      <c r="S21" s="17">
        <v>43460</v>
      </c>
      <c r="T21" s="16">
        <v>460420</v>
      </c>
      <c r="U21" s="16">
        <v>793430</v>
      </c>
    </row>
    <row r="22" spans="1:21" s="12" customFormat="1">
      <c r="A22" s="14"/>
      <c r="B22" s="15">
        <v>2012</v>
      </c>
      <c r="C22" s="26">
        <v>2140</v>
      </c>
      <c r="D22" s="26">
        <v>3190</v>
      </c>
      <c r="E22" s="26">
        <v>2700</v>
      </c>
      <c r="F22"/>
      <c r="G22" s="14"/>
      <c r="H22" s="15">
        <v>2012</v>
      </c>
      <c r="I22" s="16">
        <v>83300</v>
      </c>
      <c r="J22" s="16">
        <v>73540</v>
      </c>
      <c r="K22" s="17">
        <v>250680</v>
      </c>
      <c r="L22" s="17">
        <v>262130</v>
      </c>
      <c r="M22" s="17"/>
      <c r="N22" s="14"/>
      <c r="O22" s="15">
        <v>2012</v>
      </c>
      <c r="P22" s="16">
        <v>29120</v>
      </c>
      <c r="Q22" s="16">
        <v>8840</v>
      </c>
      <c r="R22" s="16">
        <v>54910</v>
      </c>
      <c r="S22" s="17">
        <v>42960</v>
      </c>
      <c r="T22" s="16">
        <v>472120</v>
      </c>
      <c r="U22" s="16">
        <v>800070</v>
      </c>
    </row>
    <row r="23" spans="1:21" s="12" customFormat="1">
      <c r="A23" s="14"/>
      <c r="B23" s="15">
        <v>2013</v>
      </c>
      <c r="C23" s="26">
        <v>2070</v>
      </c>
      <c r="D23" s="26">
        <v>3170</v>
      </c>
      <c r="E23" s="26">
        <v>2690</v>
      </c>
      <c r="F23"/>
      <c r="G23" s="14"/>
      <c r="H23" s="15">
        <v>2013</v>
      </c>
      <c r="I23" s="16">
        <v>84400</v>
      </c>
      <c r="J23" s="16">
        <v>73300</v>
      </c>
      <c r="K23" s="17">
        <v>256790</v>
      </c>
      <c r="L23" s="17">
        <v>263380</v>
      </c>
      <c r="M23" s="17"/>
      <c r="N23" s="14"/>
      <c r="O23" s="15">
        <v>2013</v>
      </c>
      <c r="P23" s="16">
        <v>28650</v>
      </c>
      <c r="Q23" s="16">
        <v>8650</v>
      </c>
      <c r="R23" s="16">
        <v>54470</v>
      </c>
      <c r="S23" s="17">
        <v>41870</v>
      </c>
      <c r="T23" s="16">
        <v>478530</v>
      </c>
      <c r="U23" s="16">
        <v>805890</v>
      </c>
    </row>
    <row r="24" spans="1:21" s="12" customFormat="1">
      <c r="A24" s="14"/>
      <c r="B24" s="15">
        <v>2014</v>
      </c>
      <c r="C24" s="26">
        <v>2020</v>
      </c>
      <c r="D24" s="26">
        <v>3100</v>
      </c>
      <c r="E24" s="26">
        <v>2770</v>
      </c>
      <c r="F24"/>
      <c r="G24" s="14"/>
      <c r="H24" s="15">
        <v>2014</v>
      </c>
      <c r="I24" s="16">
        <v>84900</v>
      </c>
      <c r="J24" s="16">
        <v>72080</v>
      </c>
      <c r="K24" s="17">
        <v>258290</v>
      </c>
      <c r="L24" s="17">
        <v>266350</v>
      </c>
      <c r="M24" s="17"/>
      <c r="N24" s="14"/>
      <c r="O24" s="15">
        <v>2014</v>
      </c>
      <c r="P24" s="16">
        <v>28240</v>
      </c>
      <c r="Q24" s="16">
        <v>8520</v>
      </c>
      <c r="R24" s="16">
        <v>53570</v>
      </c>
      <c r="S24" s="17">
        <v>41610</v>
      </c>
      <c r="T24" s="16">
        <v>478340</v>
      </c>
      <c r="U24" s="16">
        <v>812420</v>
      </c>
    </row>
    <row r="25" spans="1:21" s="12" customFormat="1">
      <c r="A25" s="14"/>
      <c r="C25" s="27"/>
      <c r="D25" s="27"/>
      <c r="E25" s="27"/>
      <c r="F25"/>
      <c r="G25" s="14"/>
      <c r="N25" s="14"/>
    </row>
    <row r="26" spans="1:21" s="12" customFormat="1">
      <c r="A26" s="14" t="s">
        <v>34</v>
      </c>
      <c r="B26" s="14" t="s">
        <v>0</v>
      </c>
      <c r="C26" s="25" t="s">
        <v>185</v>
      </c>
      <c r="D26" s="25" t="s">
        <v>198</v>
      </c>
      <c r="E26" s="25" t="s">
        <v>211</v>
      </c>
      <c r="F26"/>
      <c r="G26" s="14" t="s">
        <v>34</v>
      </c>
      <c r="H26" s="14" t="s">
        <v>0</v>
      </c>
      <c r="I26" s="15" t="s">
        <v>133</v>
      </c>
      <c r="J26" s="15" t="s">
        <v>146</v>
      </c>
      <c r="K26" s="14" t="s">
        <v>159</v>
      </c>
      <c r="L26" s="14" t="s">
        <v>172</v>
      </c>
      <c r="M26" s="14"/>
      <c r="N26" s="14" t="s">
        <v>34</v>
      </c>
      <c r="O26" s="14" t="s">
        <v>0</v>
      </c>
      <c r="P26" s="15" t="s">
        <v>21</v>
      </c>
      <c r="Q26" s="15" t="s">
        <v>54</v>
      </c>
      <c r="R26" s="15" t="s">
        <v>68</v>
      </c>
      <c r="S26" s="14" t="s">
        <v>81</v>
      </c>
      <c r="T26" s="15" t="s">
        <v>107</v>
      </c>
      <c r="U26" s="15" t="s">
        <v>120</v>
      </c>
    </row>
    <row r="27" spans="1:21" s="12" customFormat="1">
      <c r="A27" s="14"/>
      <c r="B27" s="15">
        <v>2010</v>
      </c>
      <c r="C27" s="26">
        <v>990</v>
      </c>
      <c r="D27" s="26">
        <v>810</v>
      </c>
      <c r="E27" s="26">
        <v>290</v>
      </c>
      <c r="F27"/>
      <c r="G27" s="14"/>
      <c r="H27" s="15">
        <v>2010</v>
      </c>
      <c r="I27" s="16">
        <v>81780</v>
      </c>
      <c r="J27" s="16">
        <v>75890</v>
      </c>
      <c r="K27" s="17">
        <v>177590</v>
      </c>
      <c r="L27" s="17">
        <v>301950</v>
      </c>
      <c r="M27" s="17"/>
      <c r="N27" s="14"/>
      <c r="O27" s="15">
        <v>2010</v>
      </c>
      <c r="P27" s="16">
        <v>32270</v>
      </c>
      <c r="Q27" s="16">
        <v>9830</v>
      </c>
      <c r="R27" s="16">
        <v>65810</v>
      </c>
      <c r="S27" s="17">
        <v>52670</v>
      </c>
      <c r="T27" s="16">
        <v>538200</v>
      </c>
      <c r="U27" s="16">
        <v>835720</v>
      </c>
    </row>
    <row r="28" spans="1:21" s="12" customFormat="1">
      <c r="A28" s="14"/>
      <c r="B28" s="15">
        <v>2011</v>
      </c>
      <c r="C28" s="26">
        <v>1000</v>
      </c>
      <c r="D28" s="26">
        <v>830</v>
      </c>
      <c r="E28" s="26">
        <v>290</v>
      </c>
      <c r="F28"/>
      <c r="G28" s="14"/>
      <c r="H28" s="15">
        <v>2011</v>
      </c>
      <c r="I28" s="16">
        <v>82000</v>
      </c>
      <c r="J28" s="16">
        <v>75860</v>
      </c>
      <c r="K28" s="17">
        <v>182280</v>
      </c>
      <c r="L28" s="17">
        <v>309500</v>
      </c>
      <c r="M28" s="17"/>
      <c r="N28" s="14"/>
      <c r="O28" s="15">
        <v>2011</v>
      </c>
      <c r="P28" s="16">
        <v>33090</v>
      </c>
      <c r="Q28" s="16">
        <v>10020</v>
      </c>
      <c r="R28" s="16">
        <v>66900</v>
      </c>
      <c r="S28" s="17">
        <v>53600</v>
      </c>
      <c r="T28" s="16">
        <v>550870</v>
      </c>
      <c r="U28" s="16">
        <v>856580</v>
      </c>
    </row>
    <row r="29" spans="1:21" s="12" customFormat="1">
      <c r="A29" s="14"/>
      <c r="B29" s="15">
        <v>2012</v>
      </c>
      <c r="C29" s="26">
        <v>1090</v>
      </c>
      <c r="D29" s="26">
        <v>870</v>
      </c>
      <c r="E29" s="26">
        <v>300</v>
      </c>
      <c r="F29"/>
      <c r="G29" s="14"/>
      <c r="H29" s="15">
        <v>2012</v>
      </c>
      <c r="I29" s="16">
        <v>82510</v>
      </c>
      <c r="J29" s="16">
        <v>75670</v>
      </c>
      <c r="K29" s="17">
        <v>186820</v>
      </c>
      <c r="L29" s="17">
        <v>316050</v>
      </c>
      <c r="M29" s="17"/>
      <c r="N29" s="14"/>
      <c r="O29" s="15">
        <v>2012</v>
      </c>
      <c r="P29" s="16">
        <v>33770</v>
      </c>
      <c r="Q29" s="16">
        <v>10180</v>
      </c>
      <c r="R29" s="16">
        <v>67970</v>
      </c>
      <c r="S29" s="17">
        <v>54570</v>
      </c>
      <c r="T29" s="16">
        <v>561860</v>
      </c>
      <c r="U29" s="16">
        <v>877120</v>
      </c>
    </row>
    <row r="30" spans="1:21" s="12" customFormat="1">
      <c r="A30" s="14"/>
      <c r="B30" s="15">
        <v>2013</v>
      </c>
      <c r="C30" s="26">
        <v>1140</v>
      </c>
      <c r="D30" s="26">
        <v>900</v>
      </c>
      <c r="E30" s="26">
        <v>320</v>
      </c>
      <c r="F30"/>
      <c r="G30" s="14"/>
      <c r="H30" s="15">
        <v>2013</v>
      </c>
      <c r="I30" s="16">
        <v>83260</v>
      </c>
      <c r="J30" s="16">
        <v>75630</v>
      </c>
      <c r="K30" s="17">
        <v>191730</v>
      </c>
      <c r="L30" s="17">
        <v>325230</v>
      </c>
      <c r="M30" s="17"/>
      <c r="N30" s="14"/>
      <c r="O30" s="15">
        <v>2013</v>
      </c>
      <c r="P30" s="16">
        <v>34570</v>
      </c>
      <c r="Q30" s="16">
        <v>10340</v>
      </c>
      <c r="R30" s="16">
        <v>69400</v>
      </c>
      <c r="S30" s="17">
        <v>55760</v>
      </c>
      <c r="T30" s="16">
        <v>576160</v>
      </c>
      <c r="U30" s="16">
        <v>900430</v>
      </c>
    </row>
    <row r="31" spans="1:21" s="12" customFormat="1">
      <c r="A31" s="14"/>
      <c r="B31" s="15">
        <v>2014</v>
      </c>
      <c r="C31" s="26">
        <v>1190</v>
      </c>
      <c r="D31" s="26">
        <v>940</v>
      </c>
      <c r="E31" s="26">
        <v>330</v>
      </c>
      <c r="F31"/>
      <c r="G31" s="14"/>
      <c r="H31" s="15">
        <v>2014</v>
      </c>
      <c r="I31" s="16">
        <v>83540</v>
      </c>
      <c r="J31" s="16">
        <v>75660</v>
      </c>
      <c r="K31" s="17">
        <v>196850</v>
      </c>
      <c r="L31" s="17">
        <v>333980</v>
      </c>
      <c r="M31" s="17"/>
      <c r="N31" s="14"/>
      <c r="O31" s="15">
        <v>2014</v>
      </c>
      <c r="P31" s="16">
        <v>35500</v>
      </c>
      <c r="Q31" s="16">
        <v>10520</v>
      </c>
      <c r="R31" s="16">
        <v>70770</v>
      </c>
      <c r="S31" s="17">
        <v>56940</v>
      </c>
      <c r="T31" s="16">
        <v>591030</v>
      </c>
      <c r="U31" s="16">
        <v>924400</v>
      </c>
    </row>
    <row r="32" spans="1:21" s="12" customFormat="1">
      <c r="A32" s="14"/>
      <c r="C32" s="27"/>
      <c r="D32" s="27"/>
      <c r="E32" s="27"/>
      <c r="F32"/>
      <c r="G32" s="14"/>
      <c r="J32" s="16"/>
      <c r="N32" s="14"/>
    </row>
    <row r="33" spans="1:21" s="12" customFormat="1">
      <c r="A33" s="14" t="s">
        <v>26</v>
      </c>
      <c r="B33" s="14" t="s">
        <v>0</v>
      </c>
      <c r="C33" s="25" t="s">
        <v>186</v>
      </c>
      <c r="D33" s="25" t="s">
        <v>199</v>
      </c>
      <c r="E33" s="25" t="s">
        <v>212</v>
      </c>
      <c r="F33"/>
      <c r="G33" s="14" t="s">
        <v>26</v>
      </c>
      <c r="H33" s="14" t="s">
        <v>0</v>
      </c>
      <c r="I33" s="14" t="s">
        <v>134</v>
      </c>
      <c r="J33" s="14" t="s">
        <v>147</v>
      </c>
      <c r="K33" s="14" t="s">
        <v>160</v>
      </c>
      <c r="L33" s="14" t="s">
        <v>173</v>
      </c>
      <c r="M33" s="14"/>
      <c r="N33" s="14" t="s">
        <v>26</v>
      </c>
      <c r="O33" s="14" t="s">
        <v>0</v>
      </c>
      <c r="P33" s="14" t="s">
        <v>23</v>
      </c>
      <c r="Q33" s="14" t="s">
        <v>55</v>
      </c>
      <c r="R33" s="14" t="s">
        <v>69</v>
      </c>
      <c r="S33" s="14" t="s">
        <v>82</v>
      </c>
      <c r="T33" s="14" t="s">
        <v>108</v>
      </c>
      <c r="U33" s="14" t="s">
        <v>121</v>
      </c>
    </row>
    <row r="34" spans="1:21" s="12" customFormat="1">
      <c r="A34" s="14"/>
      <c r="B34" s="15">
        <v>2010</v>
      </c>
      <c r="C34" s="26">
        <v>37</v>
      </c>
      <c r="D34" s="26">
        <v>32</v>
      </c>
      <c r="E34" s="26">
        <v>26</v>
      </c>
      <c r="F34"/>
      <c r="G34" s="14"/>
      <c r="H34" s="15">
        <v>2010</v>
      </c>
      <c r="I34" s="17">
        <v>38</v>
      </c>
      <c r="J34" s="17">
        <v>38</v>
      </c>
      <c r="K34" s="17">
        <v>36</v>
      </c>
      <c r="L34" s="17">
        <v>40</v>
      </c>
      <c r="M34" s="17"/>
      <c r="N34" s="14"/>
      <c r="O34" s="15">
        <v>2010</v>
      </c>
      <c r="P34" s="17">
        <v>41</v>
      </c>
      <c r="Q34" s="17">
        <v>40</v>
      </c>
      <c r="R34" s="17">
        <v>41</v>
      </c>
      <c r="S34" s="17">
        <v>41</v>
      </c>
      <c r="T34" s="17">
        <v>40</v>
      </c>
      <c r="U34" s="17">
        <v>39</v>
      </c>
    </row>
    <row r="35" spans="1:21" s="12" customFormat="1">
      <c r="A35" s="14"/>
      <c r="B35" s="15">
        <v>2011</v>
      </c>
      <c r="C35" s="26">
        <v>37</v>
      </c>
      <c r="D35" s="26">
        <v>33</v>
      </c>
      <c r="E35" s="26">
        <v>26</v>
      </c>
      <c r="F35"/>
      <c r="G35" s="14"/>
      <c r="H35" s="15">
        <v>2011</v>
      </c>
      <c r="I35" s="17">
        <v>38</v>
      </c>
      <c r="J35" s="17">
        <v>38</v>
      </c>
      <c r="K35" s="17">
        <v>36</v>
      </c>
      <c r="L35" s="17">
        <v>41</v>
      </c>
      <c r="M35" s="17"/>
      <c r="N35" s="14"/>
      <c r="O35" s="15">
        <v>2011</v>
      </c>
      <c r="P35" s="17">
        <v>41</v>
      </c>
      <c r="Q35" s="17">
        <v>40</v>
      </c>
      <c r="R35" s="17">
        <v>41</v>
      </c>
      <c r="S35" s="17">
        <v>41</v>
      </c>
      <c r="T35" s="17">
        <v>40</v>
      </c>
      <c r="U35" s="17">
        <v>39</v>
      </c>
    </row>
    <row r="36" spans="1:21" s="12" customFormat="1">
      <c r="A36" s="14"/>
      <c r="B36" s="15">
        <v>2012</v>
      </c>
      <c r="C36" s="26">
        <v>37</v>
      </c>
      <c r="D36" s="26">
        <v>33</v>
      </c>
      <c r="E36" s="26">
        <v>26</v>
      </c>
      <c r="F36"/>
      <c r="G36" s="14"/>
      <c r="H36" s="15">
        <v>2012</v>
      </c>
      <c r="I36" s="17">
        <v>38</v>
      </c>
      <c r="J36" s="17">
        <v>38</v>
      </c>
      <c r="K36" s="17">
        <v>36</v>
      </c>
      <c r="L36" s="17">
        <v>41</v>
      </c>
      <c r="M36" s="17"/>
      <c r="N36" s="14"/>
      <c r="O36" s="15">
        <v>2012</v>
      </c>
      <c r="P36" s="17">
        <v>42</v>
      </c>
      <c r="Q36" s="17">
        <v>41</v>
      </c>
      <c r="R36" s="17">
        <v>42</v>
      </c>
      <c r="S36" s="17">
        <v>42</v>
      </c>
      <c r="T36" s="17">
        <v>41</v>
      </c>
      <c r="U36" s="17">
        <v>39</v>
      </c>
    </row>
    <row r="37" spans="1:21" s="12" customFormat="1">
      <c r="A37" s="14"/>
      <c r="B37" s="15">
        <v>2013</v>
      </c>
      <c r="C37" s="26">
        <v>38</v>
      </c>
      <c r="D37" s="26">
        <v>33</v>
      </c>
      <c r="E37" s="26">
        <v>26</v>
      </c>
      <c r="F37"/>
      <c r="G37" s="14"/>
      <c r="H37" s="15">
        <v>2013</v>
      </c>
      <c r="I37" s="17">
        <v>38</v>
      </c>
      <c r="J37" s="17">
        <v>38</v>
      </c>
      <c r="K37" s="17">
        <v>36</v>
      </c>
      <c r="L37" s="17">
        <v>41</v>
      </c>
      <c r="M37" s="17"/>
      <c r="N37" s="14"/>
      <c r="O37" s="15">
        <v>2013</v>
      </c>
      <c r="P37" s="17">
        <v>42</v>
      </c>
      <c r="Q37" s="17">
        <v>41</v>
      </c>
      <c r="R37" s="17">
        <v>42</v>
      </c>
      <c r="S37" s="17">
        <v>42</v>
      </c>
      <c r="T37" s="17">
        <v>41</v>
      </c>
      <c r="U37" s="17">
        <v>40</v>
      </c>
    </row>
    <row r="38" spans="1:21" s="12" customFormat="1">
      <c r="A38" s="14"/>
      <c r="B38" s="15">
        <v>2014</v>
      </c>
      <c r="C38" s="26">
        <v>38</v>
      </c>
      <c r="D38" s="26">
        <v>33</v>
      </c>
      <c r="E38" s="26">
        <v>26</v>
      </c>
      <c r="F38"/>
      <c r="G38" s="14"/>
      <c r="H38" s="15">
        <v>2014</v>
      </c>
      <c r="I38" s="17">
        <v>38</v>
      </c>
      <c r="J38" s="17">
        <v>38</v>
      </c>
      <c r="K38" s="17">
        <v>36</v>
      </c>
      <c r="L38" s="17">
        <v>41</v>
      </c>
      <c r="M38" s="17"/>
      <c r="N38" s="14"/>
      <c r="O38" s="15">
        <v>2014</v>
      </c>
      <c r="P38" s="17">
        <v>42</v>
      </c>
      <c r="Q38" s="17">
        <v>41</v>
      </c>
      <c r="R38" s="17">
        <v>42</v>
      </c>
      <c r="S38" s="17">
        <v>42</v>
      </c>
      <c r="T38" s="17">
        <v>41</v>
      </c>
      <c r="U38" s="17">
        <v>40</v>
      </c>
    </row>
    <row r="39" spans="1:21" s="12" customFormat="1">
      <c r="A39" s="14"/>
      <c r="C39" s="27"/>
      <c r="D39" s="27"/>
      <c r="E39" s="27"/>
      <c r="F39"/>
      <c r="G39" s="14"/>
      <c r="N39" s="14"/>
      <c r="P39" s="17"/>
      <c r="R39" s="17"/>
      <c r="S39" s="17"/>
      <c r="T39" s="17"/>
      <c r="U39" s="17"/>
    </row>
    <row r="40" spans="1:21" s="12" customFormat="1">
      <c r="A40" s="14" t="s">
        <v>35</v>
      </c>
      <c r="B40" s="14" t="s">
        <v>0</v>
      </c>
      <c r="C40" s="25" t="s">
        <v>187</v>
      </c>
      <c r="D40" s="25" t="s">
        <v>200</v>
      </c>
      <c r="E40" s="25" t="s">
        <v>213</v>
      </c>
      <c r="F40"/>
      <c r="G40" s="14" t="s">
        <v>35</v>
      </c>
      <c r="H40" s="14" t="s">
        <v>0</v>
      </c>
      <c r="I40" s="15" t="s">
        <v>135</v>
      </c>
      <c r="J40" s="14" t="s">
        <v>148</v>
      </c>
      <c r="K40" s="14" t="s">
        <v>161</v>
      </c>
      <c r="L40" s="14" t="s">
        <v>174</v>
      </c>
      <c r="M40" s="14"/>
      <c r="N40" s="14" t="s">
        <v>35</v>
      </c>
      <c r="O40" s="14" t="s">
        <v>0</v>
      </c>
      <c r="P40" s="15" t="s">
        <v>24</v>
      </c>
      <c r="Q40" s="15" t="s">
        <v>56</v>
      </c>
      <c r="R40" s="14" t="s">
        <v>70</v>
      </c>
      <c r="S40" s="15" t="s">
        <v>83</v>
      </c>
      <c r="T40" s="15" t="s">
        <v>109</v>
      </c>
      <c r="U40" s="15" t="s">
        <v>122</v>
      </c>
    </row>
    <row r="41" spans="1:21" s="12" customFormat="1">
      <c r="A41" s="14"/>
      <c r="B41" s="15">
        <v>2010</v>
      </c>
      <c r="C41" s="26">
        <v>8560</v>
      </c>
      <c r="D41" s="26">
        <v>11980</v>
      </c>
      <c r="E41" s="26">
        <v>10310</v>
      </c>
      <c r="F41"/>
      <c r="G41" s="14"/>
      <c r="H41" s="15">
        <v>2010</v>
      </c>
      <c r="I41" s="16">
        <v>284940</v>
      </c>
      <c r="J41" s="17">
        <v>245090</v>
      </c>
      <c r="K41" s="17">
        <v>836860</v>
      </c>
      <c r="L41" s="17">
        <v>922980</v>
      </c>
      <c r="M41" s="17"/>
      <c r="N41" s="14"/>
      <c r="O41" s="15">
        <v>2010</v>
      </c>
      <c r="P41" s="16">
        <v>107340</v>
      </c>
      <c r="Q41" s="16">
        <v>30150</v>
      </c>
      <c r="R41" s="17">
        <v>195630</v>
      </c>
      <c r="S41" s="16">
        <v>157660</v>
      </c>
      <c r="T41" s="16">
        <v>1727550</v>
      </c>
      <c r="U41" s="16">
        <v>2795790</v>
      </c>
    </row>
    <row r="42" spans="1:21" s="12" customFormat="1">
      <c r="A42" s="14"/>
      <c r="B42" s="15">
        <v>2011</v>
      </c>
      <c r="C42" s="26">
        <v>8810</v>
      </c>
      <c r="D42" s="26">
        <v>11970</v>
      </c>
      <c r="E42" s="26">
        <v>10510</v>
      </c>
      <c r="F42"/>
      <c r="G42" s="14"/>
      <c r="H42" s="15">
        <v>2011</v>
      </c>
      <c r="I42" s="16">
        <v>289430</v>
      </c>
      <c r="J42" s="17">
        <v>252110</v>
      </c>
      <c r="K42" s="17">
        <v>866500</v>
      </c>
      <c r="L42" s="17">
        <v>936530</v>
      </c>
      <c r="M42" s="17"/>
      <c r="N42" s="14"/>
      <c r="O42" s="15">
        <v>2011</v>
      </c>
      <c r="P42" s="16">
        <v>107900</v>
      </c>
      <c r="Q42" s="16">
        <v>30190</v>
      </c>
      <c r="R42" s="17">
        <v>196050</v>
      </c>
      <c r="S42" s="16">
        <v>157280</v>
      </c>
      <c r="T42" s="16">
        <v>1747380</v>
      </c>
      <c r="U42" s="16">
        <v>2816590</v>
      </c>
    </row>
    <row r="43" spans="1:21" s="12" customFormat="1">
      <c r="A43" s="14"/>
      <c r="B43" s="15">
        <v>2012</v>
      </c>
      <c r="C43" s="26">
        <v>8880</v>
      </c>
      <c r="D43" s="26">
        <v>11980</v>
      </c>
      <c r="E43" s="26">
        <v>10640</v>
      </c>
      <c r="F43"/>
      <c r="G43" s="14"/>
      <c r="H43" s="15">
        <v>2012</v>
      </c>
      <c r="I43" s="16">
        <v>292370</v>
      </c>
      <c r="J43" s="17">
        <v>256190</v>
      </c>
      <c r="K43" s="17">
        <v>903600</v>
      </c>
      <c r="L43" s="17">
        <v>939740</v>
      </c>
      <c r="M43" s="17"/>
      <c r="N43" s="14"/>
      <c r="O43" s="15">
        <v>2012</v>
      </c>
      <c r="P43" s="16">
        <v>108120</v>
      </c>
      <c r="Q43" s="16">
        <v>29940</v>
      </c>
      <c r="R43" s="17">
        <v>194630</v>
      </c>
      <c r="S43" s="16">
        <v>155880</v>
      </c>
      <c r="T43" s="16">
        <v>1763570</v>
      </c>
      <c r="U43" s="16">
        <v>2835610</v>
      </c>
    </row>
    <row r="44" spans="1:21" s="12" customFormat="1">
      <c r="A44" s="14"/>
      <c r="B44" s="15">
        <v>2013</v>
      </c>
      <c r="C44" s="26">
        <v>8820</v>
      </c>
      <c r="D44" s="26">
        <v>11950</v>
      </c>
      <c r="E44" s="26">
        <v>10890</v>
      </c>
      <c r="F44"/>
      <c r="G44" s="14"/>
      <c r="H44" s="15">
        <v>2013</v>
      </c>
      <c r="I44" s="16">
        <v>295990</v>
      </c>
      <c r="J44" s="17">
        <v>259890</v>
      </c>
      <c r="K44" s="17">
        <v>937970</v>
      </c>
      <c r="L44" s="17">
        <v>952080</v>
      </c>
      <c r="M44" s="17"/>
      <c r="N44" s="14"/>
      <c r="O44" s="15">
        <v>2013</v>
      </c>
      <c r="P44" s="16">
        <v>108220</v>
      </c>
      <c r="Q44" s="16">
        <v>29820</v>
      </c>
      <c r="R44" s="17">
        <v>194500</v>
      </c>
      <c r="S44" s="16">
        <v>154990</v>
      </c>
      <c r="T44" s="16">
        <v>1776600</v>
      </c>
      <c r="U44" s="16">
        <v>2863660</v>
      </c>
    </row>
    <row r="45" spans="1:21" s="12" customFormat="1">
      <c r="A45" s="14"/>
      <c r="B45" s="15">
        <v>2014</v>
      </c>
      <c r="C45" s="26">
        <v>8930</v>
      </c>
      <c r="D45" s="26">
        <v>12070</v>
      </c>
      <c r="E45" s="26">
        <v>11120</v>
      </c>
      <c r="F45"/>
      <c r="G45" s="14"/>
      <c r="H45" s="15">
        <v>2014</v>
      </c>
      <c r="I45" s="16">
        <v>299650</v>
      </c>
      <c r="J45" s="17">
        <v>263010</v>
      </c>
      <c r="K45" s="17">
        <v>960740</v>
      </c>
      <c r="L45" s="17">
        <v>965750</v>
      </c>
      <c r="M45" s="17"/>
      <c r="N45" s="14"/>
      <c r="O45" s="15">
        <v>2014</v>
      </c>
      <c r="P45" s="16">
        <v>109050</v>
      </c>
      <c r="Q45" s="16">
        <v>29860</v>
      </c>
      <c r="R45" s="17">
        <v>194740</v>
      </c>
      <c r="S45" s="16">
        <v>155540</v>
      </c>
      <c r="T45" s="16">
        <v>1792600</v>
      </c>
      <c r="U45" s="16">
        <v>2894770</v>
      </c>
    </row>
    <row r="46" spans="1:21" s="12" customFormat="1">
      <c r="A46" s="14"/>
      <c r="C46" s="27"/>
      <c r="D46" s="27"/>
      <c r="E46" s="27"/>
      <c r="F46"/>
      <c r="G46" s="14"/>
      <c r="N46" s="14"/>
      <c r="P46" s="16"/>
      <c r="Q46" s="16"/>
      <c r="R46" s="17"/>
      <c r="S46" s="16"/>
      <c r="T46" s="16"/>
      <c r="U46" s="16"/>
    </row>
    <row r="47" spans="1:21" s="12" customFormat="1">
      <c r="A47" s="14" t="s">
        <v>36</v>
      </c>
      <c r="B47" s="14" t="s">
        <v>0</v>
      </c>
      <c r="C47" s="25" t="s">
        <v>188</v>
      </c>
      <c r="D47" s="25" t="s">
        <v>201</v>
      </c>
      <c r="E47" s="25" t="s">
        <v>214</v>
      </c>
      <c r="F47"/>
      <c r="G47" s="14" t="s">
        <v>36</v>
      </c>
      <c r="H47" s="14" t="s">
        <v>0</v>
      </c>
      <c r="I47" s="15" t="s">
        <v>136</v>
      </c>
      <c r="J47" s="14" t="s">
        <v>149</v>
      </c>
      <c r="K47" s="14" t="s">
        <v>162</v>
      </c>
      <c r="L47" s="14" t="s">
        <v>175</v>
      </c>
      <c r="M47" s="14"/>
      <c r="N47" s="14" t="s">
        <v>36</v>
      </c>
      <c r="O47" s="14" t="s">
        <v>0</v>
      </c>
      <c r="P47" s="15" t="s">
        <v>25</v>
      </c>
      <c r="Q47" s="15" t="s">
        <v>57</v>
      </c>
      <c r="R47" s="14" t="s">
        <v>71</v>
      </c>
      <c r="S47" s="15" t="s">
        <v>84</v>
      </c>
      <c r="T47" s="15" t="s">
        <v>110</v>
      </c>
      <c r="U47" s="15" t="s">
        <v>123</v>
      </c>
    </row>
    <row r="48" spans="1:21" s="12" customFormat="1">
      <c r="A48" s="14"/>
      <c r="B48" s="15">
        <v>2010</v>
      </c>
      <c r="C48" s="26">
        <v>5070</v>
      </c>
      <c r="D48" s="26">
        <v>5550</v>
      </c>
      <c r="E48" s="26">
        <v>3040</v>
      </c>
      <c r="F48"/>
      <c r="G48" s="14"/>
      <c r="H48" s="15">
        <v>2010</v>
      </c>
      <c r="I48" s="16">
        <v>235110</v>
      </c>
      <c r="J48" s="17">
        <v>203850</v>
      </c>
      <c r="K48" s="17">
        <v>737400</v>
      </c>
      <c r="L48" s="17">
        <v>899290</v>
      </c>
      <c r="M48" s="17"/>
      <c r="N48" s="14"/>
      <c r="O48" s="15">
        <v>2010</v>
      </c>
      <c r="P48" s="16">
        <v>112610</v>
      </c>
      <c r="Q48" s="16">
        <v>29470</v>
      </c>
      <c r="R48" s="17">
        <v>182350</v>
      </c>
      <c r="S48" s="16">
        <v>149630</v>
      </c>
      <c r="T48" s="16">
        <v>1158880</v>
      </c>
      <c r="U48" s="16">
        <v>2652880</v>
      </c>
    </row>
    <row r="49" spans="1:21" s="12" customFormat="1">
      <c r="A49" s="14"/>
      <c r="B49" s="15">
        <v>2011</v>
      </c>
      <c r="C49" s="26">
        <v>5230</v>
      </c>
      <c r="D49" s="26">
        <v>5540</v>
      </c>
      <c r="E49" s="26">
        <v>3050</v>
      </c>
      <c r="F49"/>
      <c r="G49" s="14"/>
      <c r="H49" s="15">
        <v>2011</v>
      </c>
      <c r="I49" s="16">
        <v>237760</v>
      </c>
      <c r="J49" s="17">
        <v>206850</v>
      </c>
      <c r="K49" s="17">
        <v>753250</v>
      </c>
      <c r="L49" s="17">
        <v>907760</v>
      </c>
      <c r="M49" s="17"/>
      <c r="N49" s="14"/>
      <c r="O49" s="15">
        <v>2011</v>
      </c>
      <c r="P49" s="16">
        <v>112870</v>
      </c>
      <c r="Q49" s="16">
        <v>29570</v>
      </c>
      <c r="R49" s="17">
        <v>182070</v>
      </c>
      <c r="S49" s="16">
        <v>149320</v>
      </c>
      <c r="T49" s="16">
        <v>1159400</v>
      </c>
      <c r="U49" s="16">
        <v>2672260</v>
      </c>
    </row>
    <row r="50" spans="1:21" s="12" customFormat="1">
      <c r="A50" s="14"/>
      <c r="B50" s="15">
        <v>2012</v>
      </c>
      <c r="C50" s="26">
        <v>5220</v>
      </c>
      <c r="D50" s="26">
        <v>5550</v>
      </c>
      <c r="E50" s="26">
        <v>3120</v>
      </c>
      <c r="F50"/>
      <c r="G50" s="14"/>
      <c r="H50" s="15">
        <v>2012</v>
      </c>
      <c r="I50" s="16">
        <v>240010</v>
      </c>
      <c r="J50" s="17">
        <v>210330</v>
      </c>
      <c r="K50" s="17">
        <v>775010</v>
      </c>
      <c r="L50" s="17">
        <v>914240</v>
      </c>
      <c r="M50" s="17"/>
      <c r="N50" s="14"/>
      <c r="O50" s="15">
        <v>2012</v>
      </c>
      <c r="P50" s="16">
        <v>112810</v>
      </c>
      <c r="Q50" s="16">
        <v>29570</v>
      </c>
      <c r="R50" s="17">
        <v>181250</v>
      </c>
      <c r="S50" s="16">
        <v>148930</v>
      </c>
      <c r="T50" s="16">
        <v>1160050</v>
      </c>
      <c r="U50" s="16">
        <v>2688940</v>
      </c>
    </row>
    <row r="51" spans="1:21" s="12" customFormat="1">
      <c r="A51" s="14"/>
      <c r="B51" s="15">
        <v>2013</v>
      </c>
      <c r="C51" s="26">
        <v>5300</v>
      </c>
      <c r="D51" s="26">
        <v>5570</v>
      </c>
      <c r="E51" s="26">
        <v>3100</v>
      </c>
      <c r="F51"/>
      <c r="G51" s="14"/>
      <c r="H51" s="15">
        <v>2013</v>
      </c>
      <c r="I51" s="16">
        <v>242150</v>
      </c>
      <c r="J51" s="17">
        <v>212970</v>
      </c>
      <c r="K51" s="17">
        <v>798860</v>
      </c>
      <c r="L51" s="17">
        <v>924300</v>
      </c>
      <c r="M51" s="17"/>
      <c r="N51" s="14"/>
      <c r="O51" s="15">
        <v>2013</v>
      </c>
      <c r="P51" s="16">
        <v>112930</v>
      </c>
      <c r="Q51" s="16">
        <v>29480</v>
      </c>
      <c r="R51" s="17">
        <v>180420</v>
      </c>
      <c r="S51" s="16">
        <v>148050</v>
      </c>
      <c r="T51" s="16">
        <v>1158440</v>
      </c>
      <c r="U51" s="16">
        <v>2705620</v>
      </c>
    </row>
    <row r="52" spans="1:21" s="12" customFormat="1">
      <c r="A52" s="14"/>
      <c r="B52" s="15">
        <v>2014</v>
      </c>
      <c r="C52" s="26">
        <v>5380</v>
      </c>
      <c r="D52" s="26">
        <v>5590</v>
      </c>
      <c r="E52" s="26">
        <v>3100</v>
      </c>
      <c r="F52"/>
      <c r="G52" s="14"/>
      <c r="H52" s="15">
        <v>2014</v>
      </c>
      <c r="I52" s="16">
        <v>244520</v>
      </c>
      <c r="J52" s="17">
        <v>215270</v>
      </c>
      <c r="K52" s="17">
        <v>819040</v>
      </c>
      <c r="L52" s="17">
        <v>936870</v>
      </c>
      <c r="M52" s="17"/>
      <c r="N52" s="14"/>
      <c r="O52" s="15">
        <v>2014</v>
      </c>
      <c r="P52" s="16">
        <v>113170</v>
      </c>
      <c r="Q52" s="16">
        <v>29600</v>
      </c>
      <c r="R52" s="17">
        <v>179860</v>
      </c>
      <c r="S52" s="16">
        <v>147650</v>
      </c>
      <c r="T52" s="16">
        <v>1156210</v>
      </c>
      <c r="U52" s="16">
        <v>2725470</v>
      </c>
    </row>
    <row r="53" spans="1:21" s="12" customFormat="1">
      <c r="A53" s="14"/>
      <c r="C53" s="27"/>
      <c r="D53" s="27"/>
      <c r="E53" s="27"/>
      <c r="F53"/>
      <c r="G53" s="14"/>
      <c r="N53" s="14"/>
      <c r="P53" s="16"/>
      <c r="Q53" s="16"/>
      <c r="R53" s="17"/>
      <c r="S53" s="16"/>
      <c r="T53" s="16"/>
      <c r="U53" s="16"/>
    </row>
    <row r="54" spans="1:21" s="12" customFormat="1">
      <c r="A54" s="14" t="s">
        <v>37</v>
      </c>
      <c r="B54" s="14" t="s">
        <v>0</v>
      </c>
      <c r="C54" s="25" t="s">
        <v>189</v>
      </c>
      <c r="D54" s="25" t="s">
        <v>202</v>
      </c>
      <c r="E54" s="25" t="s">
        <v>215</v>
      </c>
      <c r="F54"/>
      <c r="G54" s="14" t="s">
        <v>37</v>
      </c>
      <c r="H54" s="14" t="s">
        <v>0</v>
      </c>
      <c r="I54" s="15" t="s">
        <v>137</v>
      </c>
      <c r="J54" s="14" t="s">
        <v>150</v>
      </c>
      <c r="K54" s="14" t="s">
        <v>163</v>
      </c>
      <c r="L54" s="14" t="s">
        <v>176</v>
      </c>
      <c r="M54" s="14"/>
      <c r="N54" s="14" t="s">
        <v>37</v>
      </c>
      <c r="O54" s="14" t="s">
        <v>0</v>
      </c>
      <c r="P54" s="15" t="s">
        <v>27</v>
      </c>
      <c r="Q54" s="15" t="s">
        <v>58</v>
      </c>
      <c r="R54" s="14" t="s">
        <v>72</v>
      </c>
      <c r="S54" s="15" t="s">
        <v>85</v>
      </c>
      <c r="T54" s="15" t="s">
        <v>111</v>
      </c>
      <c r="U54" s="15" t="s">
        <v>124</v>
      </c>
    </row>
    <row r="55" spans="1:21" s="12" customFormat="1">
      <c r="A55" s="14"/>
      <c r="B55" s="15">
        <v>2010</v>
      </c>
      <c r="C55" s="26">
        <v>1060</v>
      </c>
      <c r="D55" s="26">
        <v>1600</v>
      </c>
      <c r="E55" s="26">
        <v>1330</v>
      </c>
      <c r="F55"/>
      <c r="G55" s="14"/>
      <c r="H55" s="15">
        <v>2010</v>
      </c>
      <c r="I55" s="16">
        <v>39870</v>
      </c>
      <c r="J55" s="17">
        <v>35270</v>
      </c>
      <c r="K55" s="17">
        <v>118030</v>
      </c>
      <c r="L55" s="17">
        <v>127840</v>
      </c>
      <c r="M55" s="17"/>
      <c r="N55" s="14"/>
      <c r="O55" s="15">
        <v>2010</v>
      </c>
      <c r="P55" s="16">
        <v>14520</v>
      </c>
      <c r="Q55" s="16">
        <v>4340</v>
      </c>
      <c r="R55" s="17">
        <v>27020</v>
      </c>
      <c r="S55" s="16">
        <v>21800</v>
      </c>
      <c r="T55" s="16">
        <v>222090</v>
      </c>
      <c r="U55" s="16">
        <v>389630</v>
      </c>
    </row>
    <row r="56" spans="1:21" s="12" customFormat="1">
      <c r="A56" s="14"/>
      <c r="B56" s="15">
        <v>2011</v>
      </c>
      <c r="C56" s="26">
        <v>1110</v>
      </c>
      <c r="D56" s="26">
        <v>1610</v>
      </c>
      <c r="E56" s="26">
        <v>1320</v>
      </c>
      <c r="F56"/>
      <c r="G56" s="14"/>
      <c r="H56" s="15">
        <v>2011</v>
      </c>
      <c r="I56" s="16">
        <v>41050</v>
      </c>
      <c r="J56" s="17">
        <v>36680</v>
      </c>
      <c r="K56" s="17">
        <v>121460</v>
      </c>
      <c r="L56" s="17">
        <v>129840</v>
      </c>
      <c r="M56" s="17"/>
      <c r="N56" s="14"/>
      <c r="O56" s="15">
        <v>2011</v>
      </c>
      <c r="P56" s="16">
        <v>14570</v>
      </c>
      <c r="Q56" s="16">
        <v>4340</v>
      </c>
      <c r="R56" s="17">
        <v>27450</v>
      </c>
      <c r="S56" s="16">
        <v>21820</v>
      </c>
      <c r="T56" s="16">
        <v>228810</v>
      </c>
      <c r="U56" s="16">
        <v>393930</v>
      </c>
    </row>
    <row r="57" spans="1:21" s="12" customFormat="1">
      <c r="A57" s="14"/>
      <c r="B57" s="15">
        <v>2012</v>
      </c>
      <c r="C57" s="26">
        <v>1120</v>
      </c>
      <c r="D57" s="26">
        <v>1580</v>
      </c>
      <c r="E57" s="26">
        <v>1320</v>
      </c>
      <c r="F57"/>
      <c r="G57" s="14"/>
      <c r="H57" s="15">
        <v>2012</v>
      </c>
      <c r="I57" s="16">
        <v>41510</v>
      </c>
      <c r="J57" s="17">
        <v>36910</v>
      </c>
      <c r="K57" s="17">
        <v>125430</v>
      </c>
      <c r="L57" s="17">
        <v>130120</v>
      </c>
      <c r="M57" s="17"/>
      <c r="N57" s="14"/>
      <c r="O57" s="15">
        <v>2012</v>
      </c>
      <c r="P57" s="16">
        <v>14510</v>
      </c>
      <c r="Q57" s="16">
        <v>4390</v>
      </c>
      <c r="R57" s="17">
        <v>27140</v>
      </c>
      <c r="S57" s="16">
        <v>21460</v>
      </c>
      <c r="T57" s="16">
        <v>234900</v>
      </c>
      <c r="U57" s="16">
        <v>397560</v>
      </c>
    </row>
    <row r="58" spans="1:21" s="12" customFormat="1">
      <c r="A58" s="14"/>
      <c r="B58" s="15">
        <v>2013</v>
      </c>
      <c r="C58" s="26">
        <v>1080</v>
      </c>
      <c r="D58" s="26">
        <v>1600</v>
      </c>
      <c r="E58" s="26">
        <v>1300</v>
      </c>
      <c r="F58"/>
      <c r="G58" s="14"/>
      <c r="H58" s="15">
        <v>2013</v>
      </c>
      <c r="I58" s="16">
        <v>42240</v>
      </c>
      <c r="J58" s="17">
        <v>36850</v>
      </c>
      <c r="K58" s="17">
        <v>129500</v>
      </c>
      <c r="L58" s="17">
        <v>131190</v>
      </c>
      <c r="M58" s="17"/>
      <c r="N58" s="14"/>
      <c r="O58" s="15">
        <v>2013</v>
      </c>
      <c r="P58" s="16">
        <v>14240</v>
      </c>
      <c r="Q58" s="16">
        <v>4300</v>
      </c>
      <c r="R58" s="17">
        <v>26770</v>
      </c>
      <c r="S58" s="16">
        <v>20880</v>
      </c>
      <c r="T58" s="16">
        <v>238350</v>
      </c>
      <c r="U58" s="16">
        <v>401400</v>
      </c>
    </row>
    <row r="59" spans="1:21" s="12" customFormat="1">
      <c r="A59" s="14"/>
      <c r="B59" s="15">
        <v>2014</v>
      </c>
      <c r="C59" s="26">
        <v>1030</v>
      </c>
      <c r="D59" s="26">
        <v>1570</v>
      </c>
      <c r="E59" s="26">
        <v>1360</v>
      </c>
      <c r="F59"/>
      <c r="G59" s="14"/>
      <c r="H59" s="15">
        <v>2014</v>
      </c>
      <c r="I59" s="16">
        <v>42580</v>
      </c>
      <c r="J59" s="17">
        <v>36120</v>
      </c>
      <c r="K59" s="17">
        <v>130690</v>
      </c>
      <c r="L59" s="17">
        <v>133130</v>
      </c>
      <c r="M59" s="17"/>
      <c r="N59" s="14"/>
      <c r="O59" s="15">
        <v>2014</v>
      </c>
      <c r="P59" s="16">
        <v>14120</v>
      </c>
      <c r="Q59" s="16">
        <v>4190</v>
      </c>
      <c r="R59" s="17">
        <v>26380</v>
      </c>
      <c r="S59" s="16">
        <v>20740</v>
      </c>
      <c r="T59" s="16">
        <v>238280</v>
      </c>
      <c r="U59" s="16">
        <v>406260</v>
      </c>
    </row>
    <row r="60" spans="1:21" s="12" customFormat="1">
      <c r="A60" s="14"/>
      <c r="C60" s="27"/>
      <c r="D60" s="27"/>
      <c r="E60" s="27"/>
      <c r="F60"/>
      <c r="G60" s="14"/>
      <c r="N60" s="14"/>
      <c r="P60" s="16"/>
      <c r="Q60" s="16"/>
      <c r="R60" s="17"/>
      <c r="S60" s="16"/>
      <c r="T60" s="16"/>
      <c r="U60" s="16"/>
    </row>
    <row r="61" spans="1:21" s="12" customFormat="1">
      <c r="A61" s="14" t="s">
        <v>38</v>
      </c>
      <c r="B61" s="14" t="s">
        <v>0</v>
      </c>
      <c r="C61" s="25" t="s">
        <v>190</v>
      </c>
      <c r="D61" s="25" t="s">
        <v>203</v>
      </c>
      <c r="E61" s="25" t="s">
        <v>216</v>
      </c>
      <c r="F61"/>
      <c r="G61" s="14" t="s">
        <v>38</v>
      </c>
      <c r="H61" s="14" t="s">
        <v>0</v>
      </c>
      <c r="I61" s="15" t="s">
        <v>138</v>
      </c>
      <c r="J61" s="14" t="s">
        <v>151</v>
      </c>
      <c r="K61" s="14" t="s">
        <v>164</v>
      </c>
      <c r="L61" s="14" t="s">
        <v>177</v>
      </c>
      <c r="M61" s="14"/>
      <c r="N61" s="14" t="s">
        <v>38</v>
      </c>
      <c r="O61" s="14" t="s">
        <v>0</v>
      </c>
      <c r="P61" s="15" t="s">
        <v>28</v>
      </c>
      <c r="Q61" s="15" t="s">
        <v>59</v>
      </c>
      <c r="R61" s="14" t="s">
        <v>73</v>
      </c>
      <c r="S61" s="15" t="s">
        <v>86</v>
      </c>
      <c r="T61" s="15" t="s">
        <v>112</v>
      </c>
      <c r="U61" s="15" t="s">
        <v>125</v>
      </c>
    </row>
    <row r="62" spans="1:21" s="12" customFormat="1">
      <c r="A62" s="14"/>
      <c r="B62" s="15">
        <v>2010</v>
      </c>
      <c r="C62" s="26">
        <v>460</v>
      </c>
      <c r="D62" s="26">
        <v>380</v>
      </c>
      <c r="E62" s="26">
        <v>120</v>
      </c>
      <c r="F62"/>
      <c r="G62" s="14"/>
      <c r="H62" s="15">
        <v>2010</v>
      </c>
      <c r="I62" s="16">
        <v>32140</v>
      </c>
      <c r="J62" s="17">
        <v>30770</v>
      </c>
      <c r="K62" s="17">
        <v>74020</v>
      </c>
      <c r="L62" s="17">
        <v>129010</v>
      </c>
      <c r="M62" s="17"/>
      <c r="N62" s="14"/>
      <c r="O62" s="15">
        <v>2010</v>
      </c>
      <c r="P62" s="16">
        <v>13350</v>
      </c>
      <c r="Q62" s="16">
        <v>3870</v>
      </c>
      <c r="R62" s="17">
        <v>25930</v>
      </c>
      <c r="S62" s="16">
        <v>20760</v>
      </c>
      <c r="T62" s="16">
        <v>207610</v>
      </c>
      <c r="U62" s="16">
        <v>340270</v>
      </c>
    </row>
    <row r="63" spans="1:21" s="12" customFormat="1">
      <c r="A63" s="14"/>
      <c r="B63" s="15">
        <v>2011</v>
      </c>
      <c r="C63" s="26">
        <v>460</v>
      </c>
      <c r="D63" s="26">
        <v>390</v>
      </c>
      <c r="E63" s="26">
        <v>130</v>
      </c>
      <c r="F63"/>
      <c r="G63" s="14"/>
      <c r="H63" s="15">
        <v>2011</v>
      </c>
      <c r="I63" s="16">
        <v>32460</v>
      </c>
      <c r="J63" s="17">
        <v>30930</v>
      </c>
      <c r="K63" s="17">
        <v>76520</v>
      </c>
      <c r="L63" s="17">
        <v>132990</v>
      </c>
      <c r="M63" s="17"/>
      <c r="N63" s="14"/>
      <c r="O63" s="15">
        <v>2011</v>
      </c>
      <c r="P63" s="16">
        <v>13800</v>
      </c>
      <c r="Q63" s="16">
        <v>3990</v>
      </c>
      <c r="R63" s="17">
        <v>26660</v>
      </c>
      <c r="S63" s="16">
        <v>21370</v>
      </c>
      <c r="T63" s="16">
        <v>214280</v>
      </c>
      <c r="U63" s="16">
        <v>351210</v>
      </c>
    </row>
    <row r="64" spans="1:21" s="12" customFormat="1">
      <c r="A64" s="14"/>
      <c r="B64" s="15">
        <v>2012</v>
      </c>
      <c r="C64" s="26">
        <v>510</v>
      </c>
      <c r="D64" s="26">
        <v>410</v>
      </c>
      <c r="E64" s="26">
        <v>140</v>
      </c>
      <c r="F64"/>
      <c r="G64" s="14"/>
      <c r="H64" s="15">
        <v>2012</v>
      </c>
      <c r="I64" s="16">
        <v>32880</v>
      </c>
      <c r="J64" s="17">
        <v>30900</v>
      </c>
      <c r="K64" s="17">
        <v>78850</v>
      </c>
      <c r="L64" s="17">
        <v>136510</v>
      </c>
      <c r="M64" s="17"/>
      <c r="N64" s="14"/>
      <c r="O64" s="15">
        <v>2012</v>
      </c>
      <c r="P64" s="16">
        <v>14160</v>
      </c>
      <c r="Q64" s="16">
        <v>4120</v>
      </c>
      <c r="R64" s="17">
        <v>27360</v>
      </c>
      <c r="S64" s="16">
        <v>21950</v>
      </c>
      <c r="T64" s="16">
        <v>220340</v>
      </c>
      <c r="U64" s="16">
        <v>361970</v>
      </c>
    </row>
    <row r="65" spans="1:21" s="12" customFormat="1">
      <c r="A65" s="14"/>
      <c r="B65" s="15">
        <v>2013</v>
      </c>
      <c r="C65" s="26">
        <v>540</v>
      </c>
      <c r="D65" s="26">
        <v>430</v>
      </c>
      <c r="E65" s="26">
        <v>150</v>
      </c>
      <c r="F65"/>
      <c r="G65" s="14"/>
      <c r="H65" s="15">
        <v>2013</v>
      </c>
      <c r="I65" s="16">
        <v>33480</v>
      </c>
      <c r="J65" s="17">
        <v>31020</v>
      </c>
      <c r="K65" s="17">
        <v>81420</v>
      </c>
      <c r="L65" s="17">
        <v>141290</v>
      </c>
      <c r="M65" s="17"/>
      <c r="N65" s="14"/>
      <c r="O65" s="15">
        <v>2013</v>
      </c>
      <c r="P65" s="16">
        <v>14630</v>
      </c>
      <c r="Q65" s="16">
        <v>4200</v>
      </c>
      <c r="R65" s="17">
        <v>28200</v>
      </c>
      <c r="S65" s="16">
        <v>22730</v>
      </c>
      <c r="T65" s="16">
        <v>228350</v>
      </c>
      <c r="U65" s="16">
        <v>373860</v>
      </c>
    </row>
    <row r="66" spans="1:21" s="12" customFormat="1">
      <c r="A66" s="14"/>
      <c r="B66" s="15">
        <v>2014</v>
      </c>
      <c r="C66" s="26">
        <v>570</v>
      </c>
      <c r="D66" s="26">
        <v>440</v>
      </c>
      <c r="E66" s="26">
        <v>150</v>
      </c>
      <c r="F66"/>
      <c r="G66" s="14"/>
      <c r="H66" s="15">
        <v>2014</v>
      </c>
      <c r="I66" s="16">
        <v>33750</v>
      </c>
      <c r="J66" s="17">
        <v>31180</v>
      </c>
      <c r="K66" s="17">
        <v>84080</v>
      </c>
      <c r="L66" s="17">
        <v>146080</v>
      </c>
      <c r="M66" s="17"/>
      <c r="N66" s="14"/>
      <c r="O66" s="15">
        <v>2014</v>
      </c>
      <c r="P66" s="16">
        <v>15170</v>
      </c>
      <c r="Q66" s="16">
        <v>4340</v>
      </c>
      <c r="R66" s="17">
        <v>29000</v>
      </c>
      <c r="S66" s="16">
        <v>23450</v>
      </c>
      <c r="T66" s="16">
        <v>236220</v>
      </c>
      <c r="U66" s="16">
        <v>385980</v>
      </c>
    </row>
    <row r="67" spans="1:21" s="12" customFormat="1">
      <c r="A67" s="15"/>
      <c r="B67" s="16"/>
      <c r="C67" s="28"/>
      <c r="D67" s="28"/>
      <c r="E67" s="28"/>
      <c r="F67"/>
      <c r="G67" s="15"/>
      <c r="H67" s="16"/>
      <c r="I67" s="16"/>
      <c r="J67" s="16"/>
      <c r="K67" s="16"/>
      <c r="L67" s="16"/>
      <c r="M67" s="16"/>
      <c r="N67" s="15"/>
      <c r="O67" s="16"/>
      <c r="P67" s="16"/>
      <c r="Q67" s="16"/>
      <c r="S67" s="16"/>
      <c r="T67" s="16"/>
      <c r="U67" s="16"/>
    </row>
    <row r="68" spans="1:21" s="12" customFormat="1">
      <c r="A68" s="14" t="s">
        <v>39</v>
      </c>
      <c r="B68" s="14" t="s">
        <v>0</v>
      </c>
      <c r="C68" s="25" t="s">
        <v>191</v>
      </c>
      <c r="D68" s="25" t="s">
        <v>204</v>
      </c>
      <c r="E68" s="25" t="s">
        <v>217</v>
      </c>
      <c r="F68"/>
      <c r="G68" s="14" t="s">
        <v>39</v>
      </c>
      <c r="H68" s="14" t="s">
        <v>0</v>
      </c>
      <c r="I68" s="14" t="s">
        <v>139</v>
      </c>
      <c r="J68" s="14" t="s">
        <v>152</v>
      </c>
      <c r="K68" s="14" t="s">
        <v>165</v>
      </c>
      <c r="L68" s="14" t="s">
        <v>178</v>
      </c>
      <c r="M68" s="14"/>
      <c r="N68" s="14" t="s">
        <v>39</v>
      </c>
      <c r="O68" s="14" t="s">
        <v>0</v>
      </c>
      <c r="P68" s="14" t="s">
        <v>29</v>
      </c>
      <c r="Q68" s="14" t="s">
        <v>60</v>
      </c>
      <c r="R68" s="14" t="s">
        <v>74</v>
      </c>
      <c r="S68" s="14" t="s">
        <v>100</v>
      </c>
      <c r="T68" s="14" t="s">
        <v>113</v>
      </c>
      <c r="U68" s="14" t="s">
        <v>126</v>
      </c>
    </row>
    <row r="69" spans="1:21" s="12" customFormat="1">
      <c r="A69" s="14"/>
      <c r="B69" s="15">
        <v>2010</v>
      </c>
      <c r="C69" s="26">
        <v>7970</v>
      </c>
      <c r="D69" s="26">
        <v>10900</v>
      </c>
      <c r="E69" s="26">
        <v>9760</v>
      </c>
      <c r="F69"/>
      <c r="G69" s="14"/>
      <c r="H69" s="15">
        <v>2010</v>
      </c>
      <c r="I69" s="17">
        <v>265800</v>
      </c>
      <c r="J69" s="17">
        <v>225570</v>
      </c>
      <c r="K69" s="17">
        <v>761550</v>
      </c>
      <c r="L69" s="17">
        <v>874160</v>
      </c>
      <c r="M69" s="17"/>
      <c r="N69" s="14"/>
      <c r="O69" s="15">
        <v>2010</v>
      </c>
      <c r="P69" s="17">
        <v>98490</v>
      </c>
      <c r="Q69" s="17">
        <v>28780</v>
      </c>
      <c r="R69" s="17">
        <v>187020</v>
      </c>
      <c r="S69" s="17">
        <v>145120</v>
      </c>
      <c r="T69" s="17">
        <v>1602820</v>
      </c>
      <c r="U69" s="17">
        <v>2684130</v>
      </c>
    </row>
    <row r="70" spans="1:21" s="12" customFormat="1">
      <c r="A70" s="14"/>
      <c r="B70" s="15">
        <v>2011</v>
      </c>
      <c r="C70" s="26">
        <v>8160</v>
      </c>
      <c r="D70" s="26">
        <v>10860</v>
      </c>
      <c r="E70" s="26">
        <v>10020</v>
      </c>
      <c r="F70"/>
      <c r="G70" s="14"/>
      <c r="H70" s="15">
        <v>2011</v>
      </c>
      <c r="I70" s="17">
        <v>269570</v>
      </c>
      <c r="J70" s="17">
        <v>230000</v>
      </c>
      <c r="K70" s="17">
        <v>784330</v>
      </c>
      <c r="L70" s="17">
        <v>883350</v>
      </c>
      <c r="M70" s="17"/>
      <c r="N70" s="14"/>
      <c r="O70" s="15">
        <v>2011</v>
      </c>
      <c r="P70" s="17">
        <v>98840</v>
      </c>
      <c r="Q70" s="17">
        <v>28880</v>
      </c>
      <c r="R70" s="17">
        <v>187280</v>
      </c>
      <c r="S70" s="17">
        <v>144860</v>
      </c>
      <c r="T70" s="17">
        <v>1618370</v>
      </c>
      <c r="U70" s="17">
        <v>2710380</v>
      </c>
    </row>
    <row r="71" spans="1:21" s="12" customFormat="1">
      <c r="A71" s="14"/>
      <c r="B71" s="15">
        <v>2012</v>
      </c>
      <c r="C71" s="26">
        <v>8250</v>
      </c>
      <c r="D71" s="26">
        <v>10930</v>
      </c>
      <c r="E71" s="26">
        <v>10250</v>
      </c>
      <c r="F71"/>
      <c r="G71" s="14"/>
      <c r="H71" s="15">
        <v>2012</v>
      </c>
      <c r="I71" s="17">
        <v>272520</v>
      </c>
      <c r="J71" s="17">
        <v>234190</v>
      </c>
      <c r="K71" s="17">
        <v>813630</v>
      </c>
      <c r="L71" s="17">
        <v>888350</v>
      </c>
      <c r="M71" s="17"/>
      <c r="N71" s="14"/>
      <c r="O71" s="15">
        <v>2012</v>
      </c>
      <c r="P71" s="17">
        <v>98960</v>
      </c>
      <c r="Q71" s="17">
        <v>28690</v>
      </c>
      <c r="R71" s="17">
        <v>186420</v>
      </c>
      <c r="S71" s="17">
        <v>144220</v>
      </c>
      <c r="T71" s="17">
        <v>1632440</v>
      </c>
      <c r="U71" s="17">
        <v>2733570</v>
      </c>
    </row>
    <row r="72" spans="1:21" s="12" customFormat="1">
      <c r="A72" s="14"/>
      <c r="B72" s="15">
        <v>2013</v>
      </c>
      <c r="C72" s="26">
        <v>8330</v>
      </c>
      <c r="D72" s="26">
        <v>10930</v>
      </c>
      <c r="E72" s="26">
        <v>10400</v>
      </c>
      <c r="F72"/>
      <c r="G72" s="14"/>
      <c r="H72" s="15">
        <v>2013</v>
      </c>
      <c r="I72" s="17">
        <v>275790</v>
      </c>
      <c r="J72" s="17">
        <v>237330</v>
      </c>
      <c r="K72" s="17">
        <v>841870</v>
      </c>
      <c r="L72" s="17">
        <v>898170</v>
      </c>
      <c r="M72" s="17"/>
      <c r="N72" s="14"/>
      <c r="O72" s="15">
        <v>2013</v>
      </c>
      <c r="P72" s="17">
        <v>99090</v>
      </c>
      <c r="Q72" s="17">
        <v>28660</v>
      </c>
      <c r="R72" s="17">
        <v>186510</v>
      </c>
      <c r="S72" s="17">
        <v>143570</v>
      </c>
      <c r="T72" s="17">
        <v>1643420</v>
      </c>
      <c r="U72" s="17">
        <v>2760040</v>
      </c>
    </row>
    <row r="73" spans="1:21" s="12" customFormat="1">
      <c r="A73" s="14"/>
      <c r="B73" s="15">
        <v>2014</v>
      </c>
      <c r="C73" s="26">
        <v>8350</v>
      </c>
      <c r="D73" s="26">
        <v>11060</v>
      </c>
      <c r="E73" s="26">
        <v>10630</v>
      </c>
      <c r="F73"/>
      <c r="G73" s="14"/>
      <c r="H73" s="15">
        <v>2014</v>
      </c>
      <c r="I73" s="17">
        <v>278770</v>
      </c>
      <c r="J73" s="17">
        <v>240850</v>
      </c>
      <c r="K73" s="17">
        <v>862140</v>
      </c>
      <c r="L73" s="17">
        <v>911180</v>
      </c>
      <c r="M73" s="17"/>
      <c r="N73" s="14"/>
      <c r="O73" s="15">
        <v>2014</v>
      </c>
      <c r="P73" s="17">
        <v>99610</v>
      </c>
      <c r="Q73" s="17">
        <v>28860</v>
      </c>
      <c r="R73" s="17">
        <v>186810</v>
      </c>
      <c r="S73" s="17">
        <v>143820</v>
      </c>
      <c r="T73" s="17">
        <v>1656080</v>
      </c>
      <c r="U73" s="17">
        <v>2786650</v>
      </c>
    </row>
    <row r="74" spans="1:21" s="12" customFormat="1">
      <c r="A74" s="14"/>
      <c r="C74" s="27"/>
      <c r="D74" s="27"/>
      <c r="E74" s="27"/>
      <c r="F74"/>
      <c r="G74" s="14"/>
      <c r="N74" s="14"/>
      <c r="R74" s="17"/>
      <c r="S74" s="17"/>
      <c r="T74" s="17"/>
      <c r="U74" s="17"/>
    </row>
    <row r="75" spans="1:21" s="12" customFormat="1">
      <c r="A75" s="14" t="s">
        <v>412</v>
      </c>
      <c r="B75" s="14" t="s">
        <v>0</v>
      </c>
      <c r="C75" s="25" t="s">
        <v>192</v>
      </c>
      <c r="D75" s="25" t="s">
        <v>205</v>
      </c>
      <c r="E75" s="25" t="s">
        <v>218</v>
      </c>
      <c r="F75"/>
      <c r="G75" s="14" t="s">
        <v>412</v>
      </c>
      <c r="H75" s="14" t="s">
        <v>0</v>
      </c>
      <c r="I75" s="15" t="s">
        <v>140</v>
      </c>
      <c r="J75" s="14" t="s">
        <v>153</v>
      </c>
      <c r="K75" s="14" t="s">
        <v>166</v>
      </c>
      <c r="L75" s="14" t="s">
        <v>179</v>
      </c>
      <c r="M75" s="14"/>
      <c r="N75" s="14" t="s">
        <v>412</v>
      </c>
      <c r="O75" s="14" t="s">
        <v>0</v>
      </c>
      <c r="P75" s="15" t="s">
        <v>30</v>
      </c>
      <c r="Q75" s="15" t="s">
        <v>61</v>
      </c>
      <c r="R75" s="14" t="s">
        <v>75</v>
      </c>
      <c r="S75" s="15" t="s">
        <v>101</v>
      </c>
      <c r="T75" s="15" t="s">
        <v>114</v>
      </c>
      <c r="U75" s="14" t="s">
        <v>127</v>
      </c>
    </row>
    <row r="76" spans="1:21" s="12" customFormat="1">
      <c r="A76" s="14"/>
      <c r="B76" s="15">
        <v>2010</v>
      </c>
      <c r="C76" s="26">
        <v>5090</v>
      </c>
      <c r="D76" s="26">
        <v>5580</v>
      </c>
      <c r="E76" s="26">
        <v>3060</v>
      </c>
      <c r="F76"/>
      <c r="G76" s="14"/>
      <c r="H76" s="15">
        <v>2010</v>
      </c>
      <c r="I76" s="16">
        <v>235300</v>
      </c>
      <c r="J76" s="17">
        <v>204050</v>
      </c>
      <c r="K76" s="17">
        <v>736880</v>
      </c>
      <c r="L76" s="17">
        <v>899260</v>
      </c>
      <c r="M76" s="17"/>
      <c r="N76" s="14"/>
      <c r="O76" s="15">
        <v>2010</v>
      </c>
      <c r="P76" s="16">
        <v>112740</v>
      </c>
      <c r="Q76" s="16">
        <v>29480</v>
      </c>
      <c r="R76" s="17">
        <v>182650</v>
      </c>
      <c r="S76" s="16">
        <v>149840</v>
      </c>
      <c r="T76" s="16">
        <v>1158080</v>
      </c>
      <c r="U76" s="17">
        <v>2650760</v>
      </c>
    </row>
    <row r="77" spans="1:21" s="12" customFormat="1">
      <c r="A77" s="14"/>
      <c r="B77" s="15">
        <v>2011</v>
      </c>
      <c r="C77" s="26">
        <v>5250</v>
      </c>
      <c r="D77" s="26">
        <v>5560</v>
      </c>
      <c r="E77" s="26">
        <v>3080</v>
      </c>
      <c r="F77"/>
      <c r="G77" s="14"/>
      <c r="H77" s="15">
        <v>2011</v>
      </c>
      <c r="I77" s="16">
        <v>237920</v>
      </c>
      <c r="J77" s="17">
        <v>207070</v>
      </c>
      <c r="K77" s="17">
        <v>753140</v>
      </c>
      <c r="L77" s="17">
        <v>907940</v>
      </c>
      <c r="M77" s="17"/>
      <c r="N77" s="14"/>
      <c r="O77" s="15">
        <v>2011</v>
      </c>
      <c r="P77" s="16">
        <v>113040</v>
      </c>
      <c r="Q77" s="16">
        <v>29610</v>
      </c>
      <c r="R77" s="17">
        <v>182480</v>
      </c>
      <c r="S77" s="16">
        <v>149600</v>
      </c>
      <c r="T77" s="16">
        <v>1158850</v>
      </c>
      <c r="U77" s="17">
        <v>2670780</v>
      </c>
    </row>
    <row r="78" spans="1:21" s="12" customFormat="1">
      <c r="A78" s="14"/>
      <c r="B78" s="15">
        <v>2012</v>
      </c>
      <c r="C78" s="26">
        <v>5240</v>
      </c>
      <c r="D78" s="26">
        <v>5600</v>
      </c>
      <c r="E78" s="26">
        <v>3130</v>
      </c>
      <c r="F78"/>
      <c r="G78" s="14"/>
      <c r="H78" s="15">
        <v>2012</v>
      </c>
      <c r="I78" s="16">
        <v>240250</v>
      </c>
      <c r="J78" s="17">
        <v>210520</v>
      </c>
      <c r="K78" s="17">
        <v>774680</v>
      </c>
      <c r="L78" s="17">
        <v>914490</v>
      </c>
      <c r="M78" s="17"/>
      <c r="N78" s="14"/>
      <c r="O78" s="15">
        <v>2012</v>
      </c>
      <c r="P78" s="16">
        <v>112950</v>
      </c>
      <c r="Q78" s="16">
        <v>29620</v>
      </c>
      <c r="R78" s="17">
        <v>181660</v>
      </c>
      <c r="S78" s="16">
        <v>149200</v>
      </c>
      <c r="T78" s="16">
        <v>1159480</v>
      </c>
      <c r="U78" s="17">
        <v>2687110</v>
      </c>
    </row>
    <row r="79" spans="1:21" s="12" customFormat="1">
      <c r="A79" s="14"/>
      <c r="B79" s="15">
        <v>2013</v>
      </c>
      <c r="C79" s="26">
        <v>5330</v>
      </c>
      <c r="D79" s="26">
        <v>5610</v>
      </c>
      <c r="E79" s="26">
        <v>3120</v>
      </c>
      <c r="F79"/>
      <c r="G79" s="14"/>
      <c r="H79" s="15">
        <v>2013</v>
      </c>
      <c r="I79" s="16">
        <v>242320</v>
      </c>
      <c r="J79" s="17">
        <v>213090</v>
      </c>
      <c r="K79" s="17">
        <v>798570</v>
      </c>
      <c r="L79" s="17">
        <v>924620</v>
      </c>
      <c r="M79" s="17"/>
      <c r="N79" s="14"/>
      <c r="O79" s="15">
        <v>2013</v>
      </c>
      <c r="P79" s="16">
        <v>113060</v>
      </c>
      <c r="Q79" s="16">
        <v>29540</v>
      </c>
      <c r="R79" s="17">
        <v>180730</v>
      </c>
      <c r="S79" s="16">
        <v>148360</v>
      </c>
      <c r="T79" s="16">
        <v>1157770</v>
      </c>
      <c r="U79" s="17">
        <v>2704070</v>
      </c>
    </row>
    <row r="80" spans="1:21" s="12" customFormat="1">
      <c r="A80" s="14"/>
      <c r="B80" s="15">
        <v>2014</v>
      </c>
      <c r="C80" s="26">
        <v>5430</v>
      </c>
      <c r="D80" s="26">
        <v>5660</v>
      </c>
      <c r="E80" s="26">
        <v>3120</v>
      </c>
      <c r="F80"/>
      <c r="G80" s="14"/>
      <c r="H80" s="15">
        <v>2014</v>
      </c>
      <c r="I80" s="16">
        <v>244670</v>
      </c>
      <c r="J80" s="17">
        <v>215420</v>
      </c>
      <c r="K80" s="17">
        <v>818830</v>
      </c>
      <c r="L80" s="17">
        <v>937120</v>
      </c>
      <c r="M80" s="17"/>
      <c r="N80" s="14"/>
      <c r="O80" s="15">
        <v>2014</v>
      </c>
      <c r="P80" s="16">
        <v>113330</v>
      </c>
      <c r="Q80" s="16">
        <v>29640</v>
      </c>
      <c r="R80" s="17">
        <v>180280</v>
      </c>
      <c r="S80" s="16">
        <v>147950</v>
      </c>
      <c r="T80" s="16">
        <v>1155620</v>
      </c>
      <c r="U80" s="17">
        <v>2724510</v>
      </c>
    </row>
    <row r="81" spans="1:21" s="12" customFormat="1">
      <c r="A81" s="14"/>
      <c r="C81" s="27"/>
      <c r="D81" s="27"/>
      <c r="E81" s="27"/>
      <c r="F81"/>
      <c r="G81" s="14"/>
      <c r="N81" s="14"/>
      <c r="R81" s="17"/>
      <c r="T81" s="16"/>
      <c r="U81" s="17"/>
    </row>
    <row r="82" spans="1:21" s="12" customFormat="1">
      <c r="A82" s="14" t="s">
        <v>41</v>
      </c>
      <c r="B82" s="14" t="s">
        <v>0</v>
      </c>
      <c r="C82" s="25" t="s">
        <v>193</v>
      </c>
      <c r="D82" s="25" t="s">
        <v>206</v>
      </c>
      <c r="E82" s="25" t="s">
        <v>219</v>
      </c>
      <c r="F82"/>
      <c r="G82" s="14" t="s">
        <v>41</v>
      </c>
      <c r="H82" s="14" t="s">
        <v>0</v>
      </c>
      <c r="I82" s="15" t="s">
        <v>141</v>
      </c>
      <c r="J82" s="14" t="s">
        <v>154</v>
      </c>
      <c r="K82" s="14" t="s">
        <v>167</v>
      </c>
      <c r="L82" s="14" t="s">
        <v>180</v>
      </c>
      <c r="M82" s="14"/>
      <c r="N82" s="14" t="s">
        <v>41</v>
      </c>
      <c r="O82" s="14" t="s">
        <v>0</v>
      </c>
      <c r="P82" s="15" t="s">
        <v>47</v>
      </c>
      <c r="Q82" s="15" t="s">
        <v>62</v>
      </c>
      <c r="R82" s="14" t="s">
        <v>76</v>
      </c>
      <c r="S82" s="15" t="s">
        <v>102</v>
      </c>
      <c r="T82" s="15" t="s">
        <v>115</v>
      </c>
      <c r="U82" s="14" t="s">
        <v>128</v>
      </c>
    </row>
    <row r="83" spans="1:21" s="12" customFormat="1">
      <c r="A83" s="14"/>
      <c r="B83" s="15">
        <v>2010</v>
      </c>
      <c r="C83" s="26">
        <v>1030</v>
      </c>
      <c r="D83" s="26">
        <v>1600</v>
      </c>
      <c r="E83" s="26">
        <v>1360</v>
      </c>
      <c r="F83"/>
      <c r="G83" s="14"/>
      <c r="H83" s="15">
        <v>2010</v>
      </c>
      <c r="I83" s="16">
        <v>40310</v>
      </c>
      <c r="J83" s="17">
        <v>35530</v>
      </c>
      <c r="K83" s="17">
        <v>120390</v>
      </c>
      <c r="L83" s="17">
        <v>132070</v>
      </c>
      <c r="M83" s="17"/>
      <c r="N83" s="14"/>
      <c r="O83" s="15">
        <v>2010</v>
      </c>
      <c r="P83" s="16">
        <v>14950</v>
      </c>
      <c r="Q83" s="16">
        <v>4470</v>
      </c>
      <c r="R83" s="17">
        <v>27940</v>
      </c>
      <c r="S83" s="16">
        <v>21840</v>
      </c>
      <c r="T83" s="16">
        <v>225460</v>
      </c>
      <c r="U83" s="17">
        <v>394950</v>
      </c>
    </row>
    <row r="84" spans="1:21" s="12" customFormat="1">
      <c r="A84" s="14"/>
      <c r="B84" s="15">
        <v>2011</v>
      </c>
      <c r="C84" s="26">
        <v>1030</v>
      </c>
      <c r="D84" s="26">
        <v>1650</v>
      </c>
      <c r="E84" s="26">
        <v>1410</v>
      </c>
      <c r="F84"/>
      <c r="G84" s="14"/>
      <c r="H84" s="15">
        <v>2011</v>
      </c>
      <c r="I84" s="16">
        <v>41310</v>
      </c>
      <c r="J84" s="17">
        <v>36400</v>
      </c>
      <c r="K84" s="17">
        <v>122330</v>
      </c>
      <c r="L84" s="17">
        <v>132840</v>
      </c>
      <c r="M84" s="17"/>
      <c r="N84" s="14"/>
      <c r="O84" s="15">
        <v>2011</v>
      </c>
      <c r="P84" s="16">
        <v>14880</v>
      </c>
      <c r="Q84" s="16">
        <v>4560</v>
      </c>
      <c r="R84" s="17">
        <v>28110</v>
      </c>
      <c r="S84" s="16">
        <v>21640</v>
      </c>
      <c r="T84" s="16">
        <v>231610</v>
      </c>
      <c r="U84" s="17">
        <v>399500</v>
      </c>
    </row>
    <row r="85" spans="1:21" s="12" customFormat="1">
      <c r="A85" s="14"/>
      <c r="B85" s="15">
        <v>2012</v>
      </c>
      <c r="C85" s="26">
        <v>1020</v>
      </c>
      <c r="D85" s="26">
        <v>1620</v>
      </c>
      <c r="E85" s="26">
        <v>1380</v>
      </c>
      <c r="F85"/>
      <c r="G85" s="14"/>
      <c r="H85" s="15">
        <v>2012</v>
      </c>
      <c r="I85" s="16">
        <v>41790</v>
      </c>
      <c r="J85" s="17">
        <v>36630</v>
      </c>
      <c r="K85" s="17">
        <v>125260</v>
      </c>
      <c r="L85" s="17">
        <v>132000</v>
      </c>
      <c r="M85" s="17"/>
      <c r="N85" s="14"/>
      <c r="O85" s="15">
        <v>2012</v>
      </c>
      <c r="P85" s="16">
        <v>14620</v>
      </c>
      <c r="Q85" s="16">
        <v>4450</v>
      </c>
      <c r="R85" s="17">
        <v>27770</v>
      </c>
      <c r="S85" s="16">
        <v>21500</v>
      </c>
      <c r="T85" s="16">
        <v>237220</v>
      </c>
      <c r="U85" s="17">
        <v>402510</v>
      </c>
    </row>
    <row r="86" spans="1:21" s="12" customFormat="1">
      <c r="A86" s="14"/>
      <c r="B86" s="15">
        <v>2013</v>
      </c>
      <c r="C86" s="26">
        <v>1000</v>
      </c>
      <c r="D86" s="26">
        <v>1580</v>
      </c>
      <c r="E86" s="26">
        <v>1380</v>
      </c>
      <c r="F86"/>
      <c r="G86" s="14"/>
      <c r="H86" s="15">
        <v>2013</v>
      </c>
      <c r="I86" s="16">
        <v>42160</v>
      </c>
      <c r="J86" s="17">
        <v>36450</v>
      </c>
      <c r="K86" s="17">
        <v>127300</v>
      </c>
      <c r="L86" s="17">
        <v>132200</v>
      </c>
      <c r="M86" s="17"/>
      <c r="N86" s="14"/>
      <c r="O86" s="15">
        <v>2013</v>
      </c>
      <c r="P86" s="16">
        <v>14400</v>
      </c>
      <c r="Q86" s="16">
        <v>4350</v>
      </c>
      <c r="R86" s="17">
        <v>27700</v>
      </c>
      <c r="S86" s="16">
        <v>20990</v>
      </c>
      <c r="T86" s="16">
        <v>240180</v>
      </c>
      <c r="U86" s="17">
        <v>404490</v>
      </c>
    </row>
    <row r="87" spans="1:21" s="12" customFormat="1">
      <c r="A87" s="14"/>
      <c r="B87" s="15">
        <v>2014</v>
      </c>
      <c r="C87" s="26">
        <v>990</v>
      </c>
      <c r="D87" s="26">
        <v>1530</v>
      </c>
      <c r="E87" s="26">
        <v>1410</v>
      </c>
      <c r="F87"/>
      <c r="G87" s="14"/>
      <c r="H87" s="15">
        <v>2014</v>
      </c>
      <c r="I87" s="16">
        <v>42320</v>
      </c>
      <c r="J87" s="17">
        <v>35960</v>
      </c>
      <c r="K87" s="17">
        <v>127600</v>
      </c>
      <c r="L87" s="17">
        <v>133220</v>
      </c>
      <c r="M87" s="17"/>
      <c r="N87" s="14"/>
      <c r="O87" s="15">
        <v>2014</v>
      </c>
      <c r="P87" s="16">
        <v>14130</v>
      </c>
      <c r="Q87" s="16">
        <v>4330</v>
      </c>
      <c r="R87" s="17">
        <v>27190</v>
      </c>
      <c r="S87" s="16">
        <v>20870</v>
      </c>
      <c r="T87" s="16">
        <v>240060</v>
      </c>
      <c r="U87" s="17">
        <v>406160</v>
      </c>
    </row>
    <row r="88" spans="1:21" s="12" customFormat="1">
      <c r="A88" s="14"/>
      <c r="C88" s="27"/>
      <c r="D88" s="27"/>
      <c r="E88" s="27"/>
      <c r="F88"/>
      <c r="G88" s="14"/>
      <c r="N88" s="14"/>
      <c r="R88" s="17"/>
      <c r="T88" s="16"/>
      <c r="U88" s="17"/>
    </row>
    <row r="89" spans="1:21" s="12" customFormat="1">
      <c r="A89" s="14" t="s">
        <v>42</v>
      </c>
      <c r="B89" s="14" t="s">
        <v>0</v>
      </c>
      <c r="C89" s="25" t="s">
        <v>194</v>
      </c>
      <c r="D89" s="25" t="s">
        <v>207</v>
      </c>
      <c r="E89" s="25" t="s">
        <v>220</v>
      </c>
      <c r="F89"/>
      <c r="G89" s="14" t="s">
        <v>42</v>
      </c>
      <c r="H89" s="14" t="s">
        <v>0</v>
      </c>
      <c r="I89" s="15" t="s">
        <v>142</v>
      </c>
      <c r="J89" s="14" t="s">
        <v>155</v>
      </c>
      <c r="K89" s="14" t="s">
        <v>168</v>
      </c>
      <c r="L89" s="14" t="s">
        <v>181</v>
      </c>
      <c r="M89" s="14"/>
      <c r="N89" s="14" t="s">
        <v>42</v>
      </c>
      <c r="O89" s="14" t="s">
        <v>0</v>
      </c>
      <c r="P89" s="15" t="s">
        <v>48</v>
      </c>
      <c r="Q89" s="15" t="s">
        <v>63</v>
      </c>
      <c r="R89" s="14" t="s">
        <v>77</v>
      </c>
      <c r="S89" s="15" t="s">
        <v>103</v>
      </c>
      <c r="T89" s="15" t="s">
        <v>116</v>
      </c>
      <c r="U89" s="14" t="s">
        <v>129</v>
      </c>
    </row>
    <row r="90" spans="1:21" s="12" customFormat="1">
      <c r="A90" s="14"/>
      <c r="B90" s="15">
        <v>2010</v>
      </c>
      <c r="C90" s="26">
        <v>530</v>
      </c>
      <c r="D90" s="26">
        <v>430</v>
      </c>
      <c r="E90" s="26">
        <v>170</v>
      </c>
      <c r="F90"/>
      <c r="G90" s="14"/>
      <c r="H90" s="15">
        <v>2010</v>
      </c>
      <c r="I90" s="16">
        <v>49640</v>
      </c>
      <c r="J90" s="17">
        <v>45130</v>
      </c>
      <c r="K90" s="17">
        <v>103570</v>
      </c>
      <c r="L90" s="17">
        <v>172940</v>
      </c>
      <c r="M90" s="17"/>
      <c r="N90" s="14"/>
      <c r="O90" s="15">
        <v>2010</v>
      </c>
      <c r="P90" s="16">
        <v>18920</v>
      </c>
      <c r="Q90" s="16">
        <v>5960</v>
      </c>
      <c r="R90" s="17">
        <v>39880</v>
      </c>
      <c r="S90" s="16">
        <v>31910</v>
      </c>
      <c r="T90" s="16">
        <v>330590</v>
      </c>
      <c r="U90" s="17">
        <v>495450</v>
      </c>
    </row>
    <row r="91" spans="1:21" s="12" customFormat="1">
      <c r="A91" s="14"/>
      <c r="B91" s="15">
        <v>2011</v>
      </c>
      <c r="C91" s="26">
        <v>540</v>
      </c>
      <c r="D91" s="26">
        <v>440</v>
      </c>
      <c r="E91" s="26">
        <v>160</v>
      </c>
      <c r="F91"/>
      <c r="G91" s="14"/>
      <c r="H91" s="15">
        <v>2011</v>
      </c>
      <c r="I91" s="16">
        <v>49540</v>
      </c>
      <c r="J91" s="17">
        <v>44920</v>
      </c>
      <c r="K91" s="17">
        <v>105750</v>
      </c>
      <c r="L91" s="17">
        <v>176510</v>
      </c>
      <c r="M91" s="17"/>
      <c r="N91" s="14"/>
      <c r="O91" s="15">
        <v>2011</v>
      </c>
      <c r="P91" s="16">
        <v>19290</v>
      </c>
      <c r="Q91" s="16">
        <v>6040</v>
      </c>
      <c r="R91" s="17">
        <v>40240</v>
      </c>
      <c r="S91" s="16">
        <v>32230</v>
      </c>
      <c r="T91" s="16">
        <v>336590</v>
      </c>
      <c r="U91" s="17">
        <v>505370</v>
      </c>
    </row>
    <row r="92" spans="1:21" s="12" customFormat="1">
      <c r="A92" s="14"/>
      <c r="B92" s="15">
        <v>2012</v>
      </c>
      <c r="C92" s="26">
        <v>570</v>
      </c>
      <c r="D92" s="26">
        <v>460</v>
      </c>
      <c r="E92" s="26">
        <v>160</v>
      </c>
      <c r="F92"/>
      <c r="G92" s="14"/>
      <c r="H92" s="15">
        <v>2012</v>
      </c>
      <c r="I92" s="16">
        <v>49630</v>
      </c>
      <c r="J92" s="17">
        <v>44770</v>
      </c>
      <c r="K92" s="17">
        <v>107980</v>
      </c>
      <c r="L92" s="17">
        <v>179540</v>
      </c>
      <c r="M92" s="17"/>
      <c r="N92" s="14"/>
      <c r="O92" s="15">
        <v>2012</v>
      </c>
      <c r="P92" s="16">
        <v>19610</v>
      </c>
      <c r="Q92" s="16">
        <v>6060</v>
      </c>
      <c r="R92" s="17">
        <v>40610</v>
      </c>
      <c r="S92" s="16">
        <v>32620</v>
      </c>
      <c r="T92" s="16">
        <v>341530</v>
      </c>
      <c r="U92" s="17">
        <v>515150</v>
      </c>
    </row>
    <row r="93" spans="1:21" s="12" customFormat="1">
      <c r="A93" s="14"/>
      <c r="B93" s="15">
        <v>2013</v>
      </c>
      <c r="C93" s="26">
        <v>600</v>
      </c>
      <c r="D93" s="26">
        <v>480</v>
      </c>
      <c r="E93" s="26">
        <v>170</v>
      </c>
      <c r="F93"/>
      <c r="G93" s="14"/>
      <c r="H93" s="15">
        <v>2013</v>
      </c>
      <c r="I93" s="16">
        <v>49780</v>
      </c>
      <c r="J93" s="17">
        <v>44610</v>
      </c>
      <c r="K93" s="17">
        <v>110310</v>
      </c>
      <c r="L93" s="17">
        <v>183950</v>
      </c>
      <c r="M93" s="17"/>
      <c r="N93" s="14"/>
      <c r="O93" s="15">
        <v>2013</v>
      </c>
      <c r="P93" s="16">
        <v>19950</v>
      </c>
      <c r="Q93" s="16">
        <v>6140</v>
      </c>
      <c r="R93" s="17">
        <v>41200</v>
      </c>
      <c r="S93" s="16">
        <v>33030</v>
      </c>
      <c r="T93" s="16">
        <v>347810</v>
      </c>
      <c r="U93" s="17">
        <v>526570</v>
      </c>
    </row>
    <row r="94" spans="1:21" s="14" customFormat="1">
      <c r="B94" s="15">
        <v>2014</v>
      </c>
      <c r="C94" s="26">
        <v>620</v>
      </c>
      <c r="D94" s="26">
        <v>500</v>
      </c>
      <c r="E94" s="26">
        <v>190</v>
      </c>
      <c r="F94"/>
      <c r="H94" s="15">
        <v>2014</v>
      </c>
      <c r="I94" s="16">
        <v>49790</v>
      </c>
      <c r="J94" s="17">
        <v>44480</v>
      </c>
      <c r="K94" s="17">
        <v>112760</v>
      </c>
      <c r="L94" s="17">
        <v>187900</v>
      </c>
      <c r="M94" s="17"/>
      <c r="O94" s="15">
        <v>2014</v>
      </c>
      <c r="P94" s="16">
        <v>20340</v>
      </c>
      <c r="Q94" s="16">
        <v>6190</v>
      </c>
      <c r="R94" s="17">
        <v>41770</v>
      </c>
      <c r="S94" s="16">
        <v>33490</v>
      </c>
      <c r="T94" s="16">
        <v>354810</v>
      </c>
      <c r="U94" s="17">
        <v>538420</v>
      </c>
    </row>
    <row r="95" spans="1:21" s="12" customFormat="1">
      <c r="A95" s="14"/>
      <c r="C95" s="27"/>
      <c r="D95" s="27"/>
      <c r="E95" s="27"/>
      <c r="F95"/>
      <c r="G95" s="14"/>
      <c r="N95" s="14"/>
      <c r="R95" s="17"/>
      <c r="T95" s="16"/>
      <c r="U95" s="17"/>
    </row>
    <row r="96" spans="1:21" s="12" customFormat="1">
      <c r="A96" s="14" t="s">
        <v>43</v>
      </c>
      <c r="B96" s="14" t="s">
        <v>0</v>
      </c>
      <c r="C96" s="25" t="s">
        <v>95</v>
      </c>
      <c r="D96" s="25" t="s">
        <v>96</v>
      </c>
      <c r="E96" s="25" t="s">
        <v>97</v>
      </c>
      <c r="F96"/>
      <c r="G96" s="14" t="s">
        <v>43</v>
      </c>
      <c r="H96" s="14" t="s">
        <v>0</v>
      </c>
      <c r="I96" s="14" t="s">
        <v>91</v>
      </c>
      <c r="J96" s="14" t="s">
        <v>92</v>
      </c>
      <c r="K96" s="14" t="s">
        <v>93</v>
      </c>
      <c r="L96" s="14" t="s">
        <v>94</v>
      </c>
      <c r="M96" s="14"/>
      <c r="N96" s="14" t="s">
        <v>43</v>
      </c>
      <c r="O96" s="14" t="s">
        <v>0</v>
      </c>
      <c r="P96" s="14" t="s">
        <v>50</v>
      </c>
      <c r="Q96" s="14" t="s">
        <v>64</v>
      </c>
      <c r="R96" s="14" t="s">
        <v>87</v>
      </c>
      <c r="S96" s="14" t="s">
        <v>88</v>
      </c>
      <c r="T96" s="14" t="s">
        <v>89</v>
      </c>
      <c r="U96" s="14" t="s">
        <v>90</v>
      </c>
    </row>
    <row r="97" spans="1:21" s="12" customFormat="1">
      <c r="A97" s="14"/>
      <c r="B97" s="15">
        <v>2010</v>
      </c>
      <c r="C97" s="27">
        <f t="shared" ref="C97:E101" si="0">ABS(C41-C69)</f>
        <v>590</v>
      </c>
      <c r="D97" s="27">
        <f t="shared" si="0"/>
        <v>1080</v>
      </c>
      <c r="E97" s="27">
        <f t="shared" si="0"/>
        <v>550</v>
      </c>
      <c r="F97"/>
      <c r="G97" s="14"/>
      <c r="H97" s="15">
        <v>2010</v>
      </c>
      <c r="I97" s="12">
        <f t="shared" ref="I97:L101" si="1">ABS(I41-I69)</f>
        <v>19140</v>
      </c>
      <c r="J97" s="12">
        <f t="shared" si="1"/>
        <v>19520</v>
      </c>
      <c r="K97" s="12">
        <f t="shared" si="1"/>
        <v>75310</v>
      </c>
      <c r="L97" s="12">
        <f t="shared" si="1"/>
        <v>48820</v>
      </c>
      <c r="N97" s="14"/>
      <c r="O97" s="15">
        <v>2010</v>
      </c>
      <c r="P97" s="12">
        <f t="shared" ref="P97:U101" si="2">ABS(P41-P69)</f>
        <v>8850</v>
      </c>
      <c r="Q97" s="12">
        <f t="shared" si="2"/>
        <v>1370</v>
      </c>
      <c r="R97" s="12">
        <f t="shared" si="2"/>
        <v>8610</v>
      </c>
      <c r="S97" s="12">
        <f t="shared" si="2"/>
        <v>12540</v>
      </c>
      <c r="T97" s="12">
        <f t="shared" si="2"/>
        <v>124730</v>
      </c>
      <c r="U97" s="12">
        <f t="shared" si="2"/>
        <v>111660</v>
      </c>
    </row>
    <row r="98" spans="1:21" s="12" customFormat="1">
      <c r="A98" s="14"/>
      <c r="B98" s="15">
        <v>2011</v>
      </c>
      <c r="C98" s="27">
        <f t="shared" si="0"/>
        <v>650</v>
      </c>
      <c r="D98" s="27">
        <f t="shared" si="0"/>
        <v>1110</v>
      </c>
      <c r="E98" s="27">
        <f t="shared" si="0"/>
        <v>490</v>
      </c>
      <c r="F98"/>
      <c r="G98" s="14"/>
      <c r="H98" s="15">
        <v>2011</v>
      </c>
      <c r="I98" s="12">
        <f t="shared" si="1"/>
        <v>19860</v>
      </c>
      <c r="J98" s="12">
        <f t="shared" si="1"/>
        <v>22110</v>
      </c>
      <c r="K98" s="12">
        <f t="shared" si="1"/>
        <v>82170</v>
      </c>
      <c r="L98" s="12">
        <f t="shared" si="1"/>
        <v>53180</v>
      </c>
      <c r="N98" s="14"/>
      <c r="O98" s="15">
        <v>2011</v>
      </c>
      <c r="P98" s="12">
        <f t="shared" si="2"/>
        <v>9060</v>
      </c>
      <c r="Q98" s="12">
        <f t="shared" si="2"/>
        <v>1310</v>
      </c>
      <c r="R98" s="12">
        <f t="shared" si="2"/>
        <v>8770</v>
      </c>
      <c r="S98" s="12">
        <f t="shared" si="2"/>
        <v>12420</v>
      </c>
      <c r="T98" s="12">
        <f t="shared" si="2"/>
        <v>129010</v>
      </c>
      <c r="U98" s="12">
        <f t="shared" si="2"/>
        <v>106210</v>
      </c>
    </row>
    <row r="99" spans="1:21" s="12" customFormat="1">
      <c r="A99" s="14"/>
      <c r="B99" s="15">
        <v>2012</v>
      </c>
      <c r="C99" s="27">
        <f t="shared" si="0"/>
        <v>630</v>
      </c>
      <c r="D99" s="27">
        <f t="shared" si="0"/>
        <v>1050</v>
      </c>
      <c r="E99" s="27">
        <f t="shared" si="0"/>
        <v>390</v>
      </c>
      <c r="F99"/>
      <c r="G99" s="14"/>
      <c r="H99" s="15">
        <v>2012</v>
      </c>
      <c r="I99" s="12">
        <f t="shared" si="1"/>
        <v>19850</v>
      </c>
      <c r="J99" s="12">
        <f t="shared" si="1"/>
        <v>22000</v>
      </c>
      <c r="K99" s="12">
        <f t="shared" si="1"/>
        <v>89970</v>
      </c>
      <c r="L99" s="12">
        <f t="shared" si="1"/>
        <v>51390</v>
      </c>
      <c r="N99" s="14"/>
      <c r="O99" s="15">
        <v>2012</v>
      </c>
      <c r="P99" s="12">
        <f t="shared" si="2"/>
        <v>9160</v>
      </c>
      <c r="Q99" s="12">
        <f t="shared" si="2"/>
        <v>1250</v>
      </c>
      <c r="R99" s="12">
        <f t="shared" si="2"/>
        <v>8210</v>
      </c>
      <c r="S99" s="12">
        <f t="shared" si="2"/>
        <v>11660</v>
      </c>
      <c r="T99" s="12">
        <f t="shared" si="2"/>
        <v>131130</v>
      </c>
      <c r="U99" s="12">
        <f t="shared" si="2"/>
        <v>102040</v>
      </c>
    </row>
    <row r="100" spans="1:21" s="12" customFormat="1">
      <c r="A100" s="14"/>
      <c r="B100" s="15">
        <v>2013</v>
      </c>
      <c r="C100" s="27">
        <f t="shared" si="0"/>
        <v>490</v>
      </c>
      <c r="D100" s="27">
        <f t="shared" si="0"/>
        <v>1020</v>
      </c>
      <c r="E100" s="27">
        <f t="shared" si="0"/>
        <v>490</v>
      </c>
      <c r="F100"/>
      <c r="G100" s="14"/>
      <c r="H100" s="15">
        <v>2013</v>
      </c>
      <c r="I100" s="12">
        <f t="shared" si="1"/>
        <v>20200</v>
      </c>
      <c r="J100" s="12">
        <f t="shared" si="1"/>
        <v>22560</v>
      </c>
      <c r="K100" s="12">
        <f t="shared" si="1"/>
        <v>96100</v>
      </c>
      <c r="L100" s="12">
        <f t="shared" si="1"/>
        <v>53910</v>
      </c>
      <c r="N100" s="14"/>
      <c r="O100" s="15">
        <v>2013</v>
      </c>
      <c r="P100" s="12">
        <f t="shared" si="2"/>
        <v>9130</v>
      </c>
      <c r="Q100" s="12">
        <f t="shared" si="2"/>
        <v>1160</v>
      </c>
      <c r="R100" s="12">
        <f t="shared" si="2"/>
        <v>7990</v>
      </c>
      <c r="S100" s="12">
        <f t="shared" si="2"/>
        <v>11420</v>
      </c>
      <c r="T100" s="12">
        <f t="shared" si="2"/>
        <v>133180</v>
      </c>
      <c r="U100" s="12">
        <f t="shared" si="2"/>
        <v>103620</v>
      </c>
    </row>
    <row r="101" spans="1:21" s="12" customFormat="1">
      <c r="A101" s="14"/>
      <c r="B101" s="15">
        <v>2014</v>
      </c>
      <c r="C101" s="27">
        <f t="shared" si="0"/>
        <v>580</v>
      </c>
      <c r="D101" s="27">
        <f t="shared" si="0"/>
        <v>1010</v>
      </c>
      <c r="E101" s="27">
        <f t="shared" si="0"/>
        <v>490</v>
      </c>
      <c r="F101"/>
      <c r="G101" s="14"/>
      <c r="H101" s="15">
        <v>2014</v>
      </c>
      <c r="I101" s="12">
        <f t="shared" si="1"/>
        <v>20880</v>
      </c>
      <c r="J101" s="12">
        <f t="shared" si="1"/>
        <v>22160</v>
      </c>
      <c r="K101" s="12">
        <f t="shared" si="1"/>
        <v>98600</v>
      </c>
      <c r="L101" s="12">
        <f t="shared" si="1"/>
        <v>54570</v>
      </c>
      <c r="N101" s="14"/>
      <c r="O101" s="15">
        <v>2014</v>
      </c>
      <c r="P101" s="12">
        <f t="shared" si="2"/>
        <v>9440</v>
      </c>
      <c r="Q101" s="12">
        <f t="shared" si="2"/>
        <v>1000</v>
      </c>
      <c r="R101" s="12">
        <f t="shared" si="2"/>
        <v>7930</v>
      </c>
      <c r="S101" s="12">
        <f t="shared" si="2"/>
        <v>11720</v>
      </c>
      <c r="T101" s="12">
        <f t="shared" si="2"/>
        <v>136520</v>
      </c>
      <c r="U101" s="12">
        <f t="shared" si="2"/>
        <v>108120</v>
      </c>
    </row>
    <row r="102" spans="1:21" s="12" customFormat="1">
      <c r="A102" s="14"/>
      <c r="C102" s="27"/>
      <c r="D102" s="27"/>
      <c r="E102" s="27"/>
      <c r="F102"/>
      <c r="G102" s="14"/>
      <c r="N102" s="14"/>
    </row>
    <row r="103" spans="1:21" s="12" customFormat="1">
      <c r="A103" s="14" t="s">
        <v>44</v>
      </c>
      <c r="B103" s="14" t="s">
        <v>0</v>
      </c>
      <c r="C103" s="25" t="s">
        <v>95</v>
      </c>
      <c r="D103" s="25" t="s">
        <v>96</v>
      </c>
      <c r="E103" s="25" t="s">
        <v>97</v>
      </c>
      <c r="F103"/>
      <c r="G103" s="14" t="s">
        <v>44</v>
      </c>
      <c r="H103" s="14" t="s">
        <v>0</v>
      </c>
      <c r="I103" s="14" t="s">
        <v>91</v>
      </c>
      <c r="J103" s="14" t="s">
        <v>92</v>
      </c>
      <c r="K103" s="14" t="s">
        <v>93</v>
      </c>
      <c r="L103" s="14" t="s">
        <v>94</v>
      </c>
      <c r="M103" s="14"/>
      <c r="N103" s="14" t="s">
        <v>44</v>
      </c>
      <c r="O103" s="14" t="s">
        <v>0</v>
      </c>
      <c r="P103" s="14" t="s">
        <v>50</v>
      </c>
      <c r="Q103" s="14" t="s">
        <v>64</v>
      </c>
      <c r="R103" s="14" t="s">
        <v>87</v>
      </c>
      <c r="S103" s="14" t="s">
        <v>88</v>
      </c>
      <c r="T103" s="14" t="s">
        <v>89</v>
      </c>
      <c r="U103" s="14" t="s">
        <v>90</v>
      </c>
    </row>
    <row r="104" spans="1:21" s="12" customFormat="1">
      <c r="A104" s="14"/>
      <c r="B104" s="15">
        <v>2010</v>
      </c>
      <c r="C104" s="27">
        <f t="shared" ref="C104:E108" si="3">ABS(C48-C76)</f>
        <v>20</v>
      </c>
      <c r="D104" s="27">
        <f t="shared" si="3"/>
        <v>30</v>
      </c>
      <c r="E104" s="27">
        <f t="shared" si="3"/>
        <v>20</v>
      </c>
      <c r="F104"/>
      <c r="G104" s="14"/>
      <c r="H104" s="15">
        <v>2010</v>
      </c>
      <c r="I104" s="12">
        <f t="shared" ref="I104:L108" si="4">ABS(I48-I76)</f>
        <v>190</v>
      </c>
      <c r="J104" s="12">
        <f t="shared" si="4"/>
        <v>200</v>
      </c>
      <c r="K104" s="12">
        <f t="shared" si="4"/>
        <v>520</v>
      </c>
      <c r="L104" s="12">
        <f t="shared" si="4"/>
        <v>30</v>
      </c>
      <c r="N104" s="14"/>
      <c r="O104" s="15">
        <v>2010</v>
      </c>
      <c r="P104" s="12">
        <f t="shared" ref="P104:U108" si="5">ABS(P48-P76)</f>
        <v>130</v>
      </c>
      <c r="Q104" s="12">
        <f t="shared" si="5"/>
        <v>10</v>
      </c>
      <c r="R104" s="12">
        <f t="shared" si="5"/>
        <v>300</v>
      </c>
      <c r="S104" s="12">
        <f t="shared" si="5"/>
        <v>210</v>
      </c>
      <c r="T104" s="12">
        <f t="shared" si="5"/>
        <v>800</v>
      </c>
      <c r="U104" s="12">
        <f t="shared" si="5"/>
        <v>2120</v>
      </c>
    </row>
    <row r="105" spans="1:21" s="12" customFormat="1">
      <c r="A105" s="14"/>
      <c r="B105" s="15">
        <v>2011</v>
      </c>
      <c r="C105" s="27">
        <f t="shared" si="3"/>
        <v>20</v>
      </c>
      <c r="D105" s="27">
        <f t="shared" si="3"/>
        <v>20</v>
      </c>
      <c r="E105" s="27">
        <f t="shared" si="3"/>
        <v>30</v>
      </c>
      <c r="F105"/>
      <c r="G105" s="14"/>
      <c r="H105" s="15">
        <v>2011</v>
      </c>
      <c r="I105" s="12">
        <f t="shared" si="4"/>
        <v>160</v>
      </c>
      <c r="J105" s="12">
        <f t="shared" si="4"/>
        <v>220</v>
      </c>
      <c r="K105" s="12">
        <f t="shared" si="4"/>
        <v>110</v>
      </c>
      <c r="L105" s="12">
        <f t="shared" si="4"/>
        <v>180</v>
      </c>
      <c r="N105" s="14"/>
      <c r="O105" s="15">
        <v>2011</v>
      </c>
      <c r="P105" s="12">
        <f t="shared" si="5"/>
        <v>170</v>
      </c>
      <c r="Q105" s="12">
        <f t="shared" si="5"/>
        <v>40</v>
      </c>
      <c r="R105" s="12">
        <f t="shared" si="5"/>
        <v>410</v>
      </c>
      <c r="S105" s="12">
        <f t="shared" si="5"/>
        <v>280</v>
      </c>
      <c r="T105" s="12">
        <f t="shared" si="5"/>
        <v>550</v>
      </c>
      <c r="U105" s="12">
        <f t="shared" si="5"/>
        <v>1480</v>
      </c>
    </row>
    <row r="106" spans="1:21" s="12" customFormat="1">
      <c r="A106" s="14"/>
      <c r="B106" s="15">
        <v>2012</v>
      </c>
      <c r="C106" s="27">
        <f t="shared" si="3"/>
        <v>20</v>
      </c>
      <c r="D106" s="27">
        <f t="shared" si="3"/>
        <v>50</v>
      </c>
      <c r="E106" s="27">
        <f t="shared" si="3"/>
        <v>10</v>
      </c>
      <c r="F106"/>
      <c r="G106" s="14"/>
      <c r="H106" s="15">
        <v>2012</v>
      </c>
      <c r="I106" s="12">
        <f t="shared" si="4"/>
        <v>240</v>
      </c>
      <c r="J106" s="12">
        <f t="shared" si="4"/>
        <v>190</v>
      </c>
      <c r="K106" s="12">
        <f t="shared" si="4"/>
        <v>330</v>
      </c>
      <c r="L106" s="12">
        <f t="shared" si="4"/>
        <v>250</v>
      </c>
      <c r="N106" s="14"/>
      <c r="O106" s="15">
        <v>2012</v>
      </c>
      <c r="P106" s="12">
        <f t="shared" si="5"/>
        <v>140</v>
      </c>
      <c r="Q106" s="12">
        <f t="shared" si="5"/>
        <v>50</v>
      </c>
      <c r="R106" s="12">
        <f t="shared" si="5"/>
        <v>410</v>
      </c>
      <c r="S106" s="12">
        <f t="shared" si="5"/>
        <v>270</v>
      </c>
      <c r="T106" s="12">
        <f t="shared" si="5"/>
        <v>570</v>
      </c>
      <c r="U106" s="12">
        <f t="shared" si="5"/>
        <v>1830</v>
      </c>
    </row>
    <row r="107" spans="1:21" s="12" customFormat="1">
      <c r="A107" s="14"/>
      <c r="B107" s="15">
        <v>2013</v>
      </c>
      <c r="C107" s="27">
        <f t="shared" si="3"/>
        <v>30</v>
      </c>
      <c r="D107" s="27">
        <f t="shared" si="3"/>
        <v>40</v>
      </c>
      <c r="E107" s="27">
        <f t="shared" si="3"/>
        <v>20</v>
      </c>
      <c r="F107"/>
      <c r="G107" s="14"/>
      <c r="H107" s="15">
        <v>2013</v>
      </c>
      <c r="I107" s="12">
        <f t="shared" si="4"/>
        <v>170</v>
      </c>
      <c r="J107" s="12">
        <f t="shared" si="4"/>
        <v>120</v>
      </c>
      <c r="K107" s="12">
        <f t="shared" si="4"/>
        <v>290</v>
      </c>
      <c r="L107" s="12">
        <f t="shared" si="4"/>
        <v>320</v>
      </c>
      <c r="N107" s="14"/>
      <c r="O107" s="15">
        <v>2013</v>
      </c>
      <c r="P107" s="12">
        <f t="shared" si="5"/>
        <v>130</v>
      </c>
      <c r="Q107" s="12">
        <f t="shared" si="5"/>
        <v>60</v>
      </c>
      <c r="R107" s="12">
        <f t="shared" si="5"/>
        <v>310</v>
      </c>
      <c r="S107" s="12">
        <f t="shared" si="5"/>
        <v>310</v>
      </c>
      <c r="T107" s="12">
        <f t="shared" si="5"/>
        <v>670</v>
      </c>
      <c r="U107" s="12">
        <f t="shared" si="5"/>
        <v>1550</v>
      </c>
    </row>
    <row r="108" spans="1:21" s="12" customFormat="1">
      <c r="A108" s="14"/>
      <c r="B108" s="15">
        <v>2014</v>
      </c>
      <c r="C108" s="27">
        <f t="shared" si="3"/>
        <v>50</v>
      </c>
      <c r="D108" s="27">
        <f t="shared" si="3"/>
        <v>70</v>
      </c>
      <c r="E108" s="27">
        <f t="shared" si="3"/>
        <v>20</v>
      </c>
      <c r="F108"/>
      <c r="G108" s="14"/>
      <c r="H108" s="15">
        <v>2014</v>
      </c>
      <c r="I108" s="12">
        <f t="shared" si="4"/>
        <v>150</v>
      </c>
      <c r="J108" s="12">
        <f t="shared" si="4"/>
        <v>150</v>
      </c>
      <c r="K108" s="12">
        <f t="shared" si="4"/>
        <v>210</v>
      </c>
      <c r="L108" s="12">
        <f t="shared" si="4"/>
        <v>250</v>
      </c>
      <c r="N108" s="14"/>
      <c r="O108" s="15">
        <v>2014</v>
      </c>
      <c r="P108" s="12">
        <f t="shared" si="5"/>
        <v>160</v>
      </c>
      <c r="Q108" s="12">
        <f t="shared" si="5"/>
        <v>40</v>
      </c>
      <c r="R108" s="12">
        <f t="shared" si="5"/>
        <v>420</v>
      </c>
      <c r="S108" s="12">
        <f t="shared" si="5"/>
        <v>300</v>
      </c>
      <c r="T108" s="12">
        <f t="shared" si="5"/>
        <v>590</v>
      </c>
      <c r="U108" s="12">
        <f t="shared" si="5"/>
        <v>960</v>
      </c>
    </row>
    <row r="109" spans="1:21" s="12" customFormat="1">
      <c r="A109" s="14"/>
      <c r="C109" s="27"/>
      <c r="D109" s="27"/>
      <c r="E109" s="27"/>
      <c r="F109"/>
      <c r="G109" s="14"/>
      <c r="N109" s="14"/>
    </row>
    <row r="110" spans="1:21" s="12" customFormat="1">
      <c r="A110" s="14" t="s">
        <v>45</v>
      </c>
      <c r="B110" s="14" t="s">
        <v>0</v>
      </c>
      <c r="C110" s="25" t="s">
        <v>95</v>
      </c>
      <c r="D110" s="25" t="s">
        <v>96</v>
      </c>
      <c r="E110" s="25" t="s">
        <v>97</v>
      </c>
      <c r="F110"/>
      <c r="G110" s="14" t="s">
        <v>45</v>
      </c>
      <c r="H110" s="14" t="s">
        <v>0</v>
      </c>
      <c r="I110" s="14" t="s">
        <v>91</v>
      </c>
      <c r="J110" s="14" t="s">
        <v>92</v>
      </c>
      <c r="K110" s="14" t="s">
        <v>93</v>
      </c>
      <c r="L110" s="14" t="s">
        <v>94</v>
      </c>
      <c r="M110" s="14"/>
      <c r="N110" s="14" t="s">
        <v>45</v>
      </c>
      <c r="O110" s="14" t="s">
        <v>0</v>
      </c>
      <c r="P110" s="14" t="s">
        <v>50</v>
      </c>
      <c r="Q110" s="14" t="s">
        <v>64</v>
      </c>
      <c r="R110" s="14" t="s">
        <v>87</v>
      </c>
      <c r="S110" s="14" t="s">
        <v>88</v>
      </c>
      <c r="T110" s="14" t="s">
        <v>89</v>
      </c>
      <c r="U110" s="14" t="s">
        <v>90</v>
      </c>
    </row>
    <row r="111" spans="1:21" s="12" customFormat="1">
      <c r="A111" s="14"/>
      <c r="B111" s="15">
        <v>2010</v>
      </c>
      <c r="C111" s="27">
        <f t="shared" ref="C111:E115" si="6">ABS(C55-C83)</f>
        <v>30</v>
      </c>
      <c r="D111" s="27">
        <f t="shared" si="6"/>
        <v>0</v>
      </c>
      <c r="E111" s="27">
        <f t="shared" si="6"/>
        <v>30</v>
      </c>
      <c r="F111"/>
      <c r="G111" s="14"/>
      <c r="H111" s="15">
        <v>2010</v>
      </c>
      <c r="I111" s="12">
        <f t="shared" ref="I111:L115" si="7">ABS(I55-I83)</f>
        <v>440</v>
      </c>
      <c r="J111" s="12">
        <f t="shared" si="7"/>
        <v>260</v>
      </c>
      <c r="K111" s="12">
        <f t="shared" si="7"/>
        <v>2360</v>
      </c>
      <c r="L111" s="12">
        <f t="shared" si="7"/>
        <v>4230</v>
      </c>
      <c r="N111" s="14"/>
      <c r="O111" s="15">
        <v>2010</v>
      </c>
      <c r="P111" s="12">
        <f t="shared" ref="P111:U115" si="8">ABS(P55-P83)</f>
        <v>430</v>
      </c>
      <c r="Q111" s="12">
        <f t="shared" si="8"/>
        <v>130</v>
      </c>
      <c r="R111" s="12">
        <f t="shared" si="8"/>
        <v>920</v>
      </c>
      <c r="S111" s="12">
        <f t="shared" si="8"/>
        <v>40</v>
      </c>
      <c r="T111" s="12">
        <f t="shared" si="8"/>
        <v>3370</v>
      </c>
      <c r="U111" s="12">
        <f t="shared" si="8"/>
        <v>5320</v>
      </c>
    </row>
    <row r="112" spans="1:21" s="12" customFormat="1">
      <c r="A112" s="14"/>
      <c r="B112" s="15">
        <v>2011</v>
      </c>
      <c r="C112" s="27">
        <f t="shared" si="6"/>
        <v>80</v>
      </c>
      <c r="D112" s="27">
        <f t="shared" si="6"/>
        <v>40</v>
      </c>
      <c r="E112" s="27">
        <f t="shared" si="6"/>
        <v>90</v>
      </c>
      <c r="F112"/>
      <c r="G112" s="14"/>
      <c r="H112" s="15">
        <v>2011</v>
      </c>
      <c r="I112" s="12">
        <f t="shared" si="7"/>
        <v>260</v>
      </c>
      <c r="J112" s="12">
        <f t="shared" si="7"/>
        <v>280</v>
      </c>
      <c r="K112" s="12">
        <f t="shared" si="7"/>
        <v>870</v>
      </c>
      <c r="L112" s="12">
        <f t="shared" si="7"/>
        <v>3000</v>
      </c>
      <c r="N112" s="14"/>
      <c r="O112" s="15">
        <v>2011</v>
      </c>
      <c r="P112" s="12">
        <f t="shared" si="8"/>
        <v>310</v>
      </c>
      <c r="Q112" s="12">
        <f t="shared" si="8"/>
        <v>220</v>
      </c>
      <c r="R112" s="12">
        <f t="shared" si="8"/>
        <v>660</v>
      </c>
      <c r="S112" s="12">
        <f t="shared" si="8"/>
        <v>180</v>
      </c>
      <c r="T112" s="12">
        <f t="shared" si="8"/>
        <v>2800</v>
      </c>
      <c r="U112" s="12">
        <f t="shared" si="8"/>
        <v>5570</v>
      </c>
    </row>
    <row r="113" spans="1:21" s="12" customFormat="1">
      <c r="A113" s="14"/>
      <c r="B113" s="15">
        <v>2012</v>
      </c>
      <c r="C113" s="27">
        <f t="shared" si="6"/>
        <v>100</v>
      </c>
      <c r="D113" s="27">
        <f t="shared" si="6"/>
        <v>40</v>
      </c>
      <c r="E113" s="27">
        <f t="shared" si="6"/>
        <v>60</v>
      </c>
      <c r="F113"/>
      <c r="G113" s="14"/>
      <c r="H113" s="15">
        <v>2012</v>
      </c>
      <c r="I113" s="12">
        <f t="shared" si="7"/>
        <v>280</v>
      </c>
      <c r="J113" s="12">
        <f t="shared" si="7"/>
        <v>280</v>
      </c>
      <c r="K113" s="12">
        <f t="shared" si="7"/>
        <v>170</v>
      </c>
      <c r="L113" s="12">
        <f t="shared" si="7"/>
        <v>1880</v>
      </c>
      <c r="N113" s="14"/>
      <c r="O113" s="15">
        <v>2012</v>
      </c>
      <c r="P113" s="12">
        <f t="shared" si="8"/>
        <v>110</v>
      </c>
      <c r="Q113" s="12">
        <f t="shared" si="8"/>
        <v>60</v>
      </c>
      <c r="R113" s="12">
        <f t="shared" si="8"/>
        <v>630</v>
      </c>
      <c r="S113" s="12">
        <f t="shared" si="8"/>
        <v>40</v>
      </c>
      <c r="T113" s="12">
        <f t="shared" si="8"/>
        <v>2320</v>
      </c>
      <c r="U113" s="12">
        <f t="shared" si="8"/>
        <v>4950</v>
      </c>
    </row>
    <row r="114" spans="1:21" s="12" customFormat="1">
      <c r="A114" s="14"/>
      <c r="B114" s="15">
        <v>2013</v>
      </c>
      <c r="C114" s="27">
        <f t="shared" si="6"/>
        <v>80</v>
      </c>
      <c r="D114" s="27">
        <f t="shared" si="6"/>
        <v>20</v>
      </c>
      <c r="E114" s="27">
        <f t="shared" si="6"/>
        <v>80</v>
      </c>
      <c r="F114"/>
      <c r="G114" s="14"/>
      <c r="H114" s="15">
        <v>2013</v>
      </c>
      <c r="I114" s="12">
        <f t="shared" si="7"/>
        <v>80</v>
      </c>
      <c r="J114" s="12">
        <f t="shared" si="7"/>
        <v>400</v>
      </c>
      <c r="K114" s="12">
        <f t="shared" si="7"/>
        <v>2200</v>
      </c>
      <c r="L114" s="12">
        <f t="shared" si="7"/>
        <v>1010</v>
      </c>
      <c r="N114" s="14"/>
      <c r="O114" s="15">
        <v>2013</v>
      </c>
      <c r="P114" s="12">
        <f t="shared" si="8"/>
        <v>160</v>
      </c>
      <c r="Q114" s="12">
        <f t="shared" si="8"/>
        <v>50</v>
      </c>
      <c r="R114" s="12">
        <f t="shared" si="8"/>
        <v>930</v>
      </c>
      <c r="S114" s="12">
        <f t="shared" si="8"/>
        <v>110</v>
      </c>
      <c r="T114" s="12">
        <f t="shared" si="8"/>
        <v>1830</v>
      </c>
      <c r="U114" s="12">
        <f t="shared" si="8"/>
        <v>3090</v>
      </c>
    </row>
    <row r="115" spans="1:21" s="12" customFormat="1">
      <c r="A115" s="14"/>
      <c r="B115" s="15">
        <v>2014</v>
      </c>
      <c r="C115" s="27">
        <f t="shared" si="6"/>
        <v>40</v>
      </c>
      <c r="D115" s="27">
        <f t="shared" si="6"/>
        <v>40</v>
      </c>
      <c r="E115" s="27">
        <f t="shared" si="6"/>
        <v>50</v>
      </c>
      <c r="F115"/>
      <c r="G115" s="14"/>
      <c r="H115" s="15">
        <v>2014</v>
      </c>
      <c r="I115" s="12">
        <f t="shared" si="7"/>
        <v>260</v>
      </c>
      <c r="J115" s="12">
        <f t="shared" si="7"/>
        <v>160</v>
      </c>
      <c r="K115" s="12">
        <f t="shared" si="7"/>
        <v>3090</v>
      </c>
      <c r="L115" s="12">
        <f t="shared" si="7"/>
        <v>90</v>
      </c>
      <c r="N115" s="14"/>
      <c r="O115" s="15">
        <v>2014</v>
      </c>
      <c r="P115" s="12">
        <f t="shared" si="8"/>
        <v>10</v>
      </c>
      <c r="Q115" s="12">
        <f t="shared" si="8"/>
        <v>140</v>
      </c>
      <c r="R115" s="12">
        <f t="shared" si="8"/>
        <v>810</v>
      </c>
      <c r="S115" s="12">
        <f t="shared" si="8"/>
        <v>130</v>
      </c>
      <c r="T115" s="12">
        <f t="shared" si="8"/>
        <v>1780</v>
      </c>
      <c r="U115" s="12">
        <f t="shared" si="8"/>
        <v>100</v>
      </c>
    </row>
    <row r="116" spans="1:21" s="12" customFormat="1">
      <c r="A116" s="14"/>
      <c r="C116" s="27"/>
      <c r="D116" s="27"/>
      <c r="E116" s="27"/>
      <c r="F116"/>
      <c r="G116" s="14"/>
      <c r="N116" s="14"/>
    </row>
    <row r="117" spans="1:21" s="12" customFormat="1">
      <c r="A117" s="14" t="s">
        <v>46</v>
      </c>
      <c r="B117" s="14" t="s">
        <v>0</v>
      </c>
      <c r="C117" s="25" t="s">
        <v>95</v>
      </c>
      <c r="D117" s="25" t="s">
        <v>96</v>
      </c>
      <c r="E117" s="25" t="s">
        <v>97</v>
      </c>
      <c r="F117"/>
      <c r="G117" s="14" t="s">
        <v>46</v>
      </c>
      <c r="H117" s="14" t="s">
        <v>0</v>
      </c>
      <c r="I117" s="14" t="s">
        <v>91</v>
      </c>
      <c r="J117" s="14" t="s">
        <v>92</v>
      </c>
      <c r="K117" s="14" t="s">
        <v>93</v>
      </c>
      <c r="L117" s="14" t="s">
        <v>94</v>
      </c>
      <c r="M117" s="14"/>
      <c r="N117" s="14" t="s">
        <v>46</v>
      </c>
      <c r="O117" s="14" t="s">
        <v>0</v>
      </c>
      <c r="P117" s="14" t="s">
        <v>50</v>
      </c>
      <c r="Q117" s="14" t="s">
        <v>64</v>
      </c>
      <c r="R117" s="14" t="s">
        <v>87</v>
      </c>
      <c r="S117" s="14" t="s">
        <v>88</v>
      </c>
      <c r="T117" s="14" t="s">
        <v>89</v>
      </c>
      <c r="U117" s="14" t="s">
        <v>90</v>
      </c>
    </row>
    <row r="118" spans="1:21" s="12" customFormat="1">
      <c r="A118" s="14"/>
      <c r="B118" s="15">
        <v>2010</v>
      </c>
      <c r="C118" s="27">
        <f t="shared" ref="C118:E122" si="9">ABS(C62-C90)</f>
        <v>70</v>
      </c>
      <c r="D118" s="27">
        <f t="shared" si="9"/>
        <v>50</v>
      </c>
      <c r="E118" s="27">
        <f t="shared" si="9"/>
        <v>50</v>
      </c>
      <c r="F118"/>
      <c r="G118" s="14"/>
      <c r="H118" s="15">
        <v>2010</v>
      </c>
      <c r="I118" s="12">
        <f t="shared" ref="I118:L122" si="10">ABS(I62-I90)</f>
        <v>17500</v>
      </c>
      <c r="J118" s="12">
        <f t="shared" si="10"/>
        <v>14360</v>
      </c>
      <c r="K118" s="12">
        <f t="shared" si="10"/>
        <v>29550</v>
      </c>
      <c r="L118" s="12">
        <f t="shared" si="10"/>
        <v>43930</v>
      </c>
      <c r="N118" s="14"/>
      <c r="O118" s="15">
        <v>2010</v>
      </c>
      <c r="P118" s="12">
        <f t="shared" ref="P118:U122" si="11">ABS(P62-P90)</f>
        <v>5570</v>
      </c>
      <c r="Q118" s="12">
        <f t="shared" si="11"/>
        <v>2090</v>
      </c>
      <c r="R118" s="12">
        <f t="shared" si="11"/>
        <v>13950</v>
      </c>
      <c r="S118" s="12">
        <f t="shared" si="11"/>
        <v>11150</v>
      </c>
      <c r="T118" s="12">
        <f t="shared" si="11"/>
        <v>122980</v>
      </c>
      <c r="U118" s="12">
        <f t="shared" si="11"/>
        <v>155180</v>
      </c>
    </row>
    <row r="119" spans="1:21" s="12" customFormat="1">
      <c r="A119" s="14"/>
      <c r="B119" s="15">
        <v>2011</v>
      </c>
      <c r="C119" s="27">
        <f t="shared" si="9"/>
        <v>80</v>
      </c>
      <c r="D119" s="27">
        <f t="shared" si="9"/>
        <v>50</v>
      </c>
      <c r="E119" s="27">
        <f t="shared" si="9"/>
        <v>30</v>
      </c>
      <c r="F119"/>
      <c r="G119" s="14"/>
      <c r="H119" s="15">
        <v>2011</v>
      </c>
      <c r="I119" s="12">
        <f t="shared" si="10"/>
        <v>17080</v>
      </c>
      <c r="J119" s="12">
        <f t="shared" si="10"/>
        <v>13990</v>
      </c>
      <c r="K119" s="12">
        <f t="shared" si="10"/>
        <v>29230</v>
      </c>
      <c r="L119" s="12">
        <f t="shared" si="10"/>
        <v>43520</v>
      </c>
      <c r="N119" s="14"/>
      <c r="O119" s="15">
        <v>2011</v>
      </c>
      <c r="P119" s="12">
        <f t="shared" si="11"/>
        <v>5490</v>
      </c>
      <c r="Q119" s="12">
        <f t="shared" si="11"/>
        <v>2050</v>
      </c>
      <c r="R119" s="12">
        <f t="shared" si="11"/>
        <v>13580</v>
      </c>
      <c r="S119" s="12">
        <f t="shared" si="11"/>
        <v>10860</v>
      </c>
      <c r="T119" s="12">
        <f t="shared" si="11"/>
        <v>122310</v>
      </c>
      <c r="U119" s="12">
        <f t="shared" si="11"/>
        <v>154160</v>
      </c>
    </row>
    <row r="120" spans="1:21" s="12" customFormat="1">
      <c r="A120" s="14"/>
      <c r="B120" s="15">
        <v>2012</v>
      </c>
      <c r="C120" s="27">
        <f t="shared" si="9"/>
        <v>60</v>
      </c>
      <c r="D120" s="27">
        <f t="shared" si="9"/>
        <v>50</v>
      </c>
      <c r="E120" s="27">
        <f t="shared" si="9"/>
        <v>20</v>
      </c>
      <c r="F120"/>
      <c r="G120" s="14"/>
      <c r="H120" s="15">
        <v>2012</v>
      </c>
      <c r="I120" s="12">
        <f t="shared" si="10"/>
        <v>16750</v>
      </c>
      <c r="J120" s="12">
        <f t="shared" si="10"/>
        <v>13870</v>
      </c>
      <c r="K120" s="12">
        <f t="shared" si="10"/>
        <v>29130</v>
      </c>
      <c r="L120" s="12">
        <f t="shared" si="10"/>
        <v>43030</v>
      </c>
      <c r="N120" s="14"/>
      <c r="O120" s="15">
        <v>2012</v>
      </c>
      <c r="P120" s="12">
        <f t="shared" si="11"/>
        <v>5450</v>
      </c>
      <c r="Q120" s="12">
        <f t="shared" si="11"/>
        <v>1940</v>
      </c>
      <c r="R120" s="12">
        <f t="shared" si="11"/>
        <v>13250</v>
      </c>
      <c r="S120" s="12">
        <f t="shared" si="11"/>
        <v>10670</v>
      </c>
      <c r="T120" s="12">
        <f t="shared" si="11"/>
        <v>121190</v>
      </c>
      <c r="U120" s="12">
        <f t="shared" si="11"/>
        <v>153180</v>
      </c>
    </row>
    <row r="121" spans="1:21">
      <c r="A121" s="14"/>
      <c r="B121" s="15">
        <v>2013</v>
      </c>
      <c r="C121" s="27">
        <f t="shared" si="9"/>
        <v>60</v>
      </c>
      <c r="D121" s="27">
        <f t="shared" si="9"/>
        <v>50</v>
      </c>
      <c r="E121" s="27">
        <f t="shared" si="9"/>
        <v>20</v>
      </c>
      <c r="G121" s="14"/>
      <c r="H121" s="15">
        <v>2013</v>
      </c>
      <c r="I121" s="12">
        <f t="shared" si="10"/>
        <v>16300</v>
      </c>
      <c r="J121" s="12">
        <f t="shared" si="10"/>
        <v>13590</v>
      </c>
      <c r="K121" s="12">
        <f t="shared" si="10"/>
        <v>28890</v>
      </c>
      <c r="L121" s="12">
        <f t="shared" si="10"/>
        <v>42660</v>
      </c>
      <c r="M121" s="12"/>
      <c r="N121" s="14"/>
      <c r="O121" s="15">
        <v>2013</v>
      </c>
      <c r="P121" s="12">
        <f t="shared" si="11"/>
        <v>5320</v>
      </c>
      <c r="Q121" s="12">
        <f t="shared" si="11"/>
        <v>1940</v>
      </c>
      <c r="R121" s="12">
        <f t="shared" si="11"/>
        <v>13000</v>
      </c>
      <c r="S121" s="12">
        <f t="shared" si="11"/>
        <v>10300</v>
      </c>
      <c r="T121" s="12">
        <f t="shared" si="11"/>
        <v>119460</v>
      </c>
      <c r="U121" s="12">
        <f t="shared" si="11"/>
        <v>152710</v>
      </c>
    </row>
    <row r="122" spans="1:21">
      <c r="A122" s="14"/>
      <c r="B122" s="15">
        <v>2014</v>
      </c>
      <c r="C122" s="27">
        <f t="shared" si="9"/>
        <v>50</v>
      </c>
      <c r="D122" s="27">
        <f t="shared" si="9"/>
        <v>60</v>
      </c>
      <c r="E122" s="27">
        <f t="shared" si="9"/>
        <v>40</v>
      </c>
      <c r="G122" s="14"/>
      <c r="H122" s="15">
        <v>2014</v>
      </c>
      <c r="I122" s="12">
        <f t="shared" si="10"/>
        <v>16040</v>
      </c>
      <c r="J122" s="12">
        <f t="shared" si="10"/>
        <v>13300</v>
      </c>
      <c r="K122" s="12">
        <f t="shared" si="10"/>
        <v>28680</v>
      </c>
      <c r="L122" s="12">
        <f t="shared" si="10"/>
        <v>41820</v>
      </c>
      <c r="M122" s="12"/>
      <c r="N122" s="14"/>
      <c r="O122" s="15">
        <v>2014</v>
      </c>
      <c r="P122" s="12">
        <f t="shared" si="11"/>
        <v>5170</v>
      </c>
      <c r="Q122" s="12">
        <f t="shared" si="11"/>
        <v>1850</v>
      </c>
      <c r="R122" s="12">
        <f t="shared" si="11"/>
        <v>12770</v>
      </c>
      <c r="S122" s="12">
        <f t="shared" si="11"/>
        <v>10040</v>
      </c>
      <c r="T122" s="12">
        <f t="shared" si="11"/>
        <v>118590</v>
      </c>
      <c r="U122" s="12">
        <f t="shared" si="11"/>
        <v>152440</v>
      </c>
    </row>
    <row r="123" spans="1:21">
      <c r="P123" s="12"/>
      <c r="Q123" s="12"/>
      <c r="R123" s="12"/>
      <c r="S123" s="12"/>
      <c r="T123" s="12"/>
      <c r="U123" s="12"/>
    </row>
  </sheetData>
  <mergeCells count="1">
    <mergeCell ref="A1:T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 21, 2017</vt:lpstr>
      <vt:lpstr>Transposed</vt:lpstr>
      <vt:lpstr>Estimates of Population</vt:lpstr>
      <vt:lpstr>Population Numbers</vt:lpstr>
      <vt:lpstr>Feb 28, 2017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2017-02-13T04:47:43Z</dcterms:created>
  <dcterms:modified xsi:type="dcterms:W3CDTF">2017-02-27T15:14:39Z</dcterms:modified>
</cp:coreProperties>
</file>