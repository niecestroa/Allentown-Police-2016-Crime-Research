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729"/>
  <workbookPr showInkAnnotation="0" autoCompressPictures="0"/>
  <bookViews>
    <workbookView xWindow="240" yWindow="240" windowWidth="25360" windowHeight="14440" tabRatio="500" activeTab="2"/>
  </bookViews>
  <sheets>
    <sheet name="Crime - Cleaned" sheetId="3" r:id="rId1"/>
    <sheet name="Population - Cleaned" sheetId="2" r:id="rId2"/>
    <sheet name="Police Review - Cleaned" sheetId="1" r:id="rId3"/>
    <sheet name="Crime and Population" sheetId="4" r:id="rId4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Z11" i="2" l="1"/>
  <c r="AA11" i="2"/>
  <c r="AB11" i="2"/>
  <c r="AC11" i="2"/>
  <c r="AD11" i="2"/>
  <c r="AE11" i="2"/>
  <c r="AF11" i="2"/>
  <c r="AG11" i="2"/>
  <c r="AH11" i="2"/>
  <c r="AI11" i="2"/>
  <c r="AJ11" i="2"/>
  <c r="AK11" i="2"/>
  <c r="AL11" i="2"/>
  <c r="AM11" i="2"/>
  <c r="AN11" i="2"/>
  <c r="AO11" i="2"/>
  <c r="AP11" i="2"/>
  <c r="AQ11" i="2"/>
  <c r="AR11" i="2"/>
  <c r="AS11" i="2"/>
  <c r="AT11" i="2"/>
  <c r="AU11" i="2"/>
  <c r="AV11" i="2"/>
  <c r="AW11" i="2"/>
  <c r="AX11" i="2"/>
  <c r="AY11" i="2"/>
  <c r="AZ11" i="2"/>
  <c r="BA11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AL12" i="2"/>
  <c r="AM12" i="2"/>
  <c r="AN12" i="2"/>
  <c r="AO12" i="2"/>
  <c r="AP12" i="2"/>
  <c r="AQ12" i="2"/>
  <c r="AR12" i="2"/>
  <c r="AS12" i="2"/>
  <c r="AT12" i="2"/>
  <c r="AU12" i="2"/>
  <c r="AV12" i="2"/>
  <c r="AW12" i="2"/>
  <c r="AX12" i="2"/>
  <c r="AY12" i="2"/>
  <c r="AZ12" i="2"/>
  <c r="BA12" i="2"/>
  <c r="Y12" i="2"/>
  <c r="Y11" i="2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AN9" i="3"/>
  <c r="AO9" i="3"/>
  <c r="AP9" i="3"/>
  <c r="AQ9" i="3"/>
  <c r="AR9" i="3"/>
  <c r="AS9" i="3"/>
  <c r="AT9" i="3"/>
  <c r="AU9" i="3"/>
  <c r="AV9" i="3"/>
  <c r="AW9" i="3"/>
  <c r="AX9" i="3"/>
  <c r="AY9" i="3"/>
  <c r="AZ9" i="3"/>
  <c r="BA9" i="3"/>
  <c r="BB9" i="3"/>
  <c r="BC9" i="3"/>
  <c r="BD9" i="3"/>
  <c r="BE9" i="3"/>
  <c r="BF9" i="3"/>
  <c r="BG9" i="3"/>
  <c r="BH9" i="3"/>
  <c r="BI9" i="3"/>
  <c r="BJ9" i="3"/>
  <c r="BK9" i="3"/>
  <c r="BL9" i="3"/>
  <c r="BM9" i="3"/>
  <c r="BN9" i="3"/>
  <c r="BO9" i="3"/>
  <c r="BP9" i="3"/>
  <c r="BQ9" i="3"/>
  <c r="BR9" i="3"/>
  <c r="BS9" i="3"/>
  <c r="BT9" i="3"/>
  <c r="BU9" i="3"/>
  <c r="BV9" i="3"/>
  <c r="BW9" i="3"/>
  <c r="BX9" i="3"/>
  <c r="BY9" i="3"/>
  <c r="BZ9" i="3"/>
  <c r="CA9" i="3"/>
  <c r="CB9" i="3"/>
  <c r="CC9" i="3"/>
  <c r="CD9" i="3"/>
  <c r="CE9" i="3"/>
  <c r="CF9" i="3"/>
  <c r="CG9" i="3"/>
  <c r="CH9" i="3"/>
  <c r="CI9" i="3"/>
  <c r="CJ9" i="3"/>
  <c r="CK9" i="3"/>
  <c r="CL9" i="3"/>
  <c r="CM9" i="3"/>
  <c r="CN9" i="3"/>
  <c r="CO9" i="3"/>
  <c r="CP9" i="3"/>
  <c r="CQ9" i="3"/>
  <c r="CR9" i="3"/>
  <c r="CS9" i="3"/>
  <c r="CT9" i="3"/>
  <c r="CU9" i="3"/>
  <c r="CV9" i="3"/>
  <c r="CW9" i="3"/>
  <c r="CX9" i="3"/>
  <c r="CY9" i="3"/>
  <c r="CZ9" i="3"/>
  <c r="DA9" i="3"/>
  <c r="DB9" i="3"/>
  <c r="DC9" i="3"/>
  <c r="DD9" i="3"/>
  <c r="DE9" i="3"/>
  <c r="DF9" i="3"/>
  <c r="DG9" i="3"/>
  <c r="DH9" i="3"/>
  <c r="DI9" i="3"/>
  <c r="DJ9" i="3"/>
  <c r="DK9" i="3"/>
  <c r="DL9" i="3"/>
  <c r="DM9" i="3"/>
  <c r="DN9" i="3"/>
  <c r="DO9" i="3"/>
  <c r="DP9" i="3"/>
  <c r="DQ9" i="3"/>
  <c r="DR9" i="3"/>
  <c r="DS9" i="3"/>
  <c r="DT9" i="3"/>
  <c r="DU9" i="3"/>
  <c r="DV9" i="3"/>
  <c r="DW9" i="3"/>
  <c r="DX9" i="3"/>
  <c r="DY9" i="3"/>
  <c r="DZ9" i="3"/>
  <c r="EA9" i="3"/>
  <c r="EB9" i="3"/>
  <c r="EC9" i="3"/>
  <c r="ED9" i="3"/>
  <c r="EE9" i="3"/>
  <c r="EF9" i="3"/>
  <c r="EG9" i="3"/>
  <c r="EH9" i="3"/>
  <c r="EI9" i="3"/>
  <c r="EJ9" i="3"/>
  <c r="EK9" i="3"/>
  <c r="EL9" i="3"/>
  <c r="EM9" i="3"/>
  <c r="EN9" i="3"/>
  <c r="EO9" i="3"/>
  <c r="EP9" i="3"/>
  <c r="EQ9" i="3"/>
  <c r="ER9" i="3"/>
  <c r="ES9" i="3"/>
  <c r="ET9" i="3"/>
  <c r="EU9" i="3"/>
  <c r="EV9" i="3"/>
  <c r="EW9" i="3"/>
  <c r="EX9" i="3"/>
  <c r="EY9" i="3"/>
  <c r="EZ9" i="3"/>
  <c r="FA9" i="3"/>
  <c r="FB9" i="3"/>
  <c r="FC9" i="3"/>
  <c r="FD9" i="3"/>
  <c r="FE9" i="3"/>
  <c r="FF9" i="3"/>
  <c r="FG9" i="3"/>
  <c r="FH9" i="3"/>
  <c r="FI9" i="3"/>
  <c r="FJ9" i="3"/>
  <c r="FK9" i="3"/>
  <c r="FL9" i="3"/>
  <c r="FM9" i="3"/>
  <c r="FN9" i="3"/>
  <c r="FO9" i="3"/>
  <c r="FP9" i="3"/>
  <c r="FQ9" i="3"/>
  <c r="FR9" i="3"/>
  <c r="FS9" i="3"/>
  <c r="FT9" i="3"/>
  <c r="FU9" i="3"/>
  <c r="FV9" i="3"/>
  <c r="FW9" i="3"/>
  <c r="FX9" i="3"/>
  <c r="FY9" i="3"/>
  <c r="FZ9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AN10" i="3"/>
  <c r="AO10" i="3"/>
  <c r="AP10" i="3"/>
  <c r="AQ10" i="3"/>
  <c r="AR10" i="3"/>
  <c r="AS10" i="3"/>
  <c r="AT10" i="3"/>
  <c r="AU10" i="3"/>
  <c r="AV10" i="3"/>
  <c r="AW10" i="3"/>
  <c r="AX10" i="3"/>
  <c r="AY10" i="3"/>
  <c r="AZ10" i="3"/>
  <c r="BA10" i="3"/>
  <c r="BB10" i="3"/>
  <c r="BC10" i="3"/>
  <c r="BD10" i="3"/>
  <c r="BE10" i="3"/>
  <c r="BF10" i="3"/>
  <c r="BG10" i="3"/>
  <c r="BH10" i="3"/>
  <c r="BI10" i="3"/>
  <c r="BJ10" i="3"/>
  <c r="BK10" i="3"/>
  <c r="BL10" i="3"/>
  <c r="BM10" i="3"/>
  <c r="BN10" i="3"/>
  <c r="BO10" i="3"/>
  <c r="BP10" i="3"/>
  <c r="BQ10" i="3"/>
  <c r="BR10" i="3"/>
  <c r="BS10" i="3"/>
  <c r="BT10" i="3"/>
  <c r="BU10" i="3"/>
  <c r="BV10" i="3"/>
  <c r="BW10" i="3"/>
  <c r="BX10" i="3"/>
  <c r="BY10" i="3"/>
  <c r="BZ10" i="3"/>
  <c r="CA10" i="3"/>
  <c r="CB10" i="3"/>
  <c r="CC10" i="3"/>
  <c r="CD10" i="3"/>
  <c r="CE10" i="3"/>
  <c r="CF10" i="3"/>
  <c r="CG10" i="3"/>
  <c r="CH10" i="3"/>
  <c r="CI10" i="3"/>
  <c r="CJ10" i="3"/>
  <c r="CK10" i="3"/>
  <c r="CL10" i="3"/>
  <c r="CM10" i="3"/>
  <c r="CN10" i="3"/>
  <c r="CO10" i="3"/>
  <c r="CP10" i="3"/>
  <c r="CQ10" i="3"/>
  <c r="CR10" i="3"/>
  <c r="CS10" i="3"/>
  <c r="CT10" i="3"/>
  <c r="CU10" i="3"/>
  <c r="CV10" i="3"/>
  <c r="CW10" i="3"/>
  <c r="CX10" i="3"/>
  <c r="CY10" i="3"/>
  <c r="CZ10" i="3"/>
  <c r="DA10" i="3"/>
  <c r="DB10" i="3"/>
  <c r="DC10" i="3"/>
  <c r="DD10" i="3"/>
  <c r="DE10" i="3"/>
  <c r="DF10" i="3"/>
  <c r="DG10" i="3"/>
  <c r="DH10" i="3"/>
  <c r="DI10" i="3"/>
  <c r="DJ10" i="3"/>
  <c r="DK10" i="3"/>
  <c r="DL10" i="3"/>
  <c r="DM10" i="3"/>
  <c r="DN10" i="3"/>
  <c r="DO10" i="3"/>
  <c r="DP10" i="3"/>
  <c r="DQ10" i="3"/>
  <c r="DR10" i="3"/>
  <c r="DS10" i="3"/>
  <c r="DT10" i="3"/>
  <c r="DU10" i="3"/>
  <c r="DV10" i="3"/>
  <c r="DW10" i="3"/>
  <c r="DX10" i="3"/>
  <c r="DY10" i="3"/>
  <c r="DZ10" i="3"/>
  <c r="EA10" i="3"/>
  <c r="EB10" i="3"/>
  <c r="EC10" i="3"/>
  <c r="ED10" i="3"/>
  <c r="EE10" i="3"/>
  <c r="EF10" i="3"/>
  <c r="EG10" i="3"/>
  <c r="EH10" i="3"/>
  <c r="EI10" i="3"/>
  <c r="EJ10" i="3"/>
  <c r="EK10" i="3"/>
  <c r="EL10" i="3"/>
  <c r="EM10" i="3"/>
  <c r="EN10" i="3"/>
  <c r="EO10" i="3"/>
  <c r="EP10" i="3"/>
  <c r="EQ10" i="3"/>
  <c r="ER10" i="3"/>
  <c r="ES10" i="3"/>
  <c r="ET10" i="3"/>
  <c r="EU10" i="3"/>
  <c r="EV10" i="3"/>
  <c r="EW10" i="3"/>
  <c r="EX10" i="3"/>
  <c r="EY10" i="3"/>
  <c r="EZ10" i="3"/>
  <c r="FA10" i="3"/>
  <c r="FB10" i="3"/>
  <c r="FC10" i="3"/>
  <c r="FD10" i="3"/>
  <c r="FE10" i="3"/>
  <c r="FF10" i="3"/>
  <c r="FG10" i="3"/>
  <c r="FH10" i="3"/>
  <c r="FI10" i="3"/>
  <c r="FJ10" i="3"/>
  <c r="FK10" i="3"/>
  <c r="FL10" i="3"/>
  <c r="FM10" i="3"/>
  <c r="FN10" i="3"/>
  <c r="FO10" i="3"/>
  <c r="FP10" i="3"/>
  <c r="FQ10" i="3"/>
  <c r="FR10" i="3"/>
  <c r="FS10" i="3"/>
  <c r="FT10" i="3"/>
  <c r="FU10" i="3"/>
  <c r="FV10" i="3"/>
  <c r="FW10" i="3"/>
  <c r="FX10" i="3"/>
  <c r="FY10" i="3"/>
  <c r="FZ10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AN11" i="3"/>
  <c r="AO11" i="3"/>
  <c r="AP11" i="3"/>
  <c r="AQ11" i="3"/>
  <c r="AR11" i="3"/>
  <c r="AS11" i="3"/>
  <c r="AT11" i="3"/>
  <c r="AU11" i="3"/>
  <c r="AV11" i="3"/>
  <c r="AW11" i="3"/>
  <c r="AX11" i="3"/>
  <c r="AY11" i="3"/>
  <c r="AZ11" i="3"/>
  <c r="BA11" i="3"/>
  <c r="BB11" i="3"/>
  <c r="BC11" i="3"/>
  <c r="BD11" i="3"/>
  <c r="BE11" i="3"/>
  <c r="BF11" i="3"/>
  <c r="BG11" i="3"/>
  <c r="BH11" i="3"/>
  <c r="BI11" i="3"/>
  <c r="BJ11" i="3"/>
  <c r="BK11" i="3"/>
  <c r="BL11" i="3"/>
  <c r="BM11" i="3"/>
  <c r="BN11" i="3"/>
  <c r="BO11" i="3"/>
  <c r="BP11" i="3"/>
  <c r="BQ11" i="3"/>
  <c r="BR11" i="3"/>
  <c r="BS11" i="3"/>
  <c r="BT11" i="3"/>
  <c r="BU11" i="3"/>
  <c r="BV11" i="3"/>
  <c r="BW11" i="3"/>
  <c r="BX11" i="3"/>
  <c r="BY11" i="3"/>
  <c r="BZ11" i="3"/>
  <c r="CA11" i="3"/>
  <c r="CB11" i="3"/>
  <c r="CC11" i="3"/>
  <c r="CD11" i="3"/>
  <c r="CE11" i="3"/>
  <c r="CF11" i="3"/>
  <c r="CG11" i="3"/>
  <c r="CH11" i="3"/>
  <c r="CI11" i="3"/>
  <c r="CJ11" i="3"/>
  <c r="CK11" i="3"/>
  <c r="CL11" i="3"/>
  <c r="CM11" i="3"/>
  <c r="CN11" i="3"/>
  <c r="CO11" i="3"/>
  <c r="CP11" i="3"/>
  <c r="CQ11" i="3"/>
  <c r="CR11" i="3"/>
  <c r="CS11" i="3"/>
  <c r="CT11" i="3"/>
  <c r="CU11" i="3"/>
  <c r="CV11" i="3"/>
  <c r="CW11" i="3"/>
  <c r="CX11" i="3"/>
  <c r="CY11" i="3"/>
  <c r="CZ11" i="3"/>
  <c r="DA11" i="3"/>
  <c r="DB11" i="3"/>
  <c r="DC11" i="3"/>
  <c r="DD11" i="3"/>
  <c r="DE11" i="3"/>
  <c r="DF11" i="3"/>
  <c r="DG11" i="3"/>
  <c r="DH11" i="3"/>
  <c r="DI11" i="3"/>
  <c r="DJ11" i="3"/>
  <c r="DK11" i="3"/>
  <c r="DL11" i="3"/>
  <c r="DM11" i="3"/>
  <c r="DN11" i="3"/>
  <c r="DO11" i="3"/>
  <c r="DP11" i="3"/>
  <c r="DQ11" i="3"/>
  <c r="DR11" i="3"/>
  <c r="DS11" i="3"/>
  <c r="DT11" i="3"/>
  <c r="DU11" i="3"/>
  <c r="DV11" i="3"/>
  <c r="DW11" i="3"/>
  <c r="DX11" i="3"/>
  <c r="DY11" i="3"/>
  <c r="DZ11" i="3"/>
  <c r="EA11" i="3"/>
  <c r="EB11" i="3"/>
  <c r="EC11" i="3"/>
  <c r="ED11" i="3"/>
  <c r="EE11" i="3"/>
  <c r="EF11" i="3"/>
  <c r="EG11" i="3"/>
  <c r="EH11" i="3"/>
  <c r="EI11" i="3"/>
  <c r="EJ11" i="3"/>
  <c r="EK11" i="3"/>
  <c r="EL11" i="3"/>
  <c r="EM11" i="3"/>
  <c r="EN11" i="3"/>
  <c r="EO11" i="3"/>
  <c r="EP11" i="3"/>
  <c r="EQ11" i="3"/>
  <c r="ER11" i="3"/>
  <c r="ES11" i="3"/>
  <c r="ET11" i="3"/>
  <c r="EU11" i="3"/>
  <c r="EV11" i="3"/>
  <c r="EW11" i="3"/>
  <c r="EX11" i="3"/>
  <c r="EY11" i="3"/>
  <c r="EZ11" i="3"/>
  <c r="FA11" i="3"/>
  <c r="FB11" i="3"/>
  <c r="FC11" i="3"/>
  <c r="FD11" i="3"/>
  <c r="FE11" i="3"/>
  <c r="FF11" i="3"/>
  <c r="FG11" i="3"/>
  <c r="FH11" i="3"/>
  <c r="FI11" i="3"/>
  <c r="FJ11" i="3"/>
  <c r="FK11" i="3"/>
  <c r="FL11" i="3"/>
  <c r="FM11" i="3"/>
  <c r="FN11" i="3"/>
  <c r="FO11" i="3"/>
  <c r="FP11" i="3"/>
  <c r="FQ11" i="3"/>
  <c r="FR11" i="3"/>
  <c r="FS11" i="3"/>
  <c r="FT11" i="3"/>
  <c r="FU11" i="3"/>
  <c r="FV11" i="3"/>
  <c r="FW11" i="3"/>
  <c r="FX11" i="3"/>
  <c r="FY11" i="3"/>
  <c r="FZ11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AN12" i="3"/>
  <c r="AO12" i="3"/>
  <c r="AP12" i="3"/>
  <c r="AQ12" i="3"/>
  <c r="AR12" i="3"/>
  <c r="AS12" i="3"/>
  <c r="AT12" i="3"/>
  <c r="AU12" i="3"/>
  <c r="AV12" i="3"/>
  <c r="AW12" i="3"/>
  <c r="AX12" i="3"/>
  <c r="AY12" i="3"/>
  <c r="AZ12" i="3"/>
  <c r="BA12" i="3"/>
  <c r="BB12" i="3"/>
  <c r="BC12" i="3"/>
  <c r="BD12" i="3"/>
  <c r="BE12" i="3"/>
  <c r="BF12" i="3"/>
  <c r="BG12" i="3"/>
  <c r="BH12" i="3"/>
  <c r="BI12" i="3"/>
  <c r="BJ12" i="3"/>
  <c r="BK12" i="3"/>
  <c r="BL12" i="3"/>
  <c r="BM12" i="3"/>
  <c r="BN12" i="3"/>
  <c r="BO12" i="3"/>
  <c r="BP12" i="3"/>
  <c r="BQ12" i="3"/>
  <c r="BR12" i="3"/>
  <c r="BS12" i="3"/>
  <c r="BT12" i="3"/>
  <c r="BU12" i="3"/>
  <c r="BV12" i="3"/>
  <c r="BW12" i="3"/>
  <c r="BX12" i="3"/>
  <c r="BY12" i="3"/>
  <c r="BZ12" i="3"/>
  <c r="CA12" i="3"/>
  <c r="CB12" i="3"/>
  <c r="CC12" i="3"/>
  <c r="CD12" i="3"/>
  <c r="CE12" i="3"/>
  <c r="CF12" i="3"/>
  <c r="CG12" i="3"/>
  <c r="CH12" i="3"/>
  <c r="CI12" i="3"/>
  <c r="CJ12" i="3"/>
  <c r="CK12" i="3"/>
  <c r="CL12" i="3"/>
  <c r="CM12" i="3"/>
  <c r="CN12" i="3"/>
  <c r="CO12" i="3"/>
  <c r="CP12" i="3"/>
  <c r="CQ12" i="3"/>
  <c r="CR12" i="3"/>
  <c r="CS12" i="3"/>
  <c r="CT12" i="3"/>
  <c r="CU12" i="3"/>
  <c r="CV12" i="3"/>
  <c r="CW12" i="3"/>
  <c r="CX12" i="3"/>
  <c r="CY12" i="3"/>
  <c r="CZ12" i="3"/>
  <c r="DA12" i="3"/>
  <c r="DB12" i="3"/>
  <c r="DC12" i="3"/>
  <c r="DD12" i="3"/>
  <c r="DE12" i="3"/>
  <c r="DF12" i="3"/>
  <c r="DG12" i="3"/>
  <c r="DH12" i="3"/>
  <c r="DI12" i="3"/>
  <c r="DJ12" i="3"/>
  <c r="DK12" i="3"/>
  <c r="DL12" i="3"/>
  <c r="DM12" i="3"/>
  <c r="DN12" i="3"/>
  <c r="DO12" i="3"/>
  <c r="DP12" i="3"/>
  <c r="DQ12" i="3"/>
  <c r="DR12" i="3"/>
  <c r="DS12" i="3"/>
  <c r="DT12" i="3"/>
  <c r="DU12" i="3"/>
  <c r="DV12" i="3"/>
  <c r="DW12" i="3"/>
  <c r="DX12" i="3"/>
  <c r="DY12" i="3"/>
  <c r="DZ12" i="3"/>
  <c r="EA12" i="3"/>
  <c r="EB12" i="3"/>
  <c r="EC12" i="3"/>
  <c r="ED12" i="3"/>
  <c r="EE12" i="3"/>
  <c r="EF12" i="3"/>
  <c r="EG12" i="3"/>
  <c r="EH12" i="3"/>
  <c r="EI12" i="3"/>
  <c r="EJ12" i="3"/>
  <c r="EK12" i="3"/>
  <c r="EL12" i="3"/>
  <c r="EM12" i="3"/>
  <c r="EN12" i="3"/>
  <c r="EO12" i="3"/>
  <c r="EP12" i="3"/>
  <c r="EQ12" i="3"/>
  <c r="ER12" i="3"/>
  <c r="ES12" i="3"/>
  <c r="ET12" i="3"/>
  <c r="EU12" i="3"/>
  <c r="EV12" i="3"/>
  <c r="EW12" i="3"/>
  <c r="EX12" i="3"/>
  <c r="EY12" i="3"/>
  <c r="EZ12" i="3"/>
  <c r="FA12" i="3"/>
  <c r="FB12" i="3"/>
  <c r="FC12" i="3"/>
  <c r="FD12" i="3"/>
  <c r="FE12" i="3"/>
  <c r="FF12" i="3"/>
  <c r="FG12" i="3"/>
  <c r="FH12" i="3"/>
  <c r="FI12" i="3"/>
  <c r="FJ12" i="3"/>
  <c r="FK12" i="3"/>
  <c r="FL12" i="3"/>
  <c r="FM12" i="3"/>
  <c r="FN12" i="3"/>
  <c r="FO12" i="3"/>
  <c r="FP12" i="3"/>
  <c r="FQ12" i="3"/>
  <c r="FR12" i="3"/>
  <c r="FS12" i="3"/>
  <c r="FT12" i="3"/>
  <c r="FU12" i="3"/>
  <c r="FV12" i="3"/>
  <c r="FW12" i="3"/>
  <c r="FX12" i="3"/>
  <c r="FY12" i="3"/>
  <c r="FZ12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AU13" i="3"/>
  <c r="AV13" i="3"/>
  <c r="AW13" i="3"/>
  <c r="AX13" i="3"/>
  <c r="AY13" i="3"/>
  <c r="AZ13" i="3"/>
  <c r="BA13" i="3"/>
  <c r="BB13" i="3"/>
  <c r="BC13" i="3"/>
  <c r="BD13" i="3"/>
  <c r="BE13" i="3"/>
  <c r="BF13" i="3"/>
  <c r="BG13" i="3"/>
  <c r="BH13" i="3"/>
  <c r="BI13" i="3"/>
  <c r="BJ13" i="3"/>
  <c r="BK13" i="3"/>
  <c r="BL13" i="3"/>
  <c r="BM13" i="3"/>
  <c r="BN13" i="3"/>
  <c r="BO13" i="3"/>
  <c r="BP13" i="3"/>
  <c r="BQ13" i="3"/>
  <c r="BR13" i="3"/>
  <c r="BS13" i="3"/>
  <c r="BT13" i="3"/>
  <c r="BU13" i="3"/>
  <c r="BV13" i="3"/>
  <c r="BW13" i="3"/>
  <c r="BX13" i="3"/>
  <c r="BY13" i="3"/>
  <c r="BZ13" i="3"/>
  <c r="CA13" i="3"/>
  <c r="CB13" i="3"/>
  <c r="CC13" i="3"/>
  <c r="CD13" i="3"/>
  <c r="CE13" i="3"/>
  <c r="CF13" i="3"/>
  <c r="CG13" i="3"/>
  <c r="CH13" i="3"/>
  <c r="CI13" i="3"/>
  <c r="CJ13" i="3"/>
  <c r="CK13" i="3"/>
  <c r="CL13" i="3"/>
  <c r="CM13" i="3"/>
  <c r="CN13" i="3"/>
  <c r="CO13" i="3"/>
  <c r="CP13" i="3"/>
  <c r="CQ13" i="3"/>
  <c r="CR13" i="3"/>
  <c r="CS13" i="3"/>
  <c r="CT13" i="3"/>
  <c r="CU13" i="3"/>
  <c r="CV13" i="3"/>
  <c r="CW13" i="3"/>
  <c r="CX13" i="3"/>
  <c r="CY13" i="3"/>
  <c r="CZ13" i="3"/>
  <c r="DA13" i="3"/>
  <c r="DB13" i="3"/>
  <c r="DC13" i="3"/>
  <c r="DD13" i="3"/>
  <c r="DE13" i="3"/>
  <c r="DF13" i="3"/>
  <c r="DG13" i="3"/>
  <c r="DH13" i="3"/>
  <c r="DI13" i="3"/>
  <c r="DJ13" i="3"/>
  <c r="DK13" i="3"/>
  <c r="DL13" i="3"/>
  <c r="DM13" i="3"/>
  <c r="DN13" i="3"/>
  <c r="DO13" i="3"/>
  <c r="DP13" i="3"/>
  <c r="DQ13" i="3"/>
  <c r="DR13" i="3"/>
  <c r="DS13" i="3"/>
  <c r="DT13" i="3"/>
  <c r="DU13" i="3"/>
  <c r="DV13" i="3"/>
  <c r="DW13" i="3"/>
  <c r="DX13" i="3"/>
  <c r="DY13" i="3"/>
  <c r="DZ13" i="3"/>
  <c r="EA13" i="3"/>
  <c r="EB13" i="3"/>
  <c r="EC13" i="3"/>
  <c r="ED13" i="3"/>
  <c r="EE13" i="3"/>
  <c r="EF13" i="3"/>
  <c r="EG13" i="3"/>
  <c r="EH13" i="3"/>
  <c r="EI13" i="3"/>
  <c r="EJ13" i="3"/>
  <c r="EK13" i="3"/>
  <c r="EL13" i="3"/>
  <c r="EM13" i="3"/>
  <c r="EN13" i="3"/>
  <c r="EO13" i="3"/>
  <c r="EP13" i="3"/>
  <c r="EQ13" i="3"/>
  <c r="ER13" i="3"/>
  <c r="ES13" i="3"/>
  <c r="ET13" i="3"/>
  <c r="EU13" i="3"/>
  <c r="EV13" i="3"/>
  <c r="EW13" i="3"/>
  <c r="EX13" i="3"/>
  <c r="EY13" i="3"/>
  <c r="EZ13" i="3"/>
  <c r="FA13" i="3"/>
  <c r="FB13" i="3"/>
  <c r="FC13" i="3"/>
  <c r="FD13" i="3"/>
  <c r="FE13" i="3"/>
  <c r="FF13" i="3"/>
  <c r="FG13" i="3"/>
  <c r="FH13" i="3"/>
  <c r="FI13" i="3"/>
  <c r="FJ13" i="3"/>
  <c r="FK13" i="3"/>
  <c r="FL13" i="3"/>
  <c r="FM13" i="3"/>
  <c r="FN13" i="3"/>
  <c r="FO13" i="3"/>
  <c r="FP13" i="3"/>
  <c r="FQ13" i="3"/>
  <c r="FR13" i="3"/>
  <c r="FS13" i="3"/>
  <c r="FT13" i="3"/>
  <c r="FU13" i="3"/>
  <c r="FV13" i="3"/>
  <c r="FW13" i="3"/>
  <c r="FX13" i="3"/>
  <c r="FY13" i="3"/>
  <c r="FZ13" i="3"/>
  <c r="O13" i="3"/>
  <c r="O12" i="3"/>
  <c r="O11" i="3"/>
  <c r="O10" i="3"/>
  <c r="O9" i="3"/>
  <c r="F9" i="3"/>
  <c r="G9" i="3"/>
  <c r="H9" i="3"/>
  <c r="I9" i="3"/>
  <c r="J9" i="3"/>
  <c r="K9" i="3"/>
  <c r="L9" i="3"/>
  <c r="M9" i="3"/>
  <c r="F10" i="3"/>
  <c r="G10" i="3"/>
  <c r="H10" i="3"/>
  <c r="I10" i="3"/>
  <c r="J10" i="3"/>
  <c r="K10" i="3"/>
  <c r="L10" i="3"/>
  <c r="M10" i="3"/>
  <c r="F11" i="3"/>
  <c r="G11" i="3"/>
  <c r="H11" i="3"/>
  <c r="I11" i="3"/>
  <c r="J11" i="3"/>
  <c r="K11" i="3"/>
  <c r="L11" i="3"/>
  <c r="M11" i="3"/>
  <c r="F12" i="3"/>
  <c r="G12" i="3"/>
  <c r="H12" i="3"/>
  <c r="I12" i="3"/>
  <c r="J12" i="3"/>
  <c r="K12" i="3"/>
  <c r="L12" i="3"/>
  <c r="M12" i="3"/>
  <c r="F13" i="3"/>
  <c r="G13" i="3"/>
  <c r="H13" i="3"/>
  <c r="I13" i="3"/>
  <c r="J13" i="3"/>
  <c r="K13" i="3"/>
  <c r="L13" i="3"/>
  <c r="M13" i="3"/>
  <c r="E13" i="3"/>
  <c r="E12" i="3"/>
  <c r="E11" i="3"/>
  <c r="E10" i="3"/>
  <c r="E9" i="3"/>
  <c r="C9" i="3"/>
  <c r="C10" i="3"/>
  <c r="C11" i="3"/>
  <c r="C12" i="3"/>
  <c r="C13" i="3"/>
  <c r="B13" i="3"/>
  <c r="B12" i="3"/>
  <c r="B11" i="3"/>
  <c r="B10" i="3"/>
  <c r="B9" i="3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B17" i="2"/>
  <c r="B16" i="2"/>
  <c r="B15" i="2"/>
  <c r="B14" i="2"/>
  <c r="B13" i="2"/>
  <c r="B12" i="2"/>
  <c r="B11" i="2"/>
  <c r="B8" i="2"/>
  <c r="B9" i="2"/>
  <c r="B10" i="2"/>
  <c r="Z8" i="2"/>
  <c r="AA8" i="2"/>
  <c r="AB8" i="2"/>
  <c r="AC8" i="2"/>
  <c r="AD8" i="2"/>
  <c r="AE8" i="2"/>
  <c r="AF8" i="2"/>
  <c r="AG8" i="2"/>
  <c r="AH8" i="2"/>
  <c r="AI8" i="2"/>
  <c r="AJ8" i="2"/>
  <c r="AK8" i="2"/>
  <c r="AL8" i="2"/>
  <c r="AM8" i="2"/>
  <c r="AN8" i="2"/>
  <c r="AO8" i="2"/>
  <c r="AP8" i="2"/>
  <c r="AQ8" i="2"/>
  <c r="AR8" i="2"/>
  <c r="AS8" i="2"/>
  <c r="AT8" i="2"/>
  <c r="AU8" i="2"/>
  <c r="AV8" i="2"/>
  <c r="AW8" i="2"/>
  <c r="AX8" i="2"/>
  <c r="AY8" i="2"/>
  <c r="AZ8" i="2"/>
  <c r="BA8" i="2"/>
  <c r="Z9" i="2"/>
  <c r="AA9" i="2"/>
  <c r="AB9" i="2"/>
  <c r="AC9" i="2"/>
  <c r="AD9" i="2"/>
  <c r="AE9" i="2"/>
  <c r="AF9" i="2"/>
  <c r="AG9" i="2"/>
  <c r="AH9" i="2"/>
  <c r="AI9" i="2"/>
  <c r="AJ9" i="2"/>
  <c r="AK9" i="2"/>
  <c r="AL9" i="2"/>
  <c r="AM9" i="2"/>
  <c r="AN9" i="2"/>
  <c r="AO9" i="2"/>
  <c r="AP9" i="2"/>
  <c r="AQ9" i="2"/>
  <c r="AR9" i="2"/>
  <c r="AS9" i="2"/>
  <c r="AT9" i="2"/>
  <c r="AU9" i="2"/>
  <c r="AV9" i="2"/>
  <c r="AW9" i="2"/>
  <c r="AX9" i="2"/>
  <c r="AY9" i="2"/>
  <c r="AZ9" i="2"/>
  <c r="BA9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AN10" i="2"/>
  <c r="AO10" i="2"/>
  <c r="AP10" i="2"/>
  <c r="AQ10" i="2"/>
  <c r="AR10" i="2"/>
  <c r="AS10" i="2"/>
  <c r="AT10" i="2"/>
  <c r="AU10" i="2"/>
  <c r="AV10" i="2"/>
  <c r="AW10" i="2"/>
  <c r="AX10" i="2"/>
  <c r="AY10" i="2"/>
  <c r="AZ10" i="2"/>
  <c r="BA10" i="2"/>
  <c r="Y10" i="2"/>
  <c r="Y9" i="2"/>
  <c r="Y8" i="2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B21" i="1"/>
  <c r="B20" i="1"/>
  <c r="B19" i="1"/>
  <c r="B18" i="1"/>
  <c r="B17" i="1"/>
</calcChain>
</file>

<file path=xl/sharedStrings.xml><?xml version="1.0" encoding="utf-8"?>
<sst xmlns="http://schemas.openxmlformats.org/spreadsheetml/2006/main" count="563" uniqueCount="310">
  <si>
    <t>NamesReview</t>
  </si>
  <si>
    <t>GN6</t>
  </si>
  <si>
    <t>GP6</t>
  </si>
  <si>
    <t>AN6</t>
  </si>
  <si>
    <t>AP6</t>
  </si>
  <si>
    <t>DKN6</t>
  </si>
  <si>
    <t>DKP6</t>
  </si>
  <si>
    <t>GN5</t>
  </si>
  <si>
    <t>GP5</t>
  </si>
  <si>
    <t>AN5</t>
  </si>
  <si>
    <t>AP5</t>
  </si>
  <si>
    <t>DKN5</t>
  </si>
  <si>
    <t>DKP5</t>
  </si>
  <si>
    <t>GN4</t>
  </si>
  <si>
    <t>GP4</t>
  </si>
  <si>
    <t>AN4</t>
  </si>
  <si>
    <t>AP4</t>
  </si>
  <si>
    <t>DKN4</t>
  </si>
  <si>
    <t>DKP4</t>
  </si>
  <si>
    <t>GN3</t>
  </si>
  <si>
    <t>GP3</t>
  </si>
  <si>
    <t>AN3</t>
  </si>
  <si>
    <t>AP3</t>
  </si>
  <si>
    <t>DKN3</t>
  </si>
  <si>
    <t>DKP3</t>
  </si>
  <si>
    <t>GN2</t>
  </si>
  <si>
    <t>GP2</t>
  </si>
  <si>
    <t>AN2</t>
  </si>
  <si>
    <t>AP2</t>
  </si>
  <si>
    <t>DKN2</t>
  </si>
  <si>
    <t>DKP2</t>
  </si>
  <si>
    <t>GN1</t>
  </si>
  <si>
    <t>GP1</t>
  </si>
  <si>
    <t>AN1</t>
  </si>
  <si>
    <t>AP1</t>
  </si>
  <si>
    <t>DKN1</t>
  </si>
  <si>
    <t>DKP1</t>
  </si>
  <si>
    <t>Canada</t>
  </si>
  <si>
    <t>Newfoundland and Labrador</t>
  </si>
  <si>
    <t>Prince Edward Island</t>
  </si>
  <si>
    <t>Nova Scotia</t>
  </si>
  <si>
    <t>New Brunswick</t>
  </si>
  <si>
    <t>Quebec</t>
  </si>
  <si>
    <t>Ontario</t>
  </si>
  <si>
    <t>Manitoba</t>
  </si>
  <si>
    <t>Saskatchewan</t>
  </si>
  <si>
    <t>Alberta</t>
  </si>
  <si>
    <t>British Columbia</t>
  </si>
  <si>
    <t>Yukon</t>
  </si>
  <si>
    <t>Northwest Territories</t>
  </si>
  <si>
    <t>Nunavut</t>
  </si>
  <si>
    <t>F</t>
  </si>
  <si>
    <t>Mean</t>
  </si>
  <si>
    <t>Population Variance</t>
  </si>
  <si>
    <t>Sample Variance</t>
  </si>
  <si>
    <t>Population Standard Deviation</t>
  </si>
  <si>
    <t>Sample Standard Deviation</t>
  </si>
  <si>
    <t>Year</t>
  </si>
  <si>
    <t>TBP</t>
  </si>
  <si>
    <t>TMP</t>
  </si>
  <si>
    <t>TFP</t>
  </si>
  <si>
    <t>CBSIP</t>
  </si>
  <si>
    <t>CBMDP</t>
  </si>
  <si>
    <t>CB24P</t>
  </si>
  <si>
    <t>CB+P</t>
  </si>
  <si>
    <t>CB%24P</t>
  </si>
  <si>
    <t>CB%+P</t>
  </si>
  <si>
    <t>CMAGP</t>
  </si>
  <si>
    <t>CMSIP</t>
  </si>
  <si>
    <t>CMMDP</t>
  </si>
  <si>
    <t>CM24P</t>
  </si>
  <si>
    <t>CM+P</t>
  </si>
  <si>
    <t>CM%24P</t>
  </si>
  <si>
    <t>CM%75+P</t>
  </si>
  <si>
    <t>CFSIP</t>
  </si>
  <si>
    <t>CFMDP</t>
  </si>
  <si>
    <t>CF24P</t>
  </si>
  <si>
    <t>CF+P</t>
  </si>
  <si>
    <t>CF%24P</t>
  </si>
  <si>
    <t>CF%+P</t>
  </si>
  <si>
    <t>ETCBP</t>
  </si>
  <si>
    <t>ETNBBP</t>
  </si>
  <si>
    <t>ETPIBP</t>
  </si>
  <si>
    <t>ETNOBP</t>
  </si>
  <si>
    <t>EBRBP</t>
  </si>
  <si>
    <t>ETQBP</t>
  </si>
  <si>
    <t>EOBP</t>
  </si>
  <si>
    <t>EMBP</t>
  </si>
  <si>
    <t>ETSBP</t>
  </si>
  <si>
    <t>EAlBP</t>
  </si>
  <si>
    <t>ETBCBP</t>
  </si>
  <si>
    <t>ETYBP</t>
  </si>
  <si>
    <t>ETNTBP</t>
  </si>
  <si>
    <t>ETNUBP</t>
  </si>
  <si>
    <t>PQ3</t>
  </si>
  <si>
    <t>051CP</t>
  </si>
  <si>
    <t>051NBP</t>
  </si>
  <si>
    <t>051PIP</t>
  </si>
  <si>
    <t>051NOP</t>
  </si>
  <si>
    <t>051BRP</t>
  </si>
  <si>
    <t>051QP</t>
  </si>
  <si>
    <t>051ONP</t>
  </si>
  <si>
    <t>051MP</t>
  </si>
  <si>
    <t>051SP</t>
  </si>
  <si>
    <t>051AlP</t>
  </si>
  <si>
    <t>051BCP</t>
  </si>
  <si>
    <t>051YP</t>
  </si>
  <si>
    <t>051NTP</t>
  </si>
  <si>
    <t>051NUP</t>
  </si>
  <si>
    <t>Q3 2015</t>
  </si>
  <si>
    <t>Q4 2015</t>
  </si>
  <si>
    <t>Q1 2016</t>
  </si>
  <si>
    <t>Q2 2016</t>
  </si>
  <si>
    <t>Q3 2016</t>
  </si>
  <si>
    <t>MO</t>
  </si>
  <si>
    <t>FO</t>
  </si>
  <si>
    <t>HCan</t>
  </si>
  <si>
    <t>HAt</t>
  </si>
  <si>
    <t>HQ</t>
  </si>
  <si>
    <t>HO</t>
  </si>
  <si>
    <t>HM</t>
  </si>
  <si>
    <t>HS</t>
  </si>
  <si>
    <t>HAl</t>
  </si>
  <si>
    <t>HBC</t>
  </si>
  <si>
    <t>HT</t>
  </si>
  <si>
    <t>YAI</t>
  </si>
  <si>
    <t>YR</t>
  </si>
  <si>
    <t>Y%R</t>
  </si>
  <si>
    <t>YTC</t>
  </si>
  <si>
    <t>YCC</t>
  </si>
  <si>
    <t>YCO</t>
  </si>
  <si>
    <t>YC</t>
  </si>
  <si>
    <t>YR12</t>
  </si>
  <si>
    <t>Yad</t>
  </si>
  <si>
    <t>YR18</t>
  </si>
  <si>
    <t>YYT</t>
  </si>
  <si>
    <t>YR27</t>
  </si>
  <si>
    <t>YYNY</t>
  </si>
  <si>
    <t>YRYN</t>
  </si>
  <si>
    <t>NTAI</t>
  </si>
  <si>
    <t>NTR</t>
  </si>
  <si>
    <t>N%R</t>
  </si>
  <si>
    <t>NTTC</t>
  </si>
  <si>
    <t>NTCC</t>
  </si>
  <si>
    <t>NTCO</t>
  </si>
  <si>
    <t>NTC</t>
  </si>
  <si>
    <t>NTR12</t>
  </si>
  <si>
    <t>NTAd</t>
  </si>
  <si>
    <t>NTR18</t>
  </si>
  <si>
    <t>NTY</t>
  </si>
  <si>
    <t>NTR27</t>
  </si>
  <si>
    <t>NTYN</t>
  </si>
  <si>
    <t>NTRYN</t>
  </si>
  <si>
    <t>NUAc</t>
  </si>
  <si>
    <t>NUR</t>
  </si>
  <si>
    <t>NU%R</t>
  </si>
  <si>
    <t>NUTC</t>
  </si>
  <si>
    <t>NUCC</t>
  </si>
  <si>
    <t>NUCO</t>
  </si>
  <si>
    <t>NUC</t>
  </si>
  <si>
    <t>NR12</t>
  </si>
  <si>
    <t>NURC</t>
  </si>
  <si>
    <t>NUR18</t>
  </si>
  <si>
    <t>NUY</t>
  </si>
  <si>
    <t>NUR27</t>
  </si>
  <si>
    <t>NUYN</t>
  </si>
  <si>
    <t>NURYN</t>
  </si>
  <si>
    <t>NLAI</t>
  </si>
  <si>
    <t>NLR</t>
  </si>
  <si>
    <t>NL%R</t>
  </si>
  <si>
    <t>NLTC</t>
  </si>
  <si>
    <t>NLCC</t>
  </si>
  <si>
    <t>NLCO</t>
  </si>
  <si>
    <t>NC</t>
  </si>
  <si>
    <t>NLAd</t>
  </si>
  <si>
    <t>NLR18</t>
  </si>
  <si>
    <t>NLY</t>
  </si>
  <si>
    <t>NLR27</t>
  </si>
  <si>
    <t>NLYN</t>
  </si>
  <si>
    <t>NRYN</t>
  </si>
  <si>
    <t>PIAI</t>
  </si>
  <si>
    <t>PIR</t>
  </si>
  <si>
    <t>PI%R</t>
  </si>
  <si>
    <t>PITC</t>
  </si>
  <si>
    <t>PICC</t>
  </si>
  <si>
    <t>PICO</t>
  </si>
  <si>
    <t>PIC</t>
  </si>
  <si>
    <t>PIR12</t>
  </si>
  <si>
    <t>PIAd</t>
  </si>
  <si>
    <t>PIR18</t>
  </si>
  <si>
    <t>PIY</t>
  </si>
  <si>
    <t>PIR27</t>
  </si>
  <si>
    <t>PIYN</t>
  </si>
  <si>
    <t>PIRYN</t>
  </si>
  <si>
    <t>NOAI</t>
  </si>
  <si>
    <t>NOR</t>
  </si>
  <si>
    <t>NO%R</t>
  </si>
  <si>
    <t>NOTC</t>
  </si>
  <si>
    <t>NOCC</t>
  </si>
  <si>
    <t>NOCO</t>
  </si>
  <si>
    <t>NOC</t>
  </si>
  <si>
    <t>NOR12</t>
  </si>
  <si>
    <t>NOAd</t>
  </si>
  <si>
    <t>NOR18</t>
  </si>
  <si>
    <t>NOY</t>
  </si>
  <si>
    <t>NOR27</t>
  </si>
  <si>
    <t>NOYN</t>
  </si>
  <si>
    <t>NORYN</t>
  </si>
  <si>
    <t>BRAI</t>
  </si>
  <si>
    <t>BRR</t>
  </si>
  <si>
    <t>BR%R</t>
  </si>
  <si>
    <t>BRTC</t>
  </si>
  <si>
    <t>BRCC</t>
  </si>
  <si>
    <t>BRCO</t>
  </si>
  <si>
    <t>BRC</t>
  </si>
  <si>
    <t>BRR12</t>
  </si>
  <si>
    <t>BRAd</t>
  </si>
  <si>
    <t>BRR18</t>
  </si>
  <si>
    <t>BRY</t>
  </si>
  <si>
    <t>BRR27</t>
  </si>
  <si>
    <t>BRYN</t>
  </si>
  <si>
    <t>BRRYN</t>
  </si>
  <si>
    <t>CAI</t>
  </si>
  <si>
    <t>CR</t>
  </si>
  <si>
    <t>C%R</t>
  </si>
  <si>
    <t>CTC</t>
  </si>
  <si>
    <t>CCC</t>
  </si>
  <si>
    <t>CCO</t>
  </si>
  <si>
    <t>CC</t>
  </si>
  <si>
    <t>CR12</t>
  </si>
  <si>
    <t>CAd</t>
  </si>
  <si>
    <t>CR18</t>
  </si>
  <si>
    <t>CY</t>
  </si>
  <si>
    <t>CR27</t>
  </si>
  <si>
    <t>CYN</t>
  </si>
  <si>
    <t>CRYN</t>
  </si>
  <si>
    <t>OAI</t>
  </si>
  <si>
    <t>OR</t>
  </si>
  <si>
    <t>O%R</t>
  </si>
  <si>
    <t>OTC</t>
  </si>
  <si>
    <t>OCC</t>
  </si>
  <si>
    <t>OCO</t>
  </si>
  <si>
    <t>OC</t>
  </si>
  <si>
    <t>OR12</t>
  </si>
  <si>
    <t>OAd</t>
  </si>
  <si>
    <t>OR18</t>
  </si>
  <si>
    <t>OY</t>
  </si>
  <si>
    <t>OR27</t>
  </si>
  <si>
    <t>OYN</t>
  </si>
  <si>
    <t>ORYN</t>
  </si>
  <si>
    <t>MAI</t>
  </si>
  <si>
    <t>MR</t>
  </si>
  <si>
    <t>M%R</t>
  </si>
  <si>
    <t>MTC</t>
  </si>
  <si>
    <t>MCC</t>
  </si>
  <si>
    <t>MCO</t>
  </si>
  <si>
    <t>MC</t>
  </si>
  <si>
    <t>MR12</t>
  </si>
  <si>
    <t>MA</t>
  </si>
  <si>
    <t>MR18</t>
  </si>
  <si>
    <t>MY</t>
  </si>
  <si>
    <t>MR27</t>
  </si>
  <si>
    <t>MYN</t>
  </si>
  <si>
    <t>MRYN</t>
  </si>
  <si>
    <t>Sal</t>
  </si>
  <si>
    <t>SR</t>
  </si>
  <si>
    <t>S%R</t>
  </si>
  <si>
    <t>STC</t>
  </si>
  <si>
    <t>SCC</t>
  </si>
  <si>
    <t>SCO</t>
  </si>
  <si>
    <t>SC</t>
  </si>
  <si>
    <t>SR12</t>
  </si>
  <si>
    <t>SA</t>
  </si>
  <si>
    <t>SR18</t>
  </si>
  <si>
    <t>SY</t>
  </si>
  <si>
    <t>SR27</t>
  </si>
  <si>
    <t>SYN</t>
  </si>
  <si>
    <t>SRYN</t>
  </si>
  <si>
    <t>BCAI</t>
  </si>
  <si>
    <t>BCR</t>
  </si>
  <si>
    <t>BC%R</t>
  </si>
  <si>
    <t>BCTC</t>
  </si>
  <si>
    <t>BCCC</t>
  </si>
  <si>
    <t>BCCO</t>
  </si>
  <si>
    <t>BCC</t>
  </si>
  <si>
    <t>BCR12</t>
  </si>
  <si>
    <t>BCAd</t>
  </si>
  <si>
    <t>BCR18</t>
  </si>
  <si>
    <t>BCY</t>
  </si>
  <si>
    <t>BCR27</t>
  </si>
  <si>
    <t>BCYN</t>
  </si>
  <si>
    <t>BCRYN</t>
  </si>
  <si>
    <t>Mean 2011-2015</t>
  </si>
  <si>
    <t>Mean 2012-2014</t>
  </si>
  <si>
    <t>Population Variance 11-15</t>
  </si>
  <si>
    <t>Population Variance 12-14</t>
  </si>
  <si>
    <t>Sample Variance 11-15</t>
  </si>
  <si>
    <t>Sample Variance 11-16</t>
  </si>
  <si>
    <t>Population Standard Deviation 11-15</t>
  </si>
  <si>
    <t>Population Standard Deviation 12-14</t>
  </si>
  <si>
    <t>Sample Standard Deviation 11-15</t>
  </si>
  <si>
    <t>Sample Standard Deviation 12-14</t>
  </si>
  <si>
    <t>Var Pop 10-14</t>
  </si>
  <si>
    <t>Mean 10-14</t>
  </si>
  <si>
    <t>Var Sample 10-14</t>
  </si>
  <si>
    <t>Std Dev 10-14</t>
  </si>
  <si>
    <t>Mean 11-15</t>
  </si>
  <si>
    <t>Var Pop 11-15</t>
  </si>
  <si>
    <t>Var Sample 11-15</t>
  </si>
  <si>
    <t>Std Dev 11-15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</si>
</sst>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1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0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/>
    </xf>
  </cellXfs>
  <cellStyles count="3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T21"/>
  <sheetViews>
    <sheetView zoomScale="125" zoomScaleNormal="125" zoomScalePageLayoutView="125" workbookViewId="0">
      <selection activeCell="A5" sqref="A5"/>
    </sheetView>
  </sheetViews>
  <sheetFormatPr baseColWidth="10" defaultRowHeight="15" x14ac:dyDescent="0"/>
  <cols>
    <col min="1" max="1" width="32.6640625" customWidth="1"/>
    <col min="4" max="4" width="15.1640625" style="1" customWidth="1"/>
    <col min="14" max="14" width="15.83203125" customWidth="1"/>
  </cols>
  <sheetData>
    <row r="1" spans="1:202" s="6" customFormat="1">
      <c r="A1" s="4" t="s">
        <v>57</v>
      </c>
      <c r="B1" s="4" t="s">
        <v>114</v>
      </c>
      <c r="C1" s="4" t="s">
        <v>115</v>
      </c>
      <c r="D1" s="4"/>
      <c r="E1" s="5" t="s">
        <v>116</v>
      </c>
      <c r="F1" s="4" t="s">
        <v>117</v>
      </c>
      <c r="G1" s="5" t="s">
        <v>118</v>
      </c>
      <c r="H1" s="5" t="s">
        <v>119</v>
      </c>
      <c r="I1" s="5" t="s">
        <v>120</v>
      </c>
      <c r="J1" s="5" t="s">
        <v>121</v>
      </c>
      <c r="K1" s="5" t="s">
        <v>122</v>
      </c>
      <c r="L1" s="5" t="s">
        <v>123</v>
      </c>
      <c r="M1" s="4" t="s">
        <v>124</v>
      </c>
      <c r="N1" s="4"/>
      <c r="O1" s="6" t="s">
        <v>125</v>
      </c>
      <c r="P1" s="6" t="s">
        <v>126</v>
      </c>
      <c r="Q1" s="6" t="s">
        <v>127</v>
      </c>
      <c r="R1" s="6" t="s">
        <v>128</v>
      </c>
      <c r="S1" s="6" t="s">
        <v>129</v>
      </c>
      <c r="T1" s="6" t="s">
        <v>130</v>
      </c>
      <c r="U1" s="6" t="s">
        <v>131</v>
      </c>
      <c r="V1" s="6" t="s">
        <v>132</v>
      </c>
      <c r="W1" s="6" t="s">
        <v>133</v>
      </c>
      <c r="X1" s="6" t="s">
        <v>134</v>
      </c>
      <c r="Y1" s="6" t="s">
        <v>135</v>
      </c>
      <c r="Z1" s="6" t="s">
        <v>136</v>
      </c>
      <c r="AA1" s="6" t="s">
        <v>137</v>
      </c>
      <c r="AB1" s="6" t="s">
        <v>138</v>
      </c>
      <c r="AC1" s="7" t="s">
        <v>139</v>
      </c>
      <c r="AD1" s="7" t="s">
        <v>140</v>
      </c>
      <c r="AE1" s="7" t="s">
        <v>141</v>
      </c>
      <c r="AF1" s="7" t="s">
        <v>142</v>
      </c>
      <c r="AG1" s="7" t="s">
        <v>143</v>
      </c>
      <c r="AH1" s="7" t="s">
        <v>144</v>
      </c>
      <c r="AI1" s="7" t="s">
        <v>145</v>
      </c>
      <c r="AJ1" s="7" t="s">
        <v>146</v>
      </c>
      <c r="AK1" s="7" t="s">
        <v>147</v>
      </c>
      <c r="AL1" s="7" t="s">
        <v>148</v>
      </c>
      <c r="AM1" s="7" t="s">
        <v>149</v>
      </c>
      <c r="AN1" s="7" t="s">
        <v>150</v>
      </c>
      <c r="AO1" s="7" t="s">
        <v>151</v>
      </c>
      <c r="AP1" s="7" t="s">
        <v>152</v>
      </c>
      <c r="AQ1" s="7" t="s">
        <v>153</v>
      </c>
      <c r="AR1" s="7" t="s">
        <v>154</v>
      </c>
      <c r="AS1" s="7" t="s">
        <v>155</v>
      </c>
      <c r="AT1" s="7" t="s">
        <v>156</v>
      </c>
      <c r="AU1" s="7" t="s">
        <v>157</v>
      </c>
      <c r="AV1" s="7" t="s">
        <v>158</v>
      </c>
      <c r="AW1" s="7" t="s">
        <v>159</v>
      </c>
      <c r="AX1" s="7" t="s">
        <v>160</v>
      </c>
      <c r="AY1" s="7" t="s">
        <v>161</v>
      </c>
      <c r="AZ1" s="7" t="s">
        <v>162</v>
      </c>
      <c r="BA1" s="7" t="s">
        <v>163</v>
      </c>
      <c r="BB1" s="7" t="s">
        <v>164</v>
      </c>
      <c r="BC1" s="7" t="s">
        <v>165</v>
      </c>
      <c r="BD1" s="7" t="s">
        <v>166</v>
      </c>
      <c r="BE1" s="7" t="s">
        <v>167</v>
      </c>
      <c r="BF1" s="7" t="s">
        <v>168</v>
      </c>
      <c r="BG1" s="7" t="s">
        <v>169</v>
      </c>
      <c r="BH1" s="7" t="s">
        <v>170</v>
      </c>
      <c r="BI1" s="7" t="s">
        <v>171</v>
      </c>
      <c r="BJ1" s="7" t="s">
        <v>172</v>
      </c>
      <c r="BK1" s="7" t="s">
        <v>173</v>
      </c>
      <c r="BL1" s="7" t="s">
        <v>160</v>
      </c>
      <c r="BM1" s="7" t="s">
        <v>174</v>
      </c>
      <c r="BN1" s="7" t="s">
        <v>175</v>
      </c>
      <c r="BO1" s="7" t="s">
        <v>176</v>
      </c>
      <c r="BP1" s="7" t="s">
        <v>177</v>
      </c>
      <c r="BQ1" s="7" t="s">
        <v>178</v>
      </c>
      <c r="BR1" s="7" t="s">
        <v>179</v>
      </c>
      <c r="BS1" s="7" t="s">
        <v>180</v>
      </c>
      <c r="BT1" s="7" t="s">
        <v>181</v>
      </c>
      <c r="BU1" s="7" t="s">
        <v>182</v>
      </c>
      <c r="BV1" s="7" t="s">
        <v>183</v>
      </c>
      <c r="BW1" s="7" t="s">
        <v>184</v>
      </c>
      <c r="BX1" s="7" t="s">
        <v>185</v>
      </c>
      <c r="BY1" s="7" t="s">
        <v>186</v>
      </c>
      <c r="BZ1" s="7" t="s">
        <v>187</v>
      </c>
      <c r="CA1" s="7" t="s">
        <v>188</v>
      </c>
      <c r="CB1" s="7" t="s">
        <v>189</v>
      </c>
      <c r="CC1" s="7" t="s">
        <v>190</v>
      </c>
      <c r="CD1" s="7" t="s">
        <v>191</v>
      </c>
      <c r="CE1" s="7" t="s">
        <v>192</v>
      </c>
      <c r="CF1" s="7" t="s">
        <v>193</v>
      </c>
      <c r="CG1" s="7" t="s">
        <v>194</v>
      </c>
      <c r="CH1" s="7" t="s">
        <v>195</v>
      </c>
      <c r="CI1" s="7" t="s">
        <v>196</v>
      </c>
      <c r="CJ1" s="7" t="s">
        <v>197</v>
      </c>
      <c r="CK1" s="7" t="s">
        <v>198</v>
      </c>
      <c r="CL1" s="7" t="s">
        <v>199</v>
      </c>
      <c r="CM1" s="7" t="s">
        <v>200</v>
      </c>
      <c r="CN1" s="7" t="s">
        <v>201</v>
      </c>
      <c r="CO1" s="7" t="s">
        <v>202</v>
      </c>
      <c r="CP1" s="7" t="s">
        <v>203</v>
      </c>
      <c r="CQ1" s="7" t="s">
        <v>204</v>
      </c>
      <c r="CR1" s="7" t="s">
        <v>205</v>
      </c>
      <c r="CS1" s="7" t="s">
        <v>206</v>
      </c>
      <c r="CT1" s="7" t="s">
        <v>207</v>
      </c>
      <c r="CU1" s="7" t="s">
        <v>208</v>
      </c>
      <c r="CV1" s="7" t="s">
        <v>209</v>
      </c>
      <c r="CW1" s="7" t="s">
        <v>210</v>
      </c>
      <c r="CX1" s="7" t="s">
        <v>211</v>
      </c>
      <c r="CY1" s="7" t="s">
        <v>212</v>
      </c>
      <c r="CZ1" s="7" t="s">
        <v>213</v>
      </c>
      <c r="DA1" s="7" t="s">
        <v>214</v>
      </c>
      <c r="DB1" s="7" t="s">
        <v>215</v>
      </c>
      <c r="DC1" s="7" t="s">
        <v>216</v>
      </c>
      <c r="DD1" s="7" t="s">
        <v>217</v>
      </c>
      <c r="DE1" s="7" t="s">
        <v>218</v>
      </c>
      <c r="DF1" s="7" t="s">
        <v>219</v>
      </c>
      <c r="DG1" s="7" t="s">
        <v>220</v>
      </c>
      <c r="DH1" s="7" t="s">
        <v>221</v>
      </c>
      <c r="DI1" s="7" t="s">
        <v>222</v>
      </c>
      <c r="DJ1" s="7" t="s">
        <v>223</v>
      </c>
      <c r="DK1" s="7" t="s">
        <v>224</v>
      </c>
      <c r="DL1" s="7" t="s">
        <v>225</v>
      </c>
      <c r="DM1" s="7" t="s">
        <v>226</v>
      </c>
      <c r="DN1" s="7" t="s">
        <v>227</v>
      </c>
      <c r="DO1" s="7" t="s">
        <v>228</v>
      </c>
      <c r="DP1" s="7" t="s">
        <v>229</v>
      </c>
      <c r="DQ1" s="7" t="s">
        <v>230</v>
      </c>
      <c r="DR1" s="7" t="s">
        <v>231</v>
      </c>
      <c r="DS1" s="7" t="s">
        <v>232</v>
      </c>
      <c r="DT1" s="7" t="s">
        <v>233</v>
      </c>
      <c r="DU1" s="7" t="s">
        <v>234</v>
      </c>
      <c r="DV1" s="7" t="s">
        <v>235</v>
      </c>
      <c r="DW1" s="7" t="s">
        <v>236</v>
      </c>
      <c r="DX1" s="7" t="s">
        <v>237</v>
      </c>
      <c r="DY1" s="7" t="s">
        <v>238</v>
      </c>
      <c r="DZ1" s="7" t="s">
        <v>239</v>
      </c>
      <c r="EA1" s="7" t="s">
        <v>240</v>
      </c>
      <c r="EB1" s="7" t="s">
        <v>241</v>
      </c>
      <c r="EC1" s="7" t="s">
        <v>242</v>
      </c>
      <c r="ED1" s="7" t="s">
        <v>243</v>
      </c>
      <c r="EE1" s="7" t="s">
        <v>244</v>
      </c>
      <c r="EF1" s="7" t="s">
        <v>245</v>
      </c>
      <c r="EG1" s="7" t="s">
        <v>246</v>
      </c>
      <c r="EH1" s="7" t="s">
        <v>247</v>
      </c>
      <c r="EI1" s="7" t="s">
        <v>248</v>
      </c>
      <c r="EJ1" s="7" t="s">
        <v>249</v>
      </c>
      <c r="EK1" s="7" t="s">
        <v>250</v>
      </c>
      <c r="EL1" s="7" t="s">
        <v>251</v>
      </c>
      <c r="EM1" s="7" t="s">
        <v>252</v>
      </c>
      <c r="EN1" s="7" t="s">
        <v>253</v>
      </c>
      <c r="EO1" s="7" t="s">
        <v>254</v>
      </c>
      <c r="EP1" s="7" t="s">
        <v>255</v>
      </c>
      <c r="EQ1" s="7" t="s">
        <v>256</v>
      </c>
      <c r="ER1" s="7" t="s">
        <v>257</v>
      </c>
      <c r="ES1" s="7" t="s">
        <v>258</v>
      </c>
      <c r="ET1" s="7" t="s">
        <v>259</v>
      </c>
      <c r="EU1" s="7" t="s">
        <v>260</v>
      </c>
      <c r="EV1" s="7" t="s">
        <v>261</v>
      </c>
      <c r="EW1" s="7" t="s">
        <v>262</v>
      </c>
      <c r="EX1" s="7" t="s">
        <v>263</v>
      </c>
      <c r="EY1" s="7" t="s">
        <v>264</v>
      </c>
      <c r="EZ1" s="7" t="s">
        <v>265</v>
      </c>
      <c r="FA1" s="7" t="s">
        <v>266</v>
      </c>
      <c r="FB1" s="7" t="s">
        <v>267</v>
      </c>
      <c r="FC1" s="7" t="s">
        <v>268</v>
      </c>
      <c r="FD1" s="7" t="s">
        <v>269</v>
      </c>
      <c r="FE1" s="7" t="s">
        <v>270</v>
      </c>
      <c r="FF1" s="7" t="s">
        <v>271</v>
      </c>
      <c r="FG1" s="7" t="s">
        <v>272</v>
      </c>
      <c r="FH1" s="7" t="s">
        <v>273</v>
      </c>
      <c r="FI1" s="7" t="s">
        <v>274</v>
      </c>
      <c r="FJ1" s="7" t="s">
        <v>275</v>
      </c>
      <c r="FK1" s="7" t="s">
        <v>276</v>
      </c>
      <c r="FL1" s="7" t="s">
        <v>277</v>
      </c>
      <c r="FM1" s="7" t="s">
        <v>278</v>
      </c>
      <c r="FN1" s="7" t="s">
        <v>279</v>
      </c>
      <c r="FO1" s="7" t="s">
        <v>280</v>
      </c>
      <c r="FP1" s="7" t="s">
        <v>281</v>
      </c>
      <c r="FQ1" s="7" t="s">
        <v>282</v>
      </c>
      <c r="FR1" s="7" t="s">
        <v>283</v>
      </c>
      <c r="FS1" s="7" t="s">
        <v>284</v>
      </c>
      <c r="FT1" s="7" t="s">
        <v>285</v>
      </c>
      <c r="FU1" s="7" t="s">
        <v>286</v>
      </c>
      <c r="FV1" s="7" t="s">
        <v>287</v>
      </c>
      <c r="FW1" s="7" t="s">
        <v>288</v>
      </c>
      <c r="FX1" s="7" t="s">
        <v>289</v>
      </c>
      <c r="FY1" s="7" t="s">
        <v>290</v>
      </c>
      <c r="FZ1" s="7" t="s">
        <v>291</v>
      </c>
    </row>
    <row r="2" spans="1:202" s="3" customFormat="1">
      <c r="A2" s="1">
        <v>2010</v>
      </c>
      <c r="B2" s="3">
        <v>55787</v>
      </c>
      <c r="C2" s="3">
        <v>13281</v>
      </c>
      <c r="D2" s="1"/>
      <c r="E2" s="8">
        <v>66</v>
      </c>
      <c r="F2" s="8">
        <v>7</v>
      </c>
      <c r="G2" s="8">
        <v>14</v>
      </c>
      <c r="H2" s="8">
        <v>22</v>
      </c>
      <c r="I2" s="8">
        <v>3</v>
      </c>
      <c r="J2" s="8">
        <v>1</v>
      </c>
      <c r="K2" s="8">
        <v>10</v>
      </c>
      <c r="L2" s="8">
        <v>8</v>
      </c>
      <c r="M2" s="8">
        <v>1</v>
      </c>
      <c r="N2" s="8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</row>
    <row r="3" spans="1:202" s="3" customFormat="1">
      <c r="A3" s="1">
        <v>2011</v>
      </c>
      <c r="B3" s="3">
        <v>55820</v>
      </c>
      <c r="C3" s="3">
        <v>13604</v>
      </c>
      <c r="D3" s="1"/>
      <c r="E3" s="8">
        <v>68</v>
      </c>
      <c r="F3" s="8">
        <v>7</v>
      </c>
      <c r="G3" s="8">
        <v>11</v>
      </c>
      <c r="H3" s="8">
        <v>23</v>
      </c>
      <c r="I3" s="8">
        <v>1</v>
      </c>
      <c r="J3" s="8">
        <v>2</v>
      </c>
      <c r="K3" s="8">
        <v>12</v>
      </c>
      <c r="L3" s="8">
        <v>9</v>
      </c>
      <c r="M3" s="8">
        <v>3</v>
      </c>
      <c r="N3" s="8"/>
      <c r="O3">
        <v>7981</v>
      </c>
      <c r="P3">
        <v>22543.919999999998</v>
      </c>
      <c r="Q3">
        <v>-2.2799999999999998</v>
      </c>
      <c r="R3">
        <v>5258</v>
      </c>
      <c r="S3">
        <v>1664</v>
      </c>
      <c r="T3">
        <v>3594</v>
      </c>
      <c r="U3">
        <v>1629</v>
      </c>
      <c r="V3">
        <v>5310.34</v>
      </c>
      <c r="W3">
        <v>1507</v>
      </c>
      <c r="X3">
        <v>5351.18</v>
      </c>
      <c r="Y3">
        <v>122</v>
      </c>
      <c r="Z3">
        <v>4852.82</v>
      </c>
      <c r="AA3">
        <v>404</v>
      </c>
      <c r="AB3">
        <v>16070.01</v>
      </c>
      <c r="AC3">
        <v>22751</v>
      </c>
      <c r="AD3">
        <v>52299.95</v>
      </c>
      <c r="AE3">
        <v>1.39</v>
      </c>
      <c r="AF3">
        <v>16710</v>
      </c>
      <c r="AG3">
        <v>3571</v>
      </c>
      <c r="AH3">
        <v>13139</v>
      </c>
      <c r="AI3">
        <v>3386</v>
      </c>
      <c r="AJ3">
        <v>9389.3799999999992</v>
      </c>
      <c r="AK3">
        <v>3027</v>
      </c>
      <c r="AL3">
        <v>9397.1200000000008</v>
      </c>
      <c r="AM3">
        <v>359</v>
      </c>
      <c r="AN3">
        <v>9324.68</v>
      </c>
      <c r="AO3">
        <v>1164</v>
      </c>
      <c r="AP3">
        <v>30233.77</v>
      </c>
      <c r="AQ3">
        <v>13488</v>
      </c>
      <c r="AR3">
        <v>39443.21</v>
      </c>
      <c r="AS3">
        <v>-3.86</v>
      </c>
      <c r="AT3">
        <v>11170</v>
      </c>
      <c r="AU3">
        <v>2886</v>
      </c>
      <c r="AV3">
        <v>8284</v>
      </c>
      <c r="AW3">
        <v>2654</v>
      </c>
      <c r="AX3">
        <v>10496.76</v>
      </c>
      <c r="AY3">
        <v>2396</v>
      </c>
      <c r="AZ3">
        <v>11207.26</v>
      </c>
      <c r="BA3">
        <v>258</v>
      </c>
      <c r="BB3">
        <v>6606.91</v>
      </c>
      <c r="BC3">
        <v>803</v>
      </c>
      <c r="BD3">
        <v>20563.38</v>
      </c>
      <c r="BE3">
        <v>37465</v>
      </c>
      <c r="BF3">
        <v>7135.69</v>
      </c>
      <c r="BG3">
        <v>-5.3</v>
      </c>
      <c r="BH3">
        <v>14634</v>
      </c>
      <c r="BI3">
        <v>8546</v>
      </c>
      <c r="BJ3">
        <v>6088</v>
      </c>
      <c r="BK3">
        <v>8521</v>
      </c>
      <c r="BL3">
        <v>1834.45</v>
      </c>
      <c r="BM3">
        <v>7573</v>
      </c>
      <c r="BN3">
        <v>1760.84</v>
      </c>
      <c r="BO3">
        <v>948</v>
      </c>
      <c r="BP3">
        <v>2754.05</v>
      </c>
      <c r="BQ3">
        <v>1431</v>
      </c>
      <c r="BR3">
        <v>4157.2299999999996</v>
      </c>
      <c r="BS3">
        <v>10500</v>
      </c>
      <c r="BT3">
        <v>7289.74</v>
      </c>
      <c r="BU3">
        <v>2.09</v>
      </c>
      <c r="BV3">
        <v>3516</v>
      </c>
      <c r="BW3">
        <v>2077</v>
      </c>
      <c r="BX3">
        <v>1439</v>
      </c>
      <c r="BY3">
        <v>2077</v>
      </c>
      <c r="BZ3">
        <v>1647.69</v>
      </c>
      <c r="CA3">
        <v>1828</v>
      </c>
      <c r="CB3">
        <v>1588.54</v>
      </c>
      <c r="CC3">
        <v>249</v>
      </c>
      <c r="CD3">
        <v>2267.5500000000002</v>
      </c>
      <c r="CE3">
        <v>415</v>
      </c>
      <c r="CF3">
        <v>3779.26</v>
      </c>
      <c r="CG3">
        <v>69357</v>
      </c>
      <c r="CH3">
        <v>7343.49</v>
      </c>
      <c r="CI3">
        <v>-6.29</v>
      </c>
      <c r="CJ3">
        <v>32641</v>
      </c>
      <c r="CK3">
        <v>19390</v>
      </c>
      <c r="CL3">
        <v>13251</v>
      </c>
      <c r="CM3">
        <v>19410</v>
      </c>
      <c r="CN3">
        <v>2319.27</v>
      </c>
      <c r="CO3">
        <v>16715</v>
      </c>
      <c r="CP3">
        <v>2163.09</v>
      </c>
      <c r="CQ3">
        <v>2695</v>
      </c>
      <c r="CR3">
        <v>4200.17</v>
      </c>
      <c r="CS3">
        <v>3890</v>
      </c>
      <c r="CT3">
        <v>6062.59</v>
      </c>
      <c r="CU3">
        <v>45809</v>
      </c>
      <c r="CV3">
        <v>6063.16</v>
      </c>
      <c r="CW3">
        <v>-4.3499999999999996</v>
      </c>
      <c r="CX3">
        <v>20842</v>
      </c>
      <c r="CY3">
        <v>13356</v>
      </c>
      <c r="CZ3">
        <v>7486</v>
      </c>
      <c r="DA3">
        <v>13242</v>
      </c>
      <c r="DB3">
        <v>1984.15</v>
      </c>
      <c r="DC3">
        <v>11487</v>
      </c>
      <c r="DD3">
        <v>1865.2</v>
      </c>
      <c r="DE3">
        <v>1755</v>
      </c>
      <c r="DF3">
        <v>3405.85</v>
      </c>
      <c r="DG3">
        <v>2216</v>
      </c>
      <c r="DH3">
        <v>4300.49</v>
      </c>
      <c r="DI3">
        <v>2275917</v>
      </c>
      <c r="DJ3">
        <v>6627.06</v>
      </c>
      <c r="DK3">
        <v>-5.28</v>
      </c>
      <c r="DL3">
        <v>1066428</v>
      </c>
      <c r="DM3">
        <v>658522</v>
      </c>
      <c r="DN3">
        <v>407906</v>
      </c>
      <c r="DO3">
        <v>629943</v>
      </c>
      <c r="DP3">
        <v>2107.42</v>
      </c>
      <c r="DQ3">
        <v>557349</v>
      </c>
      <c r="DR3">
        <v>2034</v>
      </c>
      <c r="DS3">
        <v>72594</v>
      </c>
      <c r="DT3">
        <v>2915.45</v>
      </c>
      <c r="DU3">
        <v>94608</v>
      </c>
      <c r="DV3">
        <v>3799.55</v>
      </c>
      <c r="DW3">
        <v>636172</v>
      </c>
      <c r="DX3">
        <v>4796.3999999999996</v>
      </c>
      <c r="DY3">
        <v>-5.46</v>
      </c>
      <c r="DZ3">
        <v>300694</v>
      </c>
      <c r="EA3">
        <v>213152</v>
      </c>
      <c r="EB3">
        <v>87542</v>
      </c>
      <c r="EC3">
        <v>209852</v>
      </c>
      <c r="ED3">
        <v>1820.06</v>
      </c>
      <c r="EE3">
        <v>184060</v>
      </c>
      <c r="EF3">
        <v>1747.99</v>
      </c>
      <c r="EG3">
        <v>25792</v>
      </c>
      <c r="EH3">
        <v>2578.7600000000002</v>
      </c>
      <c r="EI3">
        <v>29736</v>
      </c>
      <c r="EJ3">
        <v>2973.09</v>
      </c>
      <c r="EK3">
        <v>121719</v>
      </c>
      <c r="EL3">
        <v>9865.9500000000007</v>
      </c>
      <c r="EM3">
        <v>-7.36</v>
      </c>
      <c r="EN3">
        <v>60557</v>
      </c>
      <c r="EO3">
        <v>33745</v>
      </c>
      <c r="EP3">
        <v>26812</v>
      </c>
      <c r="EQ3">
        <v>33488</v>
      </c>
      <c r="ER3">
        <v>3192.22</v>
      </c>
      <c r="ES3">
        <v>27949</v>
      </c>
      <c r="ET3">
        <v>2948.4</v>
      </c>
      <c r="EU3">
        <v>5539</v>
      </c>
      <c r="EV3">
        <v>5478.03</v>
      </c>
      <c r="EW3">
        <v>4913</v>
      </c>
      <c r="EX3">
        <v>4858.92</v>
      </c>
      <c r="EY3">
        <v>150574</v>
      </c>
      <c r="EZ3">
        <v>14120.52</v>
      </c>
      <c r="FA3">
        <v>-1.32</v>
      </c>
      <c r="FB3">
        <v>89302</v>
      </c>
      <c r="FC3">
        <v>53546</v>
      </c>
      <c r="FD3">
        <v>35756</v>
      </c>
      <c r="FE3">
        <v>53494</v>
      </c>
      <c r="FF3">
        <v>5902.7</v>
      </c>
      <c r="FG3">
        <v>44058</v>
      </c>
      <c r="FH3">
        <v>5357.5</v>
      </c>
      <c r="FI3">
        <v>9436</v>
      </c>
      <c r="FJ3">
        <v>11246.45</v>
      </c>
      <c r="FK3">
        <v>7370</v>
      </c>
      <c r="FL3">
        <v>8784.06</v>
      </c>
      <c r="FM3">
        <v>418763</v>
      </c>
      <c r="FN3">
        <v>9307.6299999999992</v>
      </c>
      <c r="FO3">
        <v>-5.16</v>
      </c>
      <c r="FP3">
        <v>154026</v>
      </c>
      <c r="FQ3">
        <v>74807</v>
      </c>
      <c r="FR3">
        <v>79219</v>
      </c>
      <c r="FS3">
        <v>75983</v>
      </c>
      <c r="FT3">
        <v>1916.78</v>
      </c>
      <c r="FU3">
        <v>70264</v>
      </c>
      <c r="FV3">
        <v>1925.67</v>
      </c>
      <c r="FW3">
        <v>5719</v>
      </c>
      <c r="FX3">
        <v>1813.91</v>
      </c>
      <c r="FY3">
        <v>12999</v>
      </c>
      <c r="FZ3">
        <v>4122.9399999999996</v>
      </c>
    </row>
    <row r="4" spans="1:202" s="3" customFormat="1">
      <c r="A4" s="1">
        <v>2012</v>
      </c>
      <c r="B4" s="3">
        <v>55673</v>
      </c>
      <c r="C4" s="3">
        <v>13832</v>
      </c>
      <c r="D4" s="1"/>
      <c r="E4" s="8">
        <v>63</v>
      </c>
      <c r="F4" s="8">
        <v>4</v>
      </c>
      <c r="G4" s="8">
        <v>11</v>
      </c>
      <c r="H4" s="8">
        <v>19</v>
      </c>
      <c r="I4" s="8">
        <v>9</v>
      </c>
      <c r="J4" s="8">
        <v>3</v>
      </c>
      <c r="K4" s="8">
        <v>7</v>
      </c>
      <c r="L4" s="8">
        <v>8</v>
      </c>
      <c r="M4" s="8">
        <v>2</v>
      </c>
      <c r="N4" s="8"/>
      <c r="O4">
        <v>8191</v>
      </c>
      <c r="P4">
        <v>22633.95</v>
      </c>
      <c r="Q4">
        <v>0.4</v>
      </c>
      <c r="R4">
        <v>5039</v>
      </c>
      <c r="S4">
        <v>1615</v>
      </c>
      <c r="T4">
        <v>3424</v>
      </c>
      <c r="U4">
        <v>1600</v>
      </c>
      <c r="V4">
        <v>5104.8100000000004</v>
      </c>
      <c r="W4">
        <v>1454</v>
      </c>
      <c r="X4">
        <v>5045.63</v>
      </c>
      <c r="Y4">
        <v>146</v>
      </c>
      <c r="Z4">
        <v>5779.89</v>
      </c>
      <c r="AA4">
        <v>340</v>
      </c>
      <c r="AB4">
        <v>13460.02</v>
      </c>
      <c r="AC4">
        <v>22367</v>
      </c>
      <c r="AD4">
        <v>51244.04</v>
      </c>
      <c r="AE4">
        <v>-2.02</v>
      </c>
      <c r="AF4">
        <v>15742</v>
      </c>
      <c r="AG4">
        <v>2867</v>
      </c>
      <c r="AH4">
        <v>12875</v>
      </c>
      <c r="AI4">
        <v>2800</v>
      </c>
      <c r="AJ4">
        <v>7762.47</v>
      </c>
      <c r="AK4">
        <v>2539</v>
      </c>
      <c r="AL4">
        <v>7821.45</v>
      </c>
      <c r="AM4">
        <v>261</v>
      </c>
      <c r="AN4">
        <v>7231.92</v>
      </c>
      <c r="AO4">
        <v>1083</v>
      </c>
      <c r="AP4">
        <v>30008.31</v>
      </c>
      <c r="AQ4">
        <v>14079</v>
      </c>
      <c r="AR4">
        <v>40539.61</v>
      </c>
      <c r="AS4">
        <v>2.78</v>
      </c>
      <c r="AT4">
        <v>11220</v>
      </c>
      <c r="AU4">
        <v>3059</v>
      </c>
      <c r="AV4">
        <v>8161</v>
      </c>
      <c r="AW4">
        <v>2750</v>
      </c>
      <c r="AX4">
        <v>10692.07</v>
      </c>
      <c r="AY4">
        <v>2481</v>
      </c>
      <c r="AZ4">
        <v>11339.64</v>
      </c>
      <c r="BA4">
        <v>269</v>
      </c>
      <c r="BB4">
        <v>7003.38</v>
      </c>
      <c r="BC4">
        <v>729</v>
      </c>
      <c r="BD4">
        <v>18979.43</v>
      </c>
      <c r="BE4">
        <v>36024</v>
      </c>
      <c r="BF4">
        <v>6837.04</v>
      </c>
      <c r="BG4">
        <v>-4.1900000000000004</v>
      </c>
      <c r="BH4">
        <v>14265</v>
      </c>
      <c r="BI4">
        <v>8722</v>
      </c>
      <c r="BJ4">
        <v>5543</v>
      </c>
      <c r="BK4">
        <v>8678</v>
      </c>
      <c r="BL4">
        <v>1860.26</v>
      </c>
      <c r="BM4">
        <v>7777</v>
      </c>
      <c r="BN4">
        <v>1797.39</v>
      </c>
      <c r="BO4">
        <v>901</v>
      </c>
      <c r="BP4">
        <v>2664.97</v>
      </c>
      <c r="BQ4">
        <v>1277</v>
      </c>
      <c r="BR4">
        <v>3777.1</v>
      </c>
      <c r="BS4">
        <v>10678</v>
      </c>
      <c r="BT4">
        <v>7351.01</v>
      </c>
      <c r="BU4">
        <v>0.84</v>
      </c>
      <c r="BV4">
        <v>3812</v>
      </c>
      <c r="BW4">
        <v>2329</v>
      </c>
      <c r="BX4">
        <v>1483</v>
      </c>
      <c r="BY4">
        <v>2247</v>
      </c>
      <c r="BZ4">
        <v>1765.91</v>
      </c>
      <c r="CA4">
        <v>1997</v>
      </c>
      <c r="CB4">
        <v>1714.66</v>
      </c>
      <c r="CC4">
        <v>250</v>
      </c>
      <c r="CD4">
        <v>2319.7600000000002</v>
      </c>
      <c r="CE4">
        <v>448</v>
      </c>
      <c r="CF4">
        <v>4157</v>
      </c>
      <c r="CG4">
        <v>67485</v>
      </c>
      <c r="CH4">
        <v>7142.52</v>
      </c>
      <c r="CI4">
        <v>-2.74</v>
      </c>
      <c r="CJ4">
        <v>32082</v>
      </c>
      <c r="CK4">
        <v>18342</v>
      </c>
      <c r="CL4">
        <v>13740</v>
      </c>
      <c r="CM4">
        <v>18160</v>
      </c>
      <c r="CN4">
        <v>2165.52</v>
      </c>
      <c r="CO4">
        <v>15665</v>
      </c>
      <c r="CP4">
        <v>2019.18</v>
      </c>
      <c r="CQ4">
        <v>2495</v>
      </c>
      <c r="CR4">
        <v>3973.75</v>
      </c>
      <c r="CS4">
        <v>3921</v>
      </c>
      <c r="CT4">
        <v>6244.92</v>
      </c>
      <c r="CU4">
        <v>47498</v>
      </c>
      <c r="CV4">
        <v>6275.86</v>
      </c>
      <c r="CW4">
        <v>3.51</v>
      </c>
      <c r="CX4">
        <v>20535</v>
      </c>
      <c r="CY4">
        <v>13302</v>
      </c>
      <c r="CZ4">
        <v>7233</v>
      </c>
      <c r="DA4">
        <v>12858</v>
      </c>
      <c r="DB4">
        <v>1921.59</v>
      </c>
      <c r="DC4">
        <v>11412</v>
      </c>
      <c r="DD4">
        <v>1844.27</v>
      </c>
      <c r="DE4">
        <v>1446</v>
      </c>
      <c r="DF4">
        <v>2871.78</v>
      </c>
      <c r="DG4">
        <v>2196</v>
      </c>
      <c r="DH4">
        <v>4361.3</v>
      </c>
      <c r="DI4">
        <v>2244458</v>
      </c>
      <c r="DJ4">
        <v>6458.6</v>
      </c>
      <c r="DK4">
        <v>-2.54</v>
      </c>
      <c r="DL4">
        <v>1050701</v>
      </c>
      <c r="DM4">
        <v>660653</v>
      </c>
      <c r="DN4">
        <v>390048</v>
      </c>
      <c r="DO4">
        <v>628614</v>
      </c>
      <c r="DP4">
        <v>2077.02</v>
      </c>
      <c r="DQ4">
        <v>560984</v>
      </c>
      <c r="DR4">
        <v>2016.51</v>
      </c>
      <c r="DS4">
        <v>67630</v>
      </c>
      <c r="DT4">
        <v>2765.35</v>
      </c>
      <c r="DU4">
        <v>86893</v>
      </c>
      <c r="DV4">
        <v>3553</v>
      </c>
      <c r="DW4">
        <v>618486</v>
      </c>
      <c r="DX4">
        <v>4612.28</v>
      </c>
      <c r="DY4">
        <v>-3.84</v>
      </c>
      <c r="DZ4">
        <v>294725</v>
      </c>
      <c r="EA4">
        <v>208916</v>
      </c>
      <c r="EB4">
        <v>85809</v>
      </c>
      <c r="EC4">
        <v>205225</v>
      </c>
      <c r="ED4">
        <v>1757.53</v>
      </c>
      <c r="EE4">
        <v>182609</v>
      </c>
      <c r="EF4">
        <v>1707.56</v>
      </c>
      <c r="EG4">
        <v>22616</v>
      </c>
      <c r="EH4">
        <v>2301.41</v>
      </c>
      <c r="EI4">
        <v>27571</v>
      </c>
      <c r="EJ4">
        <v>2805.63</v>
      </c>
      <c r="EK4">
        <v>121815</v>
      </c>
      <c r="EL4">
        <v>9742.0400000000009</v>
      </c>
      <c r="EM4">
        <v>-1.26</v>
      </c>
      <c r="EN4">
        <v>61318</v>
      </c>
      <c r="EO4">
        <v>35603</v>
      </c>
      <c r="EP4">
        <v>25715</v>
      </c>
      <c r="EQ4">
        <v>35324</v>
      </c>
      <c r="ER4">
        <v>3319.98</v>
      </c>
      <c r="ES4">
        <v>29717</v>
      </c>
      <c r="ET4">
        <v>3084.74</v>
      </c>
      <c r="EU4">
        <v>5607</v>
      </c>
      <c r="EV4">
        <v>5572.06</v>
      </c>
      <c r="EW4">
        <v>4723</v>
      </c>
      <c r="EX4">
        <v>4693.57</v>
      </c>
      <c r="EY4">
        <v>147209</v>
      </c>
      <c r="EZ4">
        <v>13539.91</v>
      </c>
      <c r="FA4">
        <v>-4.1100000000000003</v>
      </c>
      <c r="FB4">
        <v>88662</v>
      </c>
      <c r="FC4">
        <v>54536</v>
      </c>
      <c r="FD4">
        <v>34126</v>
      </c>
      <c r="FE4">
        <v>54713</v>
      </c>
      <c r="FF4">
        <v>5925.82</v>
      </c>
      <c r="FG4">
        <v>45995</v>
      </c>
      <c r="FH4">
        <v>5477.62</v>
      </c>
      <c r="FI4">
        <v>8718</v>
      </c>
      <c r="FJ4">
        <v>10427.11</v>
      </c>
      <c r="FK4">
        <v>6644</v>
      </c>
      <c r="FL4">
        <v>7946.51</v>
      </c>
      <c r="FM4">
        <v>411975</v>
      </c>
      <c r="FN4">
        <v>9069.19</v>
      </c>
      <c r="FO4">
        <v>-2.56</v>
      </c>
      <c r="FP4">
        <v>146205</v>
      </c>
      <c r="FQ4">
        <v>73240</v>
      </c>
      <c r="FR4">
        <v>72965</v>
      </c>
      <c r="FS4">
        <v>73158</v>
      </c>
      <c r="FT4">
        <v>1825.56</v>
      </c>
      <c r="FU4">
        <v>68034</v>
      </c>
      <c r="FV4">
        <v>1840.06</v>
      </c>
      <c r="FW4">
        <v>5124</v>
      </c>
      <c r="FX4">
        <v>1652.63</v>
      </c>
      <c r="FY4">
        <v>12116</v>
      </c>
      <c r="FZ4">
        <v>3907.74</v>
      </c>
    </row>
    <row r="5" spans="1:202" s="3" customFormat="1">
      <c r="A5" s="1">
        <v>2013</v>
      </c>
      <c r="B5" s="3">
        <v>55252</v>
      </c>
      <c r="C5" s="3">
        <v>13998</v>
      </c>
      <c r="D5" s="1"/>
      <c r="E5" s="8">
        <v>47</v>
      </c>
      <c r="F5" s="8">
        <v>5</v>
      </c>
      <c r="G5" s="8">
        <v>11</v>
      </c>
      <c r="H5" s="8">
        <v>13</v>
      </c>
      <c r="I5" s="8">
        <v>1</v>
      </c>
      <c r="J5" s="8">
        <v>2</v>
      </c>
      <c r="K5" s="8">
        <v>7</v>
      </c>
      <c r="L5" s="8">
        <v>5</v>
      </c>
      <c r="M5" s="8">
        <v>3</v>
      </c>
      <c r="N5" s="8"/>
      <c r="O5">
        <v>9492</v>
      </c>
      <c r="P5">
        <v>26056.16</v>
      </c>
      <c r="Q5">
        <v>15.12</v>
      </c>
      <c r="R5">
        <v>6034</v>
      </c>
      <c r="S5">
        <v>1710</v>
      </c>
      <c r="T5">
        <v>4324</v>
      </c>
      <c r="U5">
        <v>1710</v>
      </c>
      <c r="V5">
        <v>5421.86</v>
      </c>
      <c r="W5">
        <v>1563</v>
      </c>
      <c r="X5">
        <v>5378.34</v>
      </c>
      <c r="Y5">
        <v>147</v>
      </c>
      <c r="Z5">
        <v>5932.2</v>
      </c>
      <c r="AA5">
        <v>438</v>
      </c>
      <c r="AB5">
        <v>17675.54</v>
      </c>
      <c r="AC5">
        <v>21252</v>
      </c>
      <c r="AD5">
        <v>48427.67</v>
      </c>
      <c r="AE5">
        <v>-5.5</v>
      </c>
      <c r="AF5">
        <v>14964</v>
      </c>
      <c r="AG5">
        <v>2735</v>
      </c>
      <c r="AH5">
        <v>12229</v>
      </c>
      <c r="AI5">
        <v>2603</v>
      </c>
      <c r="AJ5">
        <v>7189.81</v>
      </c>
      <c r="AK5">
        <v>2367</v>
      </c>
      <c r="AL5">
        <v>7223.07</v>
      </c>
      <c r="AM5">
        <v>236</v>
      </c>
      <c r="AN5">
        <v>6872.45</v>
      </c>
      <c r="AO5">
        <v>823</v>
      </c>
      <c r="AP5">
        <v>23966.22</v>
      </c>
      <c r="AQ5">
        <v>12271</v>
      </c>
      <c r="AR5">
        <v>34629.599999999999</v>
      </c>
      <c r="AS5">
        <v>-14.58</v>
      </c>
      <c r="AT5">
        <v>9837</v>
      </c>
      <c r="AU5">
        <v>2806</v>
      </c>
      <c r="AV5">
        <v>7031</v>
      </c>
      <c r="AW5">
        <v>2519</v>
      </c>
      <c r="AX5">
        <v>9595.4599999999991</v>
      </c>
      <c r="AY5">
        <v>2268</v>
      </c>
      <c r="AZ5">
        <v>10108.299999999999</v>
      </c>
      <c r="BA5">
        <v>251</v>
      </c>
      <c r="BB5">
        <v>6579.29</v>
      </c>
      <c r="BC5">
        <v>715</v>
      </c>
      <c r="BD5">
        <v>18741.810000000001</v>
      </c>
      <c r="BE5">
        <v>35217</v>
      </c>
      <c r="BF5">
        <v>6669.67</v>
      </c>
      <c r="BG5">
        <v>-2.4500000000000002</v>
      </c>
      <c r="BH5">
        <v>14062</v>
      </c>
      <c r="BI5">
        <v>8771</v>
      </c>
      <c r="BJ5">
        <v>5291</v>
      </c>
      <c r="BK5">
        <v>8706</v>
      </c>
      <c r="BL5">
        <v>1861.43</v>
      </c>
      <c r="BM5">
        <v>7783</v>
      </c>
      <c r="BN5">
        <v>1790.74</v>
      </c>
      <c r="BO5">
        <v>923</v>
      </c>
      <c r="BP5">
        <v>2790.37</v>
      </c>
      <c r="BQ5">
        <v>1101</v>
      </c>
      <c r="BR5">
        <v>3328.5</v>
      </c>
      <c r="BS5">
        <v>9498</v>
      </c>
      <c r="BT5">
        <v>6530.48</v>
      </c>
      <c r="BU5">
        <v>-11.16</v>
      </c>
      <c r="BV5">
        <v>3197</v>
      </c>
      <c r="BW5">
        <v>2187</v>
      </c>
      <c r="BX5">
        <v>1010</v>
      </c>
      <c r="BY5">
        <v>2180</v>
      </c>
      <c r="BZ5">
        <v>1712.54</v>
      </c>
      <c r="CA5">
        <v>1937</v>
      </c>
      <c r="CB5">
        <v>1656.53</v>
      </c>
      <c r="CC5">
        <v>243</v>
      </c>
      <c r="CD5">
        <v>2344.4299999999998</v>
      </c>
      <c r="CE5">
        <v>270</v>
      </c>
      <c r="CF5">
        <v>2604.92</v>
      </c>
      <c r="CG5">
        <v>60490</v>
      </c>
      <c r="CH5">
        <v>6414.7</v>
      </c>
      <c r="CI5">
        <v>-10.19</v>
      </c>
      <c r="CJ5">
        <v>28312</v>
      </c>
      <c r="CK5">
        <v>16558</v>
      </c>
      <c r="CL5">
        <v>11754</v>
      </c>
      <c r="CM5">
        <v>16312</v>
      </c>
      <c r="CN5">
        <v>1947.3</v>
      </c>
      <c r="CO5">
        <v>14429</v>
      </c>
      <c r="CP5">
        <v>1857.66</v>
      </c>
      <c r="CQ5">
        <v>1883</v>
      </c>
      <c r="CR5">
        <v>3089.77</v>
      </c>
      <c r="CS5">
        <v>2871</v>
      </c>
      <c r="CT5">
        <v>4710.96</v>
      </c>
      <c r="CU5">
        <v>41384</v>
      </c>
      <c r="CV5">
        <v>5476.12</v>
      </c>
      <c r="CW5">
        <v>-12.74</v>
      </c>
      <c r="CX5">
        <v>17575</v>
      </c>
      <c r="CY5">
        <v>12205</v>
      </c>
      <c r="CZ5">
        <v>5370</v>
      </c>
      <c r="DA5">
        <v>11859</v>
      </c>
      <c r="DB5">
        <v>1774.02</v>
      </c>
      <c r="DC5">
        <v>10588</v>
      </c>
      <c r="DD5">
        <v>1709.11</v>
      </c>
      <c r="DE5">
        <v>1271</v>
      </c>
      <c r="DF5">
        <v>2595.04</v>
      </c>
      <c r="DG5">
        <v>1511</v>
      </c>
      <c r="DH5">
        <v>3085.06</v>
      </c>
      <c r="DI5">
        <v>2098776</v>
      </c>
      <c r="DJ5">
        <v>5969.98</v>
      </c>
      <c r="DK5">
        <v>-7.57</v>
      </c>
      <c r="DL5">
        <v>991939</v>
      </c>
      <c r="DM5">
        <v>626019</v>
      </c>
      <c r="DN5">
        <v>365920</v>
      </c>
      <c r="DO5">
        <v>595717</v>
      </c>
      <c r="DP5">
        <v>1945.37</v>
      </c>
      <c r="DQ5">
        <v>537465</v>
      </c>
      <c r="DR5">
        <v>1903.83</v>
      </c>
      <c r="DS5">
        <v>58252</v>
      </c>
      <c r="DT5">
        <v>2435.6799999999998</v>
      </c>
      <c r="DU5">
        <v>72146</v>
      </c>
      <c r="DV5">
        <v>3016.62</v>
      </c>
      <c r="DW5">
        <v>566931</v>
      </c>
      <c r="DX5">
        <v>4183.68</v>
      </c>
      <c r="DY5">
        <v>-9.2899999999999991</v>
      </c>
      <c r="DZ5">
        <v>275834</v>
      </c>
      <c r="EA5">
        <v>195657</v>
      </c>
      <c r="EB5">
        <v>80177</v>
      </c>
      <c r="EC5">
        <v>193206</v>
      </c>
      <c r="ED5">
        <v>1635.44</v>
      </c>
      <c r="EE5">
        <v>174943</v>
      </c>
      <c r="EF5">
        <v>1611.67</v>
      </c>
      <c r="EG5">
        <v>18263</v>
      </c>
      <c r="EH5">
        <v>1904.53</v>
      </c>
      <c r="EI5">
        <v>22184</v>
      </c>
      <c r="EJ5">
        <v>2313.4299999999998</v>
      </c>
      <c r="EK5">
        <v>110361</v>
      </c>
      <c r="EL5">
        <v>8721.83</v>
      </c>
      <c r="EM5">
        <v>-10.47</v>
      </c>
      <c r="EN5">
        <v>58454</v>
      </c>
      <c r="EO5">
        <v>33474</v>
      </c>
      <c r="EP5">
        <v>24980</v>
      </c>
      <c r="EQ5">
        <v>32851</v>
      </c>
      <c r="ER5">
        <v>3049.6</v>
      </c>
      <c r="ES5">
        <v>27847</v>
      </c>
      <c r="ET5">
        <v>2847.5</v>
      </c>
      <c r="EU5">
        <v>5004</v>
      </c>
      <c r="EV5">
        <v>5040.29</v>
      </c>
      <c r="EW5">
        <v>4326</v>
      </c>
      <c r="EX5">
        <v>4357.37</v>
      </c>
      <c r="EY5">
        <v>138600</v>
      </c>
      <c r="EZ5">
        <v>12530.26</v>
      </c>
      <c r="FA5">
        <v>-7.46</v>
      </c>
      <c r="FB5">
        <v>80965</v>
      </c>
      <c r="FC5">
        <v>52952</v>
      </c>
      <c r="FD5">
        <v>28013</v>
      </c>
      <c r="FE5">
        <v>52989</v>
      </c>
      <c r="FF5">
        <v>5647.43</v>
      </c>
      <c r="FG5">
        <v>45061</v>
      </c>
      <c r="FH5">
        <v>5266.55</v>
      </c>
      <c r="FI5">
        <v>7928</v>
      </c>
      <c r="FJ5">
        <v>9589.1200000000008</v>
      </c>
      <c r="FK5">
        <v>4994</v>
      </c>
      <c r="FL5">
        <v>6040.37</v>
      </c>
      <c r="FM5">
        <v>391767</v>
      </c>
      <c r="FN5">
        <v>8549</v>
      </c>
      <c r="FO5">
        <v>-5.74</v>
      </c>
      <c r="FP5">
        <v>141955</v>
      </c>
      <c r="FQ5">
        <v>69148</v>
      </c>
      <c r="FR5">
        <v>72807</v>
      </c>
      <c r="FS5">
        <v>68850</v>
      </c>
      <c r="FT5">
        <v>1701.62</v>
      </c>
      <c r="FU5">
        <v>64430</v>
      </c>
      <c r="FV5">
        <v>1721.32</v>
      </c>
      <c r="FW5">
        <v>4420</v>
      </c>
      <c r="FX5">
        <v>1458.25</v>
      </c>
      <c r="FY5">
        <v>10318</v>
      </c>
      <c r="FZ5">
        <v>3404.13</v>
      </c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</row>
    <row r="6" spans="1:202" s="3" customFormat="1">
      <c r="A6" s="1">
        <v>2014</v>
      </c>
      <c r="B6" s="3">
        <v>54650</v>
      </c>
      <c r="C6" s="3">
        <v>14156</v>
      </c>
      <c r="D6" s="1"/>
      <c r="E6" s="8">
        <v>62</v>
      </c>
      <c r="F6" s="8">
        <v>2</v>
      </c>
      <c r="G6" s="8">
        <v>10</v>
      </c>
      <c r="H6" s="8">
        <v>12</v>
      </c>
      <c r="I6" s="8">
        <v>9</v>
      </c>
      <c r="J6" s="8">
        <v>3</v>
      </c>
      <c r="K6" s="8">
        <v>11</v>
      </c>
      <c r="L6" s="8">
        <v>14</v>
      </c>
      <c r="M6" s="8">
        <v>1</v>
      </c>
      <c r="N6" s="8"/>
      <c r="O6">
        <v>9731</v>
      </c>
      <c r="P6">
        <v>26307.11</v>
      </c>
      <c r="Q6">
        <v>0.96</v>
      </c>
      <c r="R6">
        <v>6048</v>
      </c>
      <c r="S6">
        <v>1582</v>
      </c>
      <c r="T6">
        <v>4466</v>
      </c>
      <c r="U6">
        <v>1525</v>
      </c>
      <c r="V6">
        <v>4768.16</v>
      </c>
      <c r="W6">
        <v>1390</v>
      </c>
      <c r="X6">
        <v>4712.34</v>
      </c>
      <c r="Y6">
        <v>135</v>
      </c>
      <c r="Z6">
        <v>5430.41</v>
      </c>
      <c r="AA6">
        <v>492</v>
      </c>
      <c r="AB6">
        <v>19790.830000000002</v>
      </c>
      <c r="AC6">
        <v>20476</v>
      </c>
      <c r="AD6">
        <v>46557.53</v>
      </c>
      <c r="AE6">
        <v>-3.86</v>
      </c>
      <c r="AF6">
        <v>14206</v>
      </c>
      <c r="AG6">
        <v>2595</v>
      </c>
      <c r="AH6">
        <v>11611</v>
      </c>
      <c r="AI6">
        <v>2462</v>
      </c>
      <c r="AJ6">
        <v>6801.29</v>
      </c>
      <c r="AK6">
        <v>2273</v>
      </c>
      <c r="AL6">
        <v>6883.08</v>
      </c>
      <c r="AM6">
        <v>189</v>
      </c>
      <c r="AN6">
        <v>5950.88</v>
      </c>
      <c r="AO6">
        <v>784</v>
      </c>
      <c r="AP6">
        <v>24685.14</v>
      </c>
      <c r="AQ6">
        <v>11768</v>
      </c>
      <c r="AR6">
        <v>32613.7</v>
      </c>
      <c r="AS6">
        <v>-5.82</v>
      </c>
      <c r="AT6">
        <v>9290</v>
      </c>
      <c r="AU6">
        <v>2384</v>
      </c>
      <c r="AV6">
        <v>6906</v>
      </c>
      <c r="AW6">
        <v>2166</v>
      </c>
      <c r="AX6">
        <v>8114.49</v>
      </c>
      <c r="AY6">
        <v>1999</v>
      </c>
      <c r="AZ6">
        <v>8707.9599999999991</v>
      </c>
      <c r="BA6">
        <v>167</v>
      </c>
      <c r="BB6">
        <v>4468.83</v>
      </c>
      <c r="BC6">
        <v>717</v>
      </c>
      <c r="BD6">
        <v>19186.509999999998</v>
      </c>
      <c r="BE6">
        <v>32842</v>
      </c>
      <c r="BF6">
        <v>6207.51</v>
      </c>
      <c r="BG6">
        <v>-6.93</v>
      </c>
      <c r="BH6">
        <v>13438</v>
      </c>
      <c r="BI6">
        <v>8391</v>
      </c>
      <c r="BJ6">
        <v>5047</v>
      </c>
      <c r="BK6">
        <v>8310</v>
      </c>
      <c r="BL6">
        <v>1772.53</v>
      </c>
      <c r="BM6">
        <v>7611</v>
      </c>
      <c r="BN6">
        <v>1744.07</v>
      </c>
      <c r="BO6">
        <v>699</v>
      </c>
      <c r="BP6">
        <v>2155.54</v>
      </c>
      <c r="BQ6">
        <v>978</v>
      </c>
      <c r="BR6">
        <v>3015.91</v>
      </c>
      <c r="BS6">
        <v>7739</v>
      </c>
      <c r="BT6">
        <v>5294.81</v>
      </c>
      <c r="BU6">
        <v>-18.920000000000002</v>
      </c>
      <c r="BV6">
        <v>2735</v>
      </c>
      <c r="BW6">
        <v>1892</v>
      </c>
      <c r="BX6">
        <v>843</v>
      </c>
      <c r="BY6">
        <v>1861</v>
      </c>
      <c r="BZ6">
        <v>1456.84</v>
      </c>
      <c r="CA6">
        <v>1688</v>
      </c>
      <c r="CB6">
        <v>1433.73</v>
      </c>
      <c r="CC6">
        <v>173</v>
      </c>
      <c r="CD6">
        <v>1728.79</v>
      </c>
      <c r="CE6">
        <v>216</v>
      </c>
      <c r="CF6">
        <v>2158.4899999999998</v>
      </c>
      <c r="CG6">
        <v>58688</v>
      </c>
      <c r="CH6">
        <v>6227.59</v>
      </c>
      <c r="CI6">
        <v>-2.92</v>
      </c>
      <c r="CJ6">
        <v>26721</v>
      </c>
      <c r="CK6">
        <v>16380</v>
      </c>
      <c r="CL6">
        <v>10341</v>
      </c>
      <c r="CM6">
        <v>15878</v>
      </c>
      <c r="CN6">
        <v>1895.94</v>
      </c>
      <c r="CO6">
        <v>14320</v>
      </c>
      <c r="CP6">
        <v>1840.13</v>
      </c>
      <c r="CQ6">
        <v>1558</v>
      </c>
      <c r="CR6">
        <v>2628.65</v>
      </c>
      <c r="CS6">
        <v>2360</v>
      </c>
      <c r="CT6">
        <v>3981.78</v>
      </c>
      <c r="CU6">
        <v>38280</v>
      </c>
      <c r="CV6">
        <v>5073.03</v>
      </c>
      <c r="CW6">
        <v>-7.36</v>
      </c>
      <c r="CX6">
        <v>16455</v>
      </c>
      <c r="CY6">
        <v>11422</v>
      </c>
      <c r="CZ6">
        <v>5033</v>
      </c>
      <c r="DA6">
        <v>11127</v>
      </c>
      <c r="DB6">
        <v>1666.19</v>
      </c>
      <c r="DC6">
        <v>9993</v>
      </c>
      <c r="DD6">
        <v>1611.83</v>
      </c>
      <c r="DE6">
        <v>1134</v>
      </c>
      <c r="DF6">
        <v>2370.9</v>
      </c>
      <c r="DG6">
        <v>1452</v>
      </c>
      <c r="DH6">
        <v>3035.75</v>
      </c>
      <c r="DI6">
        <v>2052925</v>
      </c>
      <c r="DJ6">
        <v>5775.78</v>
      </c>
      <c r="DK6">
        <v>-3.25</v>
      </c>
      <c r="DL6">
        <v>952516</v>
      </c>
      <c r="DM6">
        <v>607852</v>
      </c>
      <c r="DN6">
        <v>344664</v>
      </c>
      <c r="DO6">
        <v>578044</v>
      </c>
      <c r="DP6">
        <v>1867.02</v>
      </c>
      <c r="DQ6">
        <v>526495</v>
      </c>
      <c r="DR6">
        <v>1839.85</v>
      </c>
      <c r="DS6">
        <v>51549</v>
      </c>
      <c r="DT6">
        <v>2198.73</v>
      </c>
      <c r="DU6">
        <v>64978</v>
      </c>
      <c r="DV6">
        <v>2771.52</v>
      </c>
      <c r="DW6">
        <v>547570</v>
      </c>
      <c r="DX6">
        <v>4003.38</v>
      </c>
      <c r="DY6">
        <v>-4.3099999999999996</v>
      </c>
      <c r="DZ6">
        <v>264292</v>
      </c>
      <c r="EA6">
        <v>189283</v>
      </c>
      <c r="EB6">
        <v>75009</v>
      </c>
      <c r="EC6">
        <v>185272</v>
      </c>
      <c r="ED6">
        <v>1552.31</v>
      </c>
      <c r="EE6">
        <v>169045</v>
      </c>
      <c r="EF6">
        <v>1537.12</v>
      </c>
      <c r="EG6">
        <v>16227</v>
      </c>
      <c r="EH6">
        <v>1730.46</v>
      </c>
      <c r="EI6">
        <v>20596</v>
      </c>
      <c r="EJ6">
        <v>2196.37</v>
      </c>
      <c r="EK6">
        <v>107589</v>
      </c>
      <c r="EL6">
        <v>8403.7999999999993</v>
      </c>
      <c r="EM6">
        <v>-3.65</v>
      </c>
      <c r="EN6">
        <v>56314</v>
      </c>
      <c r="EO6">
        <v>32040</v>
      </c>
      <c r="EP6">
        <v>24274</v>
      </c>
      <c r="EQ6">
        <v>30798</v>
      </c>
      <c r="ER6">
        <v>2826.46</v>
      </c>
      <c r="ES6">
        <v>26437</v>
      </c>
      <c r="ET6">
        <v>2666.85</v>
      </c>
      <c r="EU6">
        <v>4361</v>
      </c>
      <c r="EV6">
        <v>4435.79</v>
      </c>
      <c r="EW6">
        <v>4133</v>
      </c>
      <c r="EX6">
        <v>4203.88</v>
      </c>
      <c r="EY6">
        <v>136028</v>
      </c>
      <c r="EZ6">
        <v>12120.65</v>
      </c>
      <c r="FA6">
        <v>-3.27</v>
      </c>
      <c r="FB6">
        <v>77453</v>
      </c>
      <c r="FC6">
        <v>52661</v>
      </c>
      <c r="FD6">
        <v>24792</v>
      </c>
      <c r="FE6">
        <v>52589</v>
      </c>
      <c r="FF6">
        <v>5533.06</v>
      </c>
      <c r="FG6">
        <v>44881</v>
      </c>
      <c r="FH6">
        <v>5170.08</v>
      </c>
      <c r="FI6">
        <v>7708</v>
      </c>
      <c r="FJ6">
        <v>9358.91</v>
      </c>
      <c r="FK6">
        <v>4321</v>
      </c>
      <c r="FL6">
        <v>5246.48</v>
      </c>
      <c r="FM6">
        <v>399707</v>
      </c>
      <c r="FN6">
        <v>8617.32</v>
      </c>
      <c r="FO6">
        <v>0.8</v>
      </c>
      <c r="FP6">
        <v>132880</v>
      </c>
      <c r="FQ6">
        <v>66038</v>
      </c>
      <c r="FR6">
        <v>66842</v>
      </c>
      <c r="FS6">
        <v>65555</v>
      </c>
      <c r="FT6">
        <v>1599.51</v>
      </c>
      <c r="FU6">
        <v>61988</v>
      </c>
      <c r="FV6">
        <v>1630.81</v>
      </c>
      <c r="FW6">
        <v>3567</v>
      </c>
      <c r="FX6">
        <v>1199.53</v>
      </c>
      <c r="FY6">
        <v>8632</v>
      </c>
      <c r="FZ6">
        <v>2902.81</v>
      </c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</row>
    <row r="7" spans="1:202" s="3" customFormat="1">
      <c r="A7" s="1">
        <v>2015</v>
      </c>
      <c r="B7" s="3">
        <v>54445</v>
      </c>
      <c r="C7" s="3">
        <v>14332</v>
      </c>
      <c r="D7" s="1"/>
      <c r="O7">
        <v>9696</v>
      </c>
      <c r="P7">
        <v>25905.74</v>
      </c>
      <c r="Q7">
        <v>-1.53</v>
      </c>
      <c r="R7">
        <v>6026</v>
      </c>
      <c r="S7">
        <v>1577</v>
      </c>
      <c r="T7">
        <v>4449</v>
      </c>
      <c r="U7">
        <v>1507</v>
      </c>
      <c r="V7">
        <v>4670.7</v>
      </c>
      <c r="W7">
        <v>1358</v>
      </c>
      <c r="X7">
        <v>4556.4399999999996</v>
      </c>
      <c r="Y7">
        <v>149</v>
      </c>
      <c r="Z7">
        <v>6054.45</v>
      </c>
      <c r="AA7">
        <v>647</v>
      </c>
      <c r="AB7">
        <v>26290.13</v>
      </c>
      <c r="AC7">
        <v>20784</v>
      </c>
      <c r="AD7">
        <v>47142.080000000002</v>
      </c>
      <c r="AE7">
        <v>1.26</v>
      </c>
      <c r="AF7">
        <v>14052</v>
      </c>
      <c r="AG7">
        <v>2717</v>
      </c>
      <c r="AH7">
        <v>11335</v>
      </c>
      <c r="AI7">
        <v>2626</v>
      </c>
      <c r="AJ7">
        <v>7255.95</v>
      </c>
      <c r="AK7">
        <v>2459</v>
      </c>
      <c r="AL7">
        <v>7411.76</v>
      </c>
      <c r="AM7">
        <v>167</v>
      </c>
      <c r="AN7">
        <v>5540.81</v>
      </c>
      <c r="AO7">
        <v>660</v>
      </c>
      <c r="AP7">
        <v>21897.81</v>
      </c>
      <c r="AQ7">
        <v>12555</v>
      </c>
      <c r="AR7">
        <v>34006.879999999997</v>
      </c>
      <c r="AS7">
        <v>4.2699999999999996</v>
      </c>
      <c r="AT7">
        <v>9834</v>
      </c>
      <c r="AU7">
        <v>2234</v>
      </c>
      <c r="AV7">
        <v>7600</v>
      </c>
      <c r="AW7">
        <v>2034</v>
      </c>
      <c r="AX7">
        <v>7429.59</v>
      </c>
      <c r="AY7">
        <v>1877</v>
      </c>
      <c r="AZ7">
        <v>7960.81</v>
      </c>
      <c r="BA7">
        <v>157</v>
      </c>
      <c r="BB7">
        <v>4132.67</v>
      </c>
      <c r="BC7">
        <v>710</v>
      </c>
      <c r="BD7">
        <v>18689.13</v>
      </c>
      <c r="BE7">
        <v>33545</v>
      </c>
      <c r="BF7">
        <v>6356.16</v>
      </c>
      <c r="BG7">
        <v>2.39</v>
      </c>
      <c r="BH7">
        <v>12383</v>
      </c>
      <c r="BI7">
        <v>8051</v>
      </c>
      <c r="BJ7">
        <v>4332</v>
      </c>
      <c r="BK7">
        <v>8056</v>
      </c>
      <c r="BL7">
        <v>1722.01</v>
      </c>
      <c r="BM7">
        <v>7299</v>
      </c>
      <c r="BN7">
        <v>1674.94</v>
      </c>
      <c r="BO7">
        <v>757</v>
      </c>
      <c r="BP7">
        <v>2362.08</v>
      </c>
      <c r="BQ7">
        <v>881</v>
      </c>
      <c r="BR7">
        <v>2749</v>
      </c>
      <c r="BS7">
        <v>6849</v>
      </c>
      <c r="BT7">
        <v>4676.78</v>
      </c>
      <c r="BU7">
        <v>-11.67</v>
      </c>
      <c r="BV7">
        <v>2365</v>
      </c>
      <c r="BW7">
        <v>1682</v>
      </c>
      <c r="BX7">
        <v>683</v>
      </c>
      <c r="BY7">
        <v>1635</v>
      </c>
      <c r="BZ7">
        <v>1278.81</v>
      </c>
      <c r="CA7">
        <v>1491</v>
      </c>
      <c r="CB7">
        <v>1262.9000000000001</v>
      </c>
      <c r="CC7">
        <v>144</v>
      </c>
      <c r="CD7">
        <v>1470.74</v>
      </c>
      <c r="CE7">
        <v>158</v>
      </c>
      <c r="CF7">
        <v>1613.73</v>
      </c>
      <c r="CG7">
        <v>53193</v>
      </c>
      <c r="CH7">
        <v>5640.82</v>
      </c>
      <c r="CI7">
        <v>-9.42</v>
      </c>
      <c r="CJ7">
        <v>24784</v>
      </c>
      <c r="CK7">
        <v>15049</v>
      </c>
      <c r="CL7">
        <v>9735</v>
      </c>
      <c r="CM7">
        <v>14468</v>
      </c>
      <c r="CN7">
        <v>1726.49</v>
      </c>
      <c r="CO7">
        <v>13199</v>
      </c>
      <c r="CP7">
        <v>1691.94</v>
      </c>
      <c r="CQ7">
        <v>1269</v>
      </c>
      <c r="CR7">
        <v>2192.0500000000002</v>
      </c>
      <c r="CS7">
        <v>2047</v>
      </c>
      <c r="CT7">
        <v>3535.96</v>
      </c>
      <c r="CU7">
        <v>41597</v>
      </c>
      <c r="CV7">
        <v>5517.79</v>
      </c>
      <c r="CW7">
        <v>8.77</v>
      </c>
      <c r="CX7">
        <v>15845</v>
      </c>
      <c r="CY7">
        <v>11384</v>
      </c>
      <c r="CZ7">
        <v>4461</v>
      </c>
      <c r="DA7">
        <v>11025</v>
      </c>
      <c r="DB7">
        <v>1651.55</v>
      </c>
      <c r="DC7">
        <v>9954</v>
      </c>
      <c r="DD7">
        <v>1604.72</v>
      </c>
      <c r="DE7">
        <v>1071</v>
      </c>
      <c r="DF7">
        <v>2266.14</v>
      </c>
      <c r="DG7">
        <v>1198</v>
      </c>
      <c r="DH7">
        <v>2534.86</v>
      </c>
      <c r="DI7">
        <v>2111021</v>
      </c>
      <c r="DJ7">
        <v>5888.19</v>
      </c>
      <c r="DK7">
        <v>1.95</v>
      </c>
      <c r="DL7">
        <v>945130</v>
      </c>
      <c r="DM7">
        <v>613102</v>
      </c>
      <c r="DN7">
        <v>332028</v>
      </c>
      <c r="DO7">
        <v>584092</v>
      </c>
      <c r="DP7">
        <v>1870.9</v>
      </c>
      <c r="DQ7">
        <v>534583</v>
      </c>
      <c r="DR7">
        <v>1849.59</v>
      </c>
      <c r="DS7">
        <v>49509</v>
      </c>
      <c r="DT7">
        <v>2136.7800000000002</v>
      </c>
      <c r="DU7">
        <v>61240</v>
      </c>
      <c r="DV7">
        <v>2643.08</v>
      </c>
      <c r="DW7">
        <v>550391</v>
      </c>
      <c r="DX7">
        <v>3990.64</v>
      </c>
      <c r="DY7">
        <v>-0.32</v>
      </c>
      <c r="DZ7">
        <v>264707</v>
      </c>
      <c r="EA7">
        <v>189947</v>
      </c>
      <c r="EB7">
        <v>74760</v>
      </c>
      <c r="EC7">
        <v>185175</v>
      </c>
      <c r="ED7">
        <v>1537.73</v>
      </c>
      <c r="EE7">
        <v>169732</v>
      </c>
      <c r="EF7">
        <v>1526.68</v>
      </c>
      <c r="EG7">
        <v>15443</v>
      </c>
      <c r="EH7">
        <v>1670.58</v>
      </c>
      <c r="EI7">
        <v>19863</v>
      </c>
      <c r="EJ7">
        <v>2148.7199999999998</v>
      </c>
      <c r="EK7">
        <v>113643</v>
      </c>
      <c r="EL7">
        <v>8786.5300000000007</v>
      </c>
      <c r="EM7">
        <v>4.55</v>
      </c>
      <c r="EN7">
        <v>56670</v>
      </c>
      <c r="EO7">
        <v>32708</v>
      </c>
      <c r="EP7">
        <v>23962</v>
      </c>
      <c r="EQ7">
        <v>31236</v>
      </c>
      <c r="ER7">
        <v>2839.24</v>
      </c>
      <c r="ES7">
        <v>26797</v>
      </c>
      <c r="ET7">
        <v>2673.34</v>
      </c>
      <c r="EU7">
        <v>4439</v>
      </c>
      <c r="EV7">
        <v>4539.97</v>
      </c>
      <c r="EW7">
        <v>4175</v>
      </c>
      <c r="EX7">
        <v>4269.96</v>
      </c>
      <c r="EY7">
        <v>144047</v>
      </c>
      <c r="EZ7">
        <v>12706.62</v>
      </c>
      <c r="FA7">
        <v>4.83</v>
      </c>
      <c r="FB7">
        <v>77236</v>
      </c>
      <c r="FC7">
        <v>52743</v>
      </c>
      <c r="FD7">
        <v>24493</v>
      </c>
      <c r="FE7">
        <v>52654</v>
      </c>
      <c r="FF7">
        <v>5496.84</v>
      </c>
      <c r="FG7">
        <v>45417</v>
      </c>
      <c r="FH7">
        <v>5185.26</v>
      </c>
      <c r="FI7">
        <v>7237</v>
      </c>
      <c r="FJ7">
        <v>8824.64</v>
      </c>
      <c r="FK7">
        <v>4330</v>
      </c>
      <c r="FL7">
        <v>5279.91</v>
      </c>
      <c r="FM7">
        <v>412078</v>
      </c>
      <c r="FN7">
        <v>8799.18</v>
      </c>
      <c r="FO7">
        <v>2.11</v>
      </c>
      <c r="FP7">
        <v>130226</v>
      </c>
      <c r="FQ7">
        <v>68969</v>
      </c>
      <c r="FR7">
        <v>61257</v>
      </c>
      <c r="FS7">
        <v>68131</v>
      </c>
      <c r="FT7">
        <v>1645.77</v>
      </c>
      <c r="FU7">
        <v>64504</v>
      </c>
      <c r="FV7">
        <v>1677.68</v>
      </c>
      <c r="FW7">
        <v>3627</v>
      </c>
      <c r="FX7">
        <v>1229.81</v>
      </c>
      <c r="FY7">
        <v>7409</v>
      </c>
      <c r="FZ7">
        <v>2512.17</v>
      </c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</row>
    <row r="8" spans="1:202">
      <c r="A8" s="1"/>
      <c r="N8" s="1"/>
    </row>
    <row r="9" spans="1:202">
      <c r="A9" s="1" t="s">
        <v>52</v>
      </c>
      <c r="B9">
        <f>AVERAGE(B2:B7)</f>
        <v>55271.166666666664</v>
      </c>
      <c r="C9">
        <f>AVERAGE(C2:C7)</f>
        <v>13867.166666666666</v>
      </c>
      <c r="D9" s="1" t="s">
        <v>303</v>
      </c>
      <c r="E9">
        <f>AVERAGE(E2:E6)</f>
        <v>61.2</v>
      </c>
      <c r="F9">
        <f t="shared" ref="F9:M9" si="0">AVERAGE(F2:F6)</f>
        <v>5</v>
      </c>
      <c r="G9">
        <f t="shared" si="0"/>
        <v>11.4</v>
      </c>
      <c r="H9">
        <f t="shared" si="0"/>
        <v>17.8</v>
      </c>
      <c r="I9">
        <f t="shared" si="0"/>
        <v>4.5999999999999996</v>
      </c>
      <c r="J9">
        <f t="shared" si="0"/>
        <v>2.2000000000000002</v>
      </c>
      <c r="K9">
        <f t="shared" si="0"/>
        <v>9.4</v>
      </c>
      <c r="L9">
        <f t="shared" si="0"/>
        <v>8.8000000000000007</v>
      </c>
      <c r="M9">
        <f t="shared" si="0"/>
        <v>2</v>
      </c>
      <c r="N9" s="1" t="s">
        <v>306</v>
      </c>
      <c r="O9">
        <f>AVERAGE(O3:O7)</f>
        <v>9018.2000000000007</v>
      </c>
      <c r="P9">
        <f t="shared" ref="P9:CA9" si="1">AVERAGE(P3:P7)</f>
        <v>24689.376</v>
      </c>
      <c r="Q9">
        <f t="shared" si="1"/>
        <v>2.5339999999999998</v>
      </c>
      <c r="R9">
        <f t="shared" si="1"/>
        <v>5681</v>
      </c>
      <c r="S9">
        <f t="shared" si="1"/>
        <v>1629.6</v>
      </c>
      <c r="T9">
        <f t="shared" si="1"/>
        <v>4051.4</v>
      </c>
      <c r="U9">
        <f t="shared" si="1"/>
        <v>1594.2</v>
      </c>
      <c r="V9">
        <f t="shared" si="1"/>
        <v>5055.1740000000009</v>
      </c>
      <c r="W9">
        <f t="shared" si="1"/>
        <v>1454.4</v>
      </c>
      <c r="X9">
        <f t="shared" si="1"/>
        <v>5008.7860000000001</v>
      </c>
      <c r="Y9">
        <f t="shared" si="1"/>
        <v>139.80000000000001</v>
      </c>
      <c r="Z9">
        <f t="shared" si="1"/>
        <v>5609.9539999999997</v>
      </c>
      <c r="AA9">
        <f t="shared" si="1"/>
        <v>464.2</v>
      </c>
      <c r="AB9">
        <f t="shared" si="1"/>
        <v>18657.306</v>
      </c>
      <c r="AC9">
        <f t="shared" si="1"/>
        <v>21526</v>
      </c>
      <c r="AD9">
        <f t="shared" si="1"/>
        <v>49134.253999999994</v>
      </c>
      <c r="AE9">
        <f t="shared" si="1"/>
        <v>-1.746</v>
      </c>
      <c r="AF9">
        <f t="shared" si="1"/>
        <v>15134.8</v>
      </c>
      <c r="AG9">
        <f t="shared" si="1"/>
        <v>2897</v>
      </c>
      <c r="AH9">
        <f t="shared" si="1"/>
        <v>12237.8</v>
      </c>
      <c r="AI9">
        <f t="shared" si="1"/>
        <v>2775.4</v>
      </c>
      <c r="AJ9">
        <f t="shared" si="1"/>
        <v>7679.7800000000007</v>
      </c>
      <c r="AK9">
        <f t="shared" si="1"/>
        <v>2533</v>
      </c>
      <c r="AL9">
        <f t="shared" si="1"/>
        <v>7747.2960000000003</v>
      </c>
      <c r="AM9">
        <f t="shared" si="1"/>
        <v>242.4</v>
      </c>
      <c r="AN9">
        <f t="shared" si="1"/>
        <v>6984.1479999999992</v>
      </c>
      <c r="AO9">
        <f t="shared" si="1"/>
        <v>902.8</v>
      </c>
      <c r="AP9">
        <f t="shared" si="1"/>
        <v>26158.25</v>
      </c>
      <c r="AQ9">
        <f t="shared" si="1"/>
        <v>12832.2</v>
      </c>
      <c r="AR9">
        <f t="shared" si="1"/>
        <v>36246.600000000006</v>
      </c>
      <c r="AS9">
        <f t="shared" si="1"/>
        <v>-3.4420000000000002</v>
      </c>
      <c r="AT9">
        <f t="shared" si="1"/>
        <v>10270.200000000001</v>
      </c>
      <c r="AU9">
        <f t="shared" si="1"/>
        <v>2673.8</v>
      </c>
      <c r="AV9">
        <f t="shared" si="1"/>
        <v>7596.4</v>
      </c>
      <c r="AW9">
        <f t="shared" si="1"/>
        <v>2424.6</v>
      </c>
      <c r="AX9">
        <f t="shared" si="1"/>
        <v>9265.6739999999991</v>
      </c>
      <c r="AY9">
        <f t="shared" si="1"/>
        <v>2204.1999999999998</v>
      </c>
      <c r="AZ9">
        <f t="shared" si="1"/>
        <v>9864.7939999999999</v>
      </c>
      <c r="BA9">
        <f t="shared" si="1"/>
        <v>220.4</v>
      </c>
      <c r="BB9">
        <f t="shared" si="1"/>
        <v>5758.2160000000003</v>
      </c>
      <c r="BC9">
        <f t="shared" si="1"/>
        <v>734.8</v>
      </c>
      <c r="BD9">
        <f t="shared" si="1"/>
        <v>19232.052</v>
      </c>
      <c r="BE9">
        <f t="shared" si="1"/>
        <v>35018.6</v>
      </c>
      <c r="BF9">
        <f t="shared" si="1"/>
        <v>6641.2140000000018</v>
      </c>
      <c r="BG9">
        <f t="shared" si="1"/>
        <v>-3.2960000000000003</v>
      </c>
      <c r="BH9">
        <f t="shared" si="1"/>
        <v>13756.4</v>
      </c>
      <c r="BI9">
        <f t="shared" si="1"/>
        <v>8496.2000000000007</v>
      </c>
      <c r="BJ9">
        <f t="shared" si="1"/>
        <v>5260.2</v>
      </c>
      <c r="BK9">
        <f t="shared" si="1"/>
        <v>8454.2000000000007</v>
      </c>
      <c r="BL9">
        <f t="shared" si="1"/>
        <v>1810.136</v>
      </c>
      <c r="BM9">
        <f t="shared" si="1"/>
        <v>7608.6</v>
      </c>
      <c r="BN9">
        <f t="shared" si="1"/>
        <v>1753.596</v>
      </c>
      <c r="BO9">
        <f t="shared" si="1"/>
        <v>845.6</v>
      </c>
      <c r="BP9">
        <f t="shared" si="1"/>
        <v>2545.402</v>
      </c>
      <c r="BQ9">
        <f t="shared" si="1"/>
        <v>1133.5999999999999</v>
      </c>
      <c r="BR9">
        <f t="shared" si="1"/>
        <v>3405.5479999999998</v>
      </c>
      <c r="BS9">
        <f t="shared" si="1"/>
        <v>9052.7999999999993</v>
      </c>
      <c r="BT9">
        <f t="shared" si="1"/>
        <v>6228.5640000000003</v>
      </c>
      <c r="BU9">
        <f t="shared" si="1"/>
        <v>-7.7640000000000002</v>
      </c>
      <c r="BV9">
        <f t="shared" si="1"/>
        <v>3125</v>
      </c>
      <c r="BW9">
        <f t="shared" si="1"/>
        <v>2033.4</v>
      </c>
      <c r="BX9">
        <f t="shared" si="1"/>
        <v>1091.5999999999999</v>
      </c>
      <c r="BY9">
        <f t="shared" si="1"/>
        <v>2000</v>
      </c>
      <c r="BZ9">
        <f t="shared" si="1"/>
        <v>1572.3580000000002</v>
      </c>
      <c r="CA9">
        <f t="shared" si="1"/>
        <v>1788.2</v>
      </c>
      <c r="CB9">
        <f t="shared" ref="CB9:EM9" si="2">AVERAGE(CB3:CB7)</f>
        <v>1531.2719999999997</v>
      </c>
      <c r="CC9">
        <f t="shared" si="2"/>
        <v>211.8</v>
      </c>
      <c r="CD9">
        <f t="shared" si="2"/>
        <v>2026.2539999999997</v>
      </c>
      <c r="CE9">
        <f t="shared" si="2"/>
        <v>301.39999999999998</v>
      </c>
      <c r="CF9">
        <f t="shared" si="2"/>
        <v>2862.68</v>
      </c>
      <c r="CG9">
        <f t="shared" si="2"/>
        <v>61842.6</v>
      </c>
      <c r="CH9">
        <f t="shared" si="2"/>
        <v>6553.8239999999987</v>
      </c>
      <c r="CI9">
        <f t="shared" si="2"/>
        <v>-6.3120000000000003</v>
      </c>
      <c r="CJ9">
        <f t="shared" si="2"/>
        <v>28908</v>
      </c>
      <c r="CK9">
        <f t="shared" si="2"/>
        <v>17143.8</v>
      </c>
      <c r="CL9">
        <f t="shared" si="2"/>
        <v>11764.2</v>
      </c>
      <c r="CM9">
        <f t="shared" si="2"/>
        <v>16845.599999999999</v>
      </c>
      <c r="CN9">
        <f t="shared" si="2"/>
        <v>2010.904</v>
      </c>
      <c r="CO9">
        <f t="shared" si="2"/>
        <v>14865.6</v>
      </c>
      <c r="CP9">
        <f t="shared" si="2"/>
        <v>1914.4</v>
      </c>
      <c r="CQ9">
        <f t="shared" si="2"/>
        <v>1980</v>
      </c>
      <c r="CR9">
        <f t="shared" si="2"/>
        <v>3216.8779999999997</v>
      </c>
      <c r="CS9">
        <f t="shared" si="2"/>
        <v>3017.8</v>
      </c>
      <c r="CT9">
        <f t="shared" si="2"/>
        <v>4907.2420000000002</v>
      </c>
      <c r="CU9">
        <f t="shared" si="2"/>
        <v>42913.599999999999</v>
      </c>
      <c r="CV9">
        <f t="shared" si="2"/>
        <v>5681.192</v>
      </c>
      <c r="CW9">
        <f t="shared" si="2"/>
        <v>-2.4340000000000002</v>
      </c>
      <c r="CX9">
        <f t="shared" si="2"/>
        <v>18250.400000000001</v>
      </c>
      <c r="CY9">
        <f t="shared" si="2"/>
        <v>12333.8</v>
      </c>
      <c r="CZ9">
        <f t="shared" si="2"/>
        <v>5916.6</v>
      </c>
      <c r="DA9">
        <f t="shared" si="2"/>
        <v>12022.2</v>
      </c>
      <c r="DB9">
        <f t="shared" si="2"/>
        <v>1799.5</v>
      </c>
      <c r="DC9">
        <f t="shared" si="2"/>
        <v>10686.8</v>
      </c>
      <c r="DD9">
        <f t="shared" si="2"/>
        <v>1727.0259999999998</v>
      </c>
      <c r="DE9">
        <f t="shared" si="2"/>
        <v>1335.4</v>
      </c>
      <c r="DF9">
        <f t="shared" si="2"/>
        <v>2701.942</v>
      </c>
      <c r="DG9">
        <f t="shared" si="2"/>
        <v>1714.6</v>
      </c>
      <c r="DH9">
        <f t="shared" si="2"/>
        <v>3463.4919999999997</v>
      </c>
      <c r="DI9">
        <f t="shared" si="2"/>
        <v>2156619.4</v>
      </c>
      <c r="DJ9">
        <f t="shared" si="2"/>
        <v>6143.9219999999996</v>
      </c>
      <c r="DK9">
        <f t="shared" si="2"/>
        <v>-3.3380000000000001</v>
      </c>
      <c r="DL9">
        <f t="shared" si="2"/>
        <v>1001342.8</v>
      </c>
      <c r="DM9">
        <f t="shared" si="2"/>
        <v>633229.6</v>
      </c>
      <c r="DN9">
        <f t="shared" si="2"/>
        <v>368113.2</v>
      </c>
      <c r="DO9">
        <f t="shared" si="2"/>
        <v>603282</v>
      </c>
      <c r="DP9">
        <f t="shared" si="2"/>
        <v>1973.5459999999998</v>
      </c>
      <c r="DQ9">
        <f t="shared" si="2"/>
        <v>543375.19999999995</v>
      </c>
      <c r="DR9">
        <f t="shared" si="2"/>
        <v>1928.7560000000001</v>
      </c>
      <c r="DS9">
        <f t="shared" si="2"/>
        <v>59906.8</v>
      </c>
      <c r="DT9">
        <f t="shared" si="2"/>
        <v>2490.3980000000001</v>
      </c>
      <c r="DU9">
        <f t="shared" si="2"/>
        <v>75973</v>
      </c>
      <c r="DV9">
        <f t="shared" si="2"/>
        <v>3156.7539999999999</v>
      </c>
      <c r="DW9">
        <f t="shared" si="2"/>
        <v>583910</v>
      </c>
      <c r="DX9">
        <f t="shared" si="2"/>
        <v>4317.2759999999998</v>
      </c>
      <c r="DY9">
        <f t="shared" si="2"/>
        <v>-4.6440000000000001</v>
      </c>
      <c r="DZ9">
        <f t="shared" si="2"/>
        <v>280050.40000000002</v>
      </c>
      <c r="EA9">
        <f t="shared" si="2"/>
        <v>199391</v>
      </c>
      <c r="EB9">
        <f t="shared" si="2"/>
        <v>80659.399999999994</v>
      </c>
      <c r="EC9">
        <f t="shared" si="2"/>
        <v>195746</v>
      </c>
      <c r="ED9">
        <f t="shared" si="2"/>
        <v>1660.614</v>
      </c>
      <c r="EE9">
        <f t="shared" si="2"/>
        <v>176077.8</v>
      </c>
      <c r="EF9">
        <f t="shared" si="2"/>
        <v>1626.2040000000002</v>
      </c>
      <c r="EG9">
        <f t="shared" si="2"/>
        <v>19668.2</v>
      </c>
      <c r="EH9">
        <f t="shared" si="2"/>
        <v>2037.1479999999999</v>
      </c>
      <c r="EI9">
        <f t="shared" si="2"/>
        <v>23990</v>
      </c>
      <c r="EJ9">
        <f t="shared" si="2"/>
        <v>2487.4479999999999</v>
      </c>
      <c r="EK9">
        <f t="shared" si="2"/>
        <v>115025.4</v>
      </c>
      <c r="EL9">
        <f t="shared" si="2"/>
        <v>9104.0299999999988</v>
      </c>
      <c r="EM9">
        <f t="shared" si="2"/>
        <v>-3.6380000000000003</v>
      </c>
      <c r="EN9">
        <f t="shared" ref="EN9:FZ9" si="3">AVERAGE(EN3:EN7)</f>
        <v>58662.6</v>
      </c>
      <c r="EO9">
        <f t="shared" si="3"/>
        <v>33514</v>
      </c>
      <c r="EP9">
        <f t="shared" si="3"/>
        <v>25148.6</v>
      </c>
      <c r="EQ9">
        <f t="shared" si="3"/>
        <v>32739.4</v>
      </c>
      <c r="ER9">
        <f t="shared" si="3"/>
        <v>3045.4999999999995</v>
      </c>
      <c r="ES9">
        <f t="shared" si="3"/>
        <v>27749.4</v>
      </c>
      <c r="ET9">
        <f t="shared" si="3"/>
        <v>2844.1660000000002</v>
      </c>
      <c r="EU9">
        <f t="shared" si="3"/>
        <v>4990</v>
      </c>
      <c r="EV9">
        <f t="shared" si="3"/>
        <v>5013.228000000001</v>
      </c>
      <c r="EW9">
        <f t="shared" si="3"/>
        <v>4454</v>
      </c>
      <c r="EX9">
        <f t="shared" si="3"/>
        <v>4476.74</v>
      </c>
      <c r="EY9">
        <f t="shared" si="3"/>
        <v>143291.6</v>
      </c>
      <c r="EZ9">
        <f t="shared" si="3"/>
        <v>13003.592000000001</v>
      </c>
      <c r="FA9">
        <f t="shared" si="3"/>
        <v>-2.266</v>
      </c>
      <c r="FB9">
        <f t="shared" si="3"/>
        <v>82723.600000000006</v>
      </c>
      <c r="FC9">
        <f t="shared" si="3"/>
        <v>53287.6</v>
      </c>
      <c r="FD9">
        <f t="shared" si="3"/>
        <v>29436</v>
      </c>
      <c r="FE9">
        <f t="shared" si="3"/>
        <v>53287.8</v>
      </c>
      <c r="FF9">
        <f t="shared" si="3"/>
        <v>5701.17</v>
      </c>
      <c r="FG9">
        <f t="shared" si="3"/>
        <v>45082.400000000001</v>
      </c>
      <c r="FH9">
        <f t="shared" si="3"/>
        <v>5291.402</v>
      </c>
      <c r="FI9">
        <f t="shared" si="3"/>
        <v>8205.4</v>
      </c>
      <c r="FJ9">
        <f t="shared" si="3"/>
        <v>9889.2459999999992</v>
      </c>
      <c r="FK9">
        <f t="shared" si="3"/>
        <v>5531.8</v>
      </c>
      <c r="FL9">
        <f t="shared" si="3"/>
        <v>6659.4660000000003</v>
      </c>
      <c r="FM9">
        <f t="shared" si="3"/>
        <v>406858</v>
      </c>
      <c r="FN9">
        <f t="shared" si="3"/>
        <v>8868.4639999999999</v>
      </c>
      <c r="FO9">
        <f t="shared" si="3"/>
        <v>-2.1100000000000003</v>
      </c>
      <c r="FP9">
        <f t="shared" si="3"/>
        <v>141058.4</v>
      </c>
      <c r="FQ9">
        <f t="shared" si="3"/>
        <v>70440.399999999994</v>
      </c>
      <c r="FR9">
        <f t="shared" si="3"/>
        <v>70618</v>
      </c>
      <c r="FS9">
        <f t="shared" si="3"/>
        <v>70335.399999999994</v>
      </c>
      <c r="FT9">
        <f t="shared" si="3"/>
        <v>1737.848</v>
      </c>
      <c r="FU9">
        <f t="shared" si="3"/>
        <v>65844</v>
      </c>
      <c r="FV9">
        <f t="shared" si="3"/>
        <v>1759.1080000000002</v>
      </c>
      <c r="FW9">
        <f t="shared" si="3"/>
        <v>4491.3999999999996</v>
      </c>
      <c r="FX9">
        <f t="shared" si="3"/>
        <v>1470.8259999999998</v>
      </c>
      <c r="FY9">
        <f t="shared" si="3"/>
        <v>10294.799999999999</v>
      </c>
      <c r="FZ9">
        <f t="shared" si="3"/>
        <v>3369.9580000000001</v>
      </c>
    </row>
    <row r="10" spans="1:202">
      <c r="A10" s="1" t="s">
        <v>53</v>
      </c>
      <c r="B10">
        <f>_xlfn.VAR.P(B2:B7)</f>
        <v>299589.80555555556</v>
      </c>
      <c r="C10">
        <f>_xlfn.VAR.P(C2:C7)</f>
        <v>121782.80555555555</v>
      </c>
      <c r="D10" s="1" t="s">
        <v>302</v>
      </c>
      <c r="E10">
        <f>_xlfn.VAR.P(E2:E6)</f>
        <v>54.96</v>
      </c>
      <c r="F10">
        <f t="shared" ref="F10:M10" si="4">_xlfn.VAR.P(F2:F6)</f>
        <v>3.6</v>
      </c>
      <c r="G10">
        <f t="shared" si="4"/>
        <v>1.84</v>
      </c>
      <c r="H10">
        <f t="shared" si="4"/>
        <v>20.56</v>
      </c>
      <c r="I10">
        <f t="shared" si="4"/>
        <v>13.44</v>
      </c>
      <c r="J10">
        <f t="shared" si="4"/>
        <v>0.56000000000000005</v>
      </c>
      <c r="K10">
        <f t="shared" si="4"/>
        <v>4.24</v>
      </c>
      <c r="L10">
        <f t="shared" si="4"/>
        <v>8.56</v>
      </c>
      <c r="M10">
        <f t="shared" si="4"/>
        <v>0.8</v>
      </c>
      <c r="N10" s="1" t="s">
        <v>307</v>
      </c>
      <c r="O10">
        <f>_xlfn.VAR.P(O3:O7)</f>
        <v>590405.36</v>
      </c>
      <c r="P10">
        <f t="shared" ref="P10:CA10" si="5">_xlfn.VAR.P(P3:P7)</f>
        <v>2958492.1334640021</v>
      </c>
      <c r="Q10">
        <f t="shared" si="5"/>
        <v>41.025903999999997</v>
      </c>
      <c r="R10">
        <f t="shared" si="5"/>
        <v>193883.2</v>
      </c>
      <c r="S10">
        <f t="shared" si="5"/>
        <v>2578.6400000000003</v>
      </c>
      <c r="T10">
        <f t="shared" si="5"/>
        <v>201427.04</v>
      </c>
      <c r="U10">
        <f t="shared" si="5"/>
        <v>5409.36</v>
      </c>
      <c r="V10">
        <f t="shared" si="5"/>
        <v>86445.867104000019</v>
      </c>
      <c r="W10">
        <f t="shared" si="5"/>
        <v>5600.24</v>
      </c>
      <c r="X10">
        <f t="shared" si="5"/>
        <v>109531.68502400012</v>
      </c>
      <c r="Y10">
        <f t="shared" si="5"/>
        <v>102.96000000000001</v>
      </c>
      <c r="Z10">
        <f t="shared" si="5"/>
        <v>187157.07290400006</v>
      </c>
      <c r="AA10">
        <f t="shared" si="5"/>
        <v>10784.96</v>
      </c>
      <c r="AB10">
        <f t="shared" si="5"/>
        <v>18842925.141944122</v>
      </c>
      <c r="AC10">
        <f t="shared" si="5"/>
        <v>787209.2</v>
      </c>
      <c r="AD10">
        <f t="shared" si="5"/>
        <v>5116070.5795439985</v>
      </c>
      <c r="AE10">
        <f t="shared" si="5"/>
        <v>7.5014240000000019</v>
      </c>
      <c r="AF10">
        <f t="shared" si="5"/>
        <v>982848.96</v>
      </c>
      <c r="AG10">
        <f t="shared" si="5"/>
        <v>121004.8</v>
      </c>
      <c r="AH10">
        <f t="shared" si="5"/>
        <v>485237.75999999995</v>
      </c>
      <c r="AI10">
        <f t="shared" si="5"/>
        <v>104739.84</v>
      </c>
      <c r="AJ10">
        <f t="shared" si="5"/>
        <v>824203.38919999124</v>
      </c>
      <c r="AK10">
        <f t="shared" si="5"/>
        <v>68940.800000000003</v>
      </c>
      <c r="AL10">
        <f t="shared" si="5"/>
        <v>772336.92954399111</v>
      </c>
      <c r="AM10">
        <f t="shared" si="5"/>
        <v>4503.84</v>
      </c>
      <c r="AN10">
        <f t="shared" si="5"/>
        <v>1740564.9584560012</v>
      </c>
      <c r="AO10">
        <f t="shared" si="5"/>
        <v>36026.160000000003</v>
      </c>
      <c r="AP10">
        <f t="shared" si="5"/>
        <v>11311844.572120056</v>
      </c>
      <c r="AQ10">
        <f t="shared" si="5"/>
        <v>701778.15999999992</v>
      </c>
      <c r="AR10">
        <f t="shared" si="5"/>
        <v>9895449.4881200008</v>
      </c>
      <c r="AS10">
        <f t="shared" si="5"/>
        <v>45.614576</v>
      </c>
      <c r="AT10">
        <f t="shared" si="5"/>
        <v>610096.96</v>
      </c>
      <c r="AU10">
        <f t="shared" si="5"/>
        <v>97658.559999999998</v>
      </c>
      <c r="AV10">
        <f t="shared" si="5"/>
        <v>317581.83999999997</v>
      </c>
      <c r="AW10">
        <f t="shared" si="5"/>
        <v>77372.639999999999</v>
      </c>
      <c r="AX10">
        <f t="shared" si="5"/>
        <v>1671073.2301840114</v>
      </c>
      <c r="AY10">
        <f t="shared" si="5"/>
        <v>53328.56</v>
      </c>
      <c r="AZ10">
        <f t="shared" si="5"/>
        <v>1800020.1665439797</v>
      </c>
      <c r="BA10">
        <f t="shared" si="5"/>
        <v>2316.64</v>
      </c>
      <c r="BB10">
        <f t="shared" si="5"/>
        <v>1449958.692224002</v>
      </c>
      <c r="BC10">
        <f t="shared" si="5"/>
        <v>1201.7599999999998</v>
      </c>
      <c r="BD10">
        <f t="shared" si="5"/>
        <v>474685.54177600006</v>
      </c>
      <c r="BE10">
        <f t="shared" si="5"/>
        <v>2788829.8400000003</v>
      </c>
      <c r="BF10">
        <f t="shared" si="5"/>
        <v>110603.80466399989</v>
      </c>
      <c r="BG10">
        <f t="shared" si="5"/>
        <v>10.213504</v>
      </c>
      <c r="BH10">
        <f t="shared" si="5"/>
        <v>621970.6399999999</v>
      </c>
      <c r="BI10">
        <f t="shared" si="5"/>
        <v>67650.16</v>
      </c>
      <c r="BJ10">
        <f t="shared" si="5"/>
        <v>334637.36</v>
      </c>
      <c r="BK10">
        <f t="shared" si="5"/>
        <v>59461.759999999995</v>
      </c>
      <c r="BL10">
        <f t="shared" si="5"/>
        <v>2983.012704000002</v>
      </c>
      <c r="BM10">
        <f t="shared" si="5"/>
        <v>31179.840000000004</v>
      </c>
      <c r="BN10">
        <f t="shared" si="5"/>
        <v>1925.5155440000003</v>
      </c>
      <c r="BO10">
        <f t="shared" si="5"/>
        <v>9777.44</v>
      </c>
      <c r="BP10">
        <f t="shared" si="5"/>
        <v>60687.830056000013</v>
      </c>
      <c r="BQ10">
        <f t="shared" si="5"/>
        <v>39618.239999999998</v>
      </c>
      <c r="BR10">
        <f t="shared" si="5"/>
        <v>258377.23189600228</v>
      </c>
      <c r="BS10">
        <f t="shared" si="5"/>
        <v>2303334.16</v>
      </c>
      <c r="BT10">
        <f t="shared" si="5"/>
        <v>1151412.5824239969</v>
      </c>
      <c r="BU10">
        <f t="shared" si="5"/>
        <v>64.475224000000011</v>
      </c>
      <c r="BV10">
        <f t="shared" si="5"/>
        <v>271946.8</v>
      </c>
      <c r="BW10">
        <f t="shared" si="5"/>
        <v>51269.84</v>
      </c>
      <c r="BX10">
        <f t="shared" si="5"/>
        <v>101859.04</v>
      </c>
      <c r="BY10">
        <f t="shared" si="5"/>
        <v>50376.800000000003</v>
      </c>
      <c r="BZ10">
        <f t="shared" si="5"/>
        <v>32460.623335999251</v>
      </c>
      <c r="CA10">
        <f t="shared" si="5"/>
        <v>33138.160000000003</v>
      </c>
      <c r="CB10">
        <f t="shared" ref="CB10:EM10" si="6">_xlfn.VAR.P(CB3:CB7)</f>
        <v>26827.664216000736</v>
      </c>
      <c r="CC10">
        <f t="shared" si="6"/>
        <v>1983.76</v>
      </c>
      <c r="CD10">
        <f t="shared" si="6"/>
        <v>128537.22682400107</v>
      </c>
      <c r="CE10">
        <f t="shared" si="6"/>
        <v>12647.84</v>
      </c>
      <c r="CF10">
        <f t="shared" si="6"/>
        <v>927516.60700000043</v>
      </c>
      <c r="CG10">
        <f t="shared" si="6"/>
        <v>34979898.640000001</v>
      </c>
      <c r="CH10">
        <f t="shared" si="6"/>
        <v>385899.15722400014</v>
      </c>
      <c r="CI10">
        <f t="shared" si="6"/>
        <v>9.7927759999999981</v>
      </c>
      <c r="CJ10">
        <f t="shared" si="6"/>
        <v>9231025.1999999993</v>
      </c>
      <c r="CK10">
        <f t="shared" si="6"/>
        <v>2359167.3600000003</v>
      </c>
      <c r="CL10">
        <f t="shared" si="6"/>
        <v>2451522.96</v>
      </c>
      <c r="CM10">
        <f t="shared" si="6"/>
        <v>3035551.04</v>
      </c>
      <c r="CN10">
        <f t="shared" si="6"/>
        <v>43429.842183999419</v>
      </c>
      <c r="CO10">
        <f t="shared" si="6"/>
        <v>1465035.0399999998</v>
      </c>
      <c r="CP10">
        <f t="shared" si="6"/>
        <v>26209.895320000003</v>
      </c>
      <c r="CQ10">
        <f t="shared" si="6"/>
        <v>293892.8</v>
      </c>
      <c r="CR10">
        <f t="shared" si="6"/>
        <v>590431.88697600004</v>
      </c>
      <c r="CS10">
        <f t="shared" si="6"/>
        <v>594641.36</v>
      </c>
      <c r="CT10">
        <f t="shared" si="6"/>
        <v>1179926.4586560058</v>
      </c>
      <c r="CU10">
        <f t="shared" si="6"/>
        <v>10988685.039999999</v>
      </c>
      <c r="CV10">
        <f t="shared" si="6"/>
        <v>187629.06805599996</v>
      </c>
      <c r="CW10">
        <f t="shared" si="6"/>
        <v>59.002184000000007</v>
      </c>
      <c r="CX10">
        <f t="shared" si="6"/>
        <v>4280272.6399999997</v>
      </c>
      <c r="CY10">
        <f t="shared" si="6"/>
        <v>746478.55999999994</v>
      </c>
      <c r="CZ10">
        <f t="shared" si="6"/>
        <v>1478843.44</v>
      </c>
      <c r="DA10">
        <f t="shared" si="6"/>
        <v>801779.76</v>
      </c>
      <c r="DB10">
        <f t="shared" si="6"/>
        <v>17862.315920000001</v>
      </c>
      <c r="DC10">
        <f t="shared" si="6"/>
        <v>438870.16000000003</v>
      </c>
      <c r="DD10">
        <f t="shared" si="6"/>
        <v>12277.613784000005</v>
      </c>
      <c r="DE10">
        <f t="shared" si="6"/>
        <v>60582.64</v>
      </c>
      <c r="DF10">
        <f t="shared" si="6"/>
        <v>167054.32905600072</v>
      </c>
      <c r="DG10">
        <f t="shared" si="6"/>
        <v>172087.04000000001</v>
      </c>
      <c r="DH10">
        <f t="shared" si="6"/>
        <v>539031.24909600022</v>
      </c>
      <c r="DI10">
        <f t="shared" si="6"/>
        <v>7625027722.6400013</v>
      </c>
      <c r="DJ10">
        <f t="shared" si="6"/>
        <v>112725.55561600023</v>
      </c>
      <c r="DK10">
        <f t="shared" si="6"/>
        <v>10.057736</v>
      </c>
      <c r="DL10">
        <f t="shared" si="6"/>
        <v>2460936380.5600004</v>
      </c>
      <c r="DM10">
        <f t="shared" si="6"/>
        <v>498576796.23999995</v>
      </c>
      <c r="DN10">
        <f t="shared" si="6"/>
        <v>784283829.75999999</v>
      </c>
      <c r="DO10">
        <f t="shared" si="6"/>
        <v>482992222.80000001</v>
      </c>
      <c r="DP10">
        <f t="shared" si="6"/>
        <v>10261.398704000001</v>
      </c>
      <c r="DQ10">
        <f t="shared" si="6"/>
        <v>180502264.16000003</v>
      </c>
      <c r="DR10">
        <f t="shared" si="6"/>
        <v>6713.9803840000068</v>
      </c>
      <c r="DS10">
        <f t="shared" si="6"/>
        <v>80263658.159999996</v>
      </c>
      <c r="DT10">
        <f t="shared" si="6"/>
        <v>93875.555335999728</v>
      </c>
      <c r="DU10">
        <f t="shared" si="6"/>
        <v>163821373.59999999</v>
      </c>
      <c r="DV10">
        <f t="shared" si="6"/>
        <v>200420.26822399974</v>
      </c>
      <c r="DW10">
        <f t="shared" si="6"/>
        <v>1331844364.4000001</v>
      </c>
      <c r="DX10">
        <f t="shared" si="6"/>
        <v>107931.36678399988</v>
      </c>
      <c r="DY10">
        <f t="shared" si="6"/>
        <v>8.3412239999999969</v>
      </c>
      <c r="DZ10">
        <f t="shared" si="6"/>
        <v>228605445.84</v>
      </c>
      <c r="EA10">
        <f t="shared" si="6"/>
        <v>97078860.400000006</v>
      </c>
      <c r="EB10">
        <f t="shared" si="6"/>
        <v>28170242.639999997</v>
      </c>
      <c r="EC10">
        <f t="shared" si="6"/>
        <v>103346598.8</v>
      </c>
      <c r="ED10">
        <f t="shared" si="6"/>
        <v>12455.940423999997</v>
      </c>
      <c r="EE10">
        <f t="shared" si="6"/>
        <v>39477862.960000001</v>
      </c>
      <c r="EF10">
        <f t="shared" si="6"/>
        <v>7900.570264</v>
      </c>
      <c r="EG10">
        <f t="shared" si="6"/>
        <v>15571842.16</v>
      </c>
      <c r="EH10">
        <f t="shared" si="6"/>
        <v>121839.02501599968</v>
      </c>
      <c r="EI10">
        <f t="shared" si="6"/>
        <v>15530615.6</v>
      </c>
      <c r="EJ10">
        <f t="shared" si="6"/>
        <v>113366.6523360014</v>
      </c>
      <c r="EK10">
        <f t="shared" si="6"/>
        <v>33974130.240000002</v>
      </c>
      <c r="EL10">
        <f t="shared" si="6"/>
        <v>344956.79788000055</v>
      </c>
      <c r="EM10">
        <f t="shared" si="6"/>
        <v>26.645575999999995</v>
      </c>
      <c r="EN10">
        <f t="shared" ref="EN10:FZ10" si="7">_xlfn.VAR.P(EN3:EN7)</f>
        <v>4033958.2399999998</v>
      </c>
      <c r="EO10">
        <f t="shared" si="7"/>
        <v>1448238.8</v>
      </c>
      <c r="EP10">
        <f t="shared" si="7"/>
        <v>1057815.8400000001</v>
      </c>
      <c r="EQ10">
        <f t="shared" si="7"/>
        <v>2656451.8400000003</v>
      </c>
      <c r="ER10">
        <f t="shared" si="7"/>
        <v>37480.909599999999</v>
      </c>
      <c r="ES10">
        <f t="shared" si="7"/>
        <v>1310055.0399999998</v>
      </c>
      <c r="ET10">
        <f t="shared" si="7"/>
        <v>25874.835583999979</v>
      </c>
      <c r="EU10">
        <f t="shared" si="7"/>
        <v>276305.59999999998</v>
      </c>
      <c r="EV10">
        <f t="shared" si="7"/>
        <v>217294.84673600001</v>
      </c>
      <c r="EW10">
        <f t="shared" si="7"/>
        <v>96061.6</v>
      </c>
      <c r="EX10">
        <f t="shared" si="7"/>
        <v>64907.309239999973</v>
      </c>
      <c r="EY10">
        <f t="shared" si="7"/>
        <v>28744199.440000005</v>
      </c>
      <c r="EZ10">
        <f t="shared" si="7"/>
        <v>525397.45613600011</v>
      </c>
      <c r="FA10">
        <f t="shared" si="7"/>
        <v>16.526823999999998</v>
      </c>
      <c r="FB10">
        <f t="shared" si="7"/>
        <v>27905118.639999997</v>
      </c>
      <c r="FC10">
        <f t="shared" si="7"/>
        <v>485423.43999999994</v>
      </c>
      <c r="FD10">
        <f t="shared" si="7"/>
        <v>21992682.800000001</v>
      </c>
      <c r="FE10">
        <f t="shared" si="7"/>
        <v>610603.76</v>
      </c>
      <c r="FF10">
        <f t="shared" si="7"/>
        <v>32796.33439999992</v>
      </c>
      <c r="FG10">
        <f t="shared" si="7"/>
        <v>407042.23999999993</v>
      </c>
      <c r="FH10">
        <f t="shared" si="7"/>
        <v>13129.772575999983</v>
      </c>
      <c r="FI10">
        <f t="shared" si="7"/>
        <v>607858.24</v>
      </c>
      <c r="FJ10">
        <f t="shared" si="7"/>
        <v>727203.64082400058</v>
      </c>
      <c r="FK10">
        <f t="shared" si="7"/>
        <v>1563111.36</v>
      </c>
      <c r="FL10">
        <f t="shared" si="7"/>
        <v>2090673.1946639919</v>
      </c>
      <c r="FM10">
        <f t="shared" si="7"/>
        <v>94807239.200000003</v>
      </c>
      <c r="FN10">
        <f t="shared" si="7"/>
        <v>80617.706263999906</v>
      </c>
      <c r="FO10">
        <f t="shared" si="7"/>
        <v>9.7916800000000013</v>
      </c>
      <c r="FP10">
        <f t="shared" si="7"/>
        <v>75935429.840000004</v>
      </c>
      <c r="FQ10">
        <f t="shared" si="7"/>
        <v>10024279.440000001</v>
      </c>
      <c r="FR10">
        <f t="shared" si="7"/>
        <v>37232765.600000001</v>
      </c>
      <c r="FS10">
        <f t="shared" si="7"/>
        <v>13956094.640000001</v>
      </c>
      <c r="FT10">
        <f t="shared" si="7"/>
        <v>13727.656775999998</v>
      </c>
      <c r="FU10">
        <f t="shared" si="7"/>
        <v>8599246.4000000004</v>
      </c>
      <c r="FV10">
        <f t="shared" si="7"/>
        <v>11762.991016000004</v>
      </c>
      <c r="FW10">
        <f t="shared" si="7"/>
        <v>702797.04</v>
      </c>
      <c r="FX10">
        <f t="shared" si="7"/>
        <v>56521.542624000605</v>
      </c>
      <c r="FY10">
        <f t="shared" si="7"/>
        <v>4344550.16</v>
      </c>
      <c r="FZ10">
        <f t="shared" si="7"/>
        <v>362277.32085599902</v>
      </c>
    </row>
    <row r="11" spans="1:202">
      <c r="A11" s="1" t="s">
        <v>54</v>
      </c>
      <c r="B11">
        <f>_xlfn.VAR.S(B2:B7)</f>
        <v>359507.76666666666</v>
      </c>
      <c r="C11">
        <f>_xlfn.VAR.S(C2:C7)</f>
        <v>146139.36666666664</v>
      </c>
      <c r="D11" s="1" t="s">
        <v>304</v>
      </c>
      <c r="E11">
        <f>_xlfn.VAR.S(E2:E6)</f>
        <v>68.699999999999818</v>
      </c>
      <c r="F11">
        <f t="shared" ref="F11:M11" si="8">_xlfn.VAR.S(F2:F6)</f>
        <v>4.5</v>
      </c>
      <c r="G11">
        <f t="shared" si="8"/>
        <v>2.3000000000000114</v>
      </c>
      <c r="H11">
        <f t="shared" si="8"/>
        <v>25.699999999999989</v>
      </c>
      <c r="I11">
        <f t="shared" si="8"/>
        <v>16.8</v>
      </c>
      <c r="J11">
        <f t="shared" si="8"/>
        <v>0.70000000000000018</v>
      </c>
      <c r="K11">
        <f t="shared" si="8"/>
        <v>5.2999999999999972</v>
      </c>
      <c r="L11">
        <f t="shared" si="8"/>
        <v>10.700000000000003</v>
      </c>
      <c r="M11">
        <f t="shared" si="8"/>
        <v>1</v>
      </c>
      <c r="N11" s="1" t="s">
        <v>308</v>
      </c>
      <c r="O11">
        <f>_xlfn.VAR.S(O3:O7)</f>
        <v>738006.7</v>
      </c>
      <c r="P11">
        <f t="shared" ref="P11:CA11" si="9">_xlfn.VAR.S(P3:P7)</f>
        <v>3698115.1668300023</v>
      </c>
      <c r="Q11">
        <f t="shared" si="9"/>
        <v>51.282380000000003</v>
      </c>
      <c r="R11">
        <f t="shared" si="9"/>
        <v>242354</v>
      </c>
      <c r="S11">
        <f t="shared" si="9"/>
        <v>3223.3</v>
      </c>
      <c r="T11">
        <f t="shared" si="9"/>
        <v>251783.80000000075</v>
      </c>
      <c r="U11">
        <f t="shared" si="9"/>
        <v>6761.7</v>
      </c>
      <c r="V11">
        <f t="shared" si="9"/>
        <v>108057.33388000002</v>
      </c>
      <c r="W11">
        <f t="shared" si="9"/>
        <v>7000.3</v>
      </c>
      <c r="X11">
        <f t="shared" si="9"/>
        <v>136914.60628000015</v>
      </c>
      <c r="Y11">
        <f t="shared" si="9"/>
        <v>128.70000000000002</v>
      </c>
      <c r="Z11">
        <f t="shared" si="9"/>
        <v>233946.34113000007</v>
      </c>
      <c r="AA11">
        <f t="shared" si="9"/>
        <v>13481.200000000012</v>
      </c>
      <c r="AB11">
        <f t="shared" si="9"/>
        <v>23553656.427430153</v>
      </c>
      <c r="AC11">
        <f t="shared" si="9"/>
        <v>984011.5</v>
      </c>
      <c r="AD11">
        <f t="shared" si="9"/>
        <v>6395088.2244299976</v>
      </c>
      <c r="AE11">
        <f t="shared" si="9"/>
        <v>9.3767800000000001</v>
      </c>
      <c r="AF11">
        <f t="shared" si="9"/>
        <v>1228561.2</v>
      </c>
      <c r="AG11">
        <f t="shared" si="9"/>
        <v>151256</v>
      </c>
      <c r="AH11">
        <f t="shared" si="9"/>
        <v>606547.19999999995</v>
      </c>
      <c r="AI11">
        <f t="shared" si="9"/>
        <v>130924.80000000075</v>
      </c>
      <c r="AJ11">
        <f t="shared" si="9"/>
        <v>1030254.236499995</v>
      </c>
      <c r="AK11">
        <f t="shared" si="9"/>
        <v>86176</v>
      </c>
      <c r="AL11">
        <f t="shared" si="9"/>
        <v>965421.16192997992</v>
      </c>
      <c r="AM11">
        <f t="shared" si="9"/>
        <v>5629.8000000000029</v>
      </c>
      <c r="AN11">
        <f t="shared" si="9"/>
        <v>2175706.1980700046</v>
      </c>
      <c r="AO11">
        <f t="shared" si="9"/>
        <v>45032.699999999953</v>
      </c>
      <c r="AP11">
        <f t="shared" si="9"/>
        <v>14139805.715150118</v>
      </c>
      <c r="AQ11">
        <f t="shared" si="9"/>
        <v>877222.7</v>
      </c>
      <c r="AR11">
        <f t="shared" si="9"/>
        <v>12369311.860150002</v>
      </c>
      <c r="AS11">
        <f t="shared" si="9"/>
        <v>57.018219999999999</v>
      </c>
      <c r="AT11">
        <f t="shared" si="9"/>
        <v>762621.2</v>
      </c>
      <c r="AU11">
        <f t="shared" si="9"/>
        <v>122073.19999999925</v>
      </c>
      <c r="AV11">
        <f t="shared" si="9"/>
        <v>396977.3</v>
      </c>
      <c r="AW11">
        <f t="shared" si="9"/>
        <v>96715.799999999814</v>
      </c>
      <c r="AX11">
        <f t="shared" si="9"/>
        <v>2088841.5377300233</v>
      </c>
      <c r="AY11">
        <f t="shared" si="9"/>
        <v>66660.700000000186</v>
      </c>
      <c r="AZ11">
        <f t="shared" si="9"/>
        <v>2250025.2081799805</v>
      </c>
      <c r="BA11">
        <f t="shared" si="9"/>
        <v>2895.8000000000029</v>
      </c>
      <c r="BB11">
        <f t="shared" si="9"/>
        <v>1812448.3652800024</v>
      </c>
      <c r="BC11">
        <f t="shared" si="9"/>
        <v>1502.1999999999998</v>
      </c>
      <c r="BD11">
        <f t="shared" si="9"/>
        <v>593356.92722000007</v>
      </c>
      <c r="BE11">
        <f t="shared" si="9"/>
        <v>3486037.3000000003</v>
      </c>
      <c r="BF11">
        <f t="shared" si="9"/>
        <v>138254.75582999986</v>
      </c>
      <c r="BG11">
        <f t="shared" si="9"/>
        <v>12.76688</v>
      </c>
      <c r="BH11">
        <f t="shared" si="9"/>
        <v>777463.29999999993</v>
      </c>
      <c r="BI11">
        <f t="shared" si="9"/>
        <v>84562.700000000012</v>
      </c>
      <c r="BJ11">
        <f t="shared" si="9"/>
        <v>418296.70000000298</v>
      </c>
      <c r="BK11">
        <f t="shared" si="9"/>
        <v>74327.199999999997</v>
      </c>
      <c r="BL11">
        <f t="shared" si="9"/>
        <v>3728.7658800000027</v>
      </c>
      <c r="BM11">
        <f t="shared" si="9"/>
        <v>38974.800000000003</v>
      </c>
      <c r="BN11">
        <f t="shared" si="9"/>
        <v>2406.8944300000003</v>
      </c>
      <c r="BO11">
        <f t="shared" si="9"/>
        <v>12221.800000000047</v>
      </c>
      <c r="BP11">
        <f t="shared" si="9"/>
        <v>75859.787570000015</v>
      </c>
      <c r="BQ11">
        <f t="shared" si="9"/>
        <v>49522.800000000047</v>
      </c>
      <c r="BR11">
        <f t="shared" si="9"/>
        <v>322971.53987000138</v>
      </c>
      <c r="BS11">
        <f t="shared" si="9"/>
        <v>2879167.700000003</v>
      </c>
      <c r="BT11">
        <f t="shared" si="9"/>
        <v>1439265.7280299962</v>
      </c>
      <c r="BU11">
        <f t="shared" si="9"/>
        <v>80.594030000000018</v>
      </c>
      <c r="BV11">
        <f t="shared" si="9"/>
        <v>339933.5</v>
      </c>
      <c r="BW11">
        <f t="shared" si="9"/>
        <v>64087.299999999814</v>
      </c>
      <c r="BX11">
        <f t="shared" si="9"/>
        <v>127323.80000000005</v>
      </c>
      <c r="BY11">
        <f t="shared" si="9"/>
        <v>62971</v>
      </c>
      <c r="BZ11">
        <f t="shared" si="9"/>
        <v>40575.779169999063</v>
      </c>
      <c r="CA11">
        <f t="shared" si="9"/>
        <v>41422.700000000186</v>
      </c>
      <c r="CB11">
        <f t="shared" ref="CB11:EM11" si="10">_xlfn.VAR.S(CB3:CB7)</f>
        <v>33534.580270000733</v>
      </c>
      <c r="CC11">
        <f t="shared" si="10"/>
        <v>2479.6999999999971</v>
      </c>
      <c r="CD11">
        <f t="shared" si="10"/>
        <v>160671.53353000153</v>
      </c>
      <c r="CE11">
        <f t="shared" si="10"/>
        <v>15809.800000000003</v>
      </c>
      <c r="CF11">
        <f t="shared" si="10"/>
        <v>1159395.758750001</v>
      </c>
      <c r="CG11">
        <f t="shared" si="10"/>
        <v>43724873.299999997</v>
      </c>
      <c r="CH11">
        <f t="shared" si="10"/>
        <v>482373.94653000019</v>
      </c>
      <c r="CI11">
        <f t="shared" si="10"/>
        <v>12.240969999999997</v>
      </c>
      <c r="CJ11">
        <f t="shared" si="10"/>
        <v>11538781.5</v>
      </c>
      <c r="CK11">
        <f t="shared" si="10"/>
        <v>2948959.2</v>
      </c>
      <c r="CL11">
        <f t="shared" si="10"/>
        <v>3064403.6999999881</v>
      </c>
      <c r="CM11">
        <f t="shared" si="10"/>
        <v>3794438.8000000119</v>
      </c>
      <c r="CN11">
        <f t="shared" si="10"/>
        <v>54287.302729999647</v>
      </c>
      <c r="CO11">
        <f t="shared" si="10"/>
        <v>1831293.7999999998</v>
      </c>
      <c r="CP11">
        <f t="shared" si="10"/>
        <v>32762.369150000006</v>
      </c>
      <c r="CQ11">
        <f t="shared" si="10"/>
        <v>367366</v>
      </c>
      <c r="CR11">
        <f t="shared" si="10"/>
        <v>738039.85872000083</v>
      </c>
      <c r="CS11">
        <f t="shared" si="10"/>
        <v>743301.69999999925</v>
      </c>
      <c r="CT11">
        <f t="shared" si="10"/>
        <v>1474908.0733200051</v>
      </c>
      <c r="CU11">
        <f t="shared" si="10"/>
        <v>13735856.299999999</v>
      </c>
      <c r="CV11">
        <f t="shared" si="10"/>
        <v>234536.33506999994</v>
      </c>
      <c r="CW11">
        <f t="shared" si="10"/>
        <v>73.75273</v>
      </c>
      <c r="CX11">
        <f t="shared" si="10"/>
        <v>5350340.8000000119</v>
      </c>
      <c r="CY11">
        <f t="shared" si="10"/>
        <v>933098.2</v>
      </c>
      <c r="CZ11">
        <f t="shared" si="10"/>
        <v>1848554.299999997</v>
      </c>
      <c r="DA11">
        <f t="shared" si="10"/>
        <v>1002224.7</v>
      </c>
      <c r="DB11">
        <f t="shared" si="10"/>
        <v>22327.894900000003</v>
      </c>
      <c r="DC11">
        <f t="shared" si="10"/>
        <v>548587.70000000007</v>
      </c>
      <c r="DD11">
        <f t="shared" si="10"/>
        <v>15347.017230000005</v>
      </c>
      <c r="DE11">
        <f t="shared" si="10"/>
        <v>75728.299999999814</v>
      </c>
      <c r="DF11">
        <f t="shared" si="10"/>
        <v>208817.91132000089</v>
      </c>
      <c r="DG11">
        <f t="shared" si="10"/>
        <v>215108.79999999981</v>
      </c>
      <c r="DH11">
        <f t="shared" si="10"/>
        <v>673789.06137000024</v>
      </c>
      <c r="DI11">
        <f t="shared" si="10"/>
        <v>9531284653.3000011</v>
      </c>
      <c r="DJ11">
        <f t="shared" si="10"/>
        <v>140906.94452000028</v>
      </c>
      <c r="DK11">
        <f t="shared" si="10"/>
        <v>12.572170000000002</v>
      </c>
      <c r="DL11">
        <f t="shared" si="10"/>
        <v>3076170475.7000003</v>
      </c>
      <c r="DM11">
        <f t="shared" si="10"/>
        <v>623220995.29999995</v>
      </c>
      <c r="DN11">
        <f t="shared" si="10"/>
        <v>980354787.20000005</v>
      </c>
      <c r="DO11">
        <f t="shared" si="10"/>
        <v>603740278.5</v>
      </c>
      <c r="DP11">
        <f t="shared" si="10"/>
        <v>12826.748380000001</v>
      </c>
      <c r="DQ11">
        <f t="shared" si="10"/>
        <v>225627830.20000002</v>
      </c>
      <c r="DR11">
        <f t="shared" si="10"/>
        <v>8392.4754800000082</v>
      </c>
      <c r="DS11">
        <f t="shared" si="10"/>
        <v>100329572.69999981</v>
      </c>
      <c r="DT11">
        <f t="shared" si="10"/>
        <v>117344.4441699991</v>
      </c>
      <c r="DU11">
        <f t="shared" si="10"/>
        <v>204776717</v>
      </c>
      <c r="DV11">
        <f t="shared" si="10"/>
        <v>250525.3352799993</v>
      </c>
      <c r="DW11">
        <f t="shared" si="10"/>
        <v>1664805455.5</v>
      </c>
      <c r="DX11">
        <f t="shared" si="10"/>
        <v>134914.20847999986</v>
      </c>
      <c r="DY11">
        <f t="shared" si="10"/>
        <v>10.426529999999993</v>
      </c>
      <c r="DZ11">
        <f t="shared" si="10"/>
        <v>285756807.30000001</v>
      </c>
      <c r="EA11">
        <f t="shared" si="10"/>
        <v>121348575.5</v>
      </c>
      <c r="EB11">
        <f t="shared" si="10"/>
        <v>35212803.299999997</v>
      </c>
      <c r="EC11">
        <f t="shared" si="10"/>
        <v>129183248.5</v>
      </c>
      <c r="ED11">
        <f t="shared" si="10"/>
        <v>15569.925529999997</v>
      </c>
      <c r="EE11">
        <f t="shared" si="10"/>
        <v>49347328.700000003</v>
      </c>
      <c r="EF11">
        <f t="shared" si="10"/>
        <v>9875.7128300000004</v>
      </c>
      <c r="EG11">
        <f t="shared" si="10"/>
        <v>19464802.699999988</v>
      </c>
      <c r="EH11">
        <f t="shared" si="10"/>
        <v>152298.78126999922</v>
      </c>
      <c r="EI11">
        <f t="shared" si="10"/>
        <v>19413269.5</v>
      </c>
      <c r="EJ11">
        <f t="shared" si="10"/>
        <v>141708.31542000175</v>
      </c>
      <c r="EK11">
        <f t="shared" si="10"/>
        <v>42467662.800000004</v>
      </c>
      <c r="EL11">
        <f t="shared" si="10"/>
        <v>431195.99735000072</v>
      </c>
      <c r="EM11">
        <f t="shared" si="10"/>
        <v>33.306969999999993</v>
      </c>
      <c r="EN11">
        <f t="shared" ref="EN11:FZ11" si="11">_xlfn.VAR.S(EN3:EN7)</f>
        <v>5042447.8</v>
      </c>
      <c r="EO11">
        <f t="shared" si="11"/>
        <v>1810298.5</v>
      </c>
      <c r="EP11">
        <f t="shared" si="11"/>
        <v>1322269.8</v>
      </c>
      <c r="EQ11">
        <f t="shared" si="11"/>
        <v>3320564.8000000003</v>
      </c>
      <c r="ER11">
        <f t="shared" si="11"/>
        <v>46851.137000000002</v>
      </c>
      <c r="ES11">
        <f t="shared" si="11"/>
        <v>1637568.7999999998</v>
      </c>
      <c r="ET11">
        <f t="shared" si="11"/>
        <v>32343.544479999975</v>
      </c>
      <c r="EU11">
        <f t="shared" si="11"/>
        <v>345382</v>
      </c>
      <c r="EV11">
        <f t="shared" si="11"/>
        <v>271618.55842000002</v>
      </c>
      <c r="EW11">
        <f t="shared" si="11"/>
        <v>120077</v>
      </c>
      <c r="EX11">
        <f t="shared" si="11"/>
        <v>81134.136549999967</v>
      </c>
      <c r="EY11">
        <f t="shared" si="11"/>
        <v>35930249.300000004</v>
      </c>
      <c r="EZ11">
        <f t="shared" si="11"/>
        <v>656746.82017000008</v>
      </c>
      <c r="FA11">
        <f t="shared" si="11"/>
        <v>20.658529999999999</v>
      </c>
      <c r="FB11">
        <f t="shared" si="11"/>
        <v>34881398.299999997</v>
      </c>
      <c r="FC11">
        <f t="shared" si="11"/>
        <v>606779.29999999993</v>
      </c>
      <c r="FD11">
        <f t="shared" si="11"/>
        <v>27490853.5</v>
      </c>
      <c r="FE11">
        <f t="shared" si="11"/>
        <v>763254.7</v>
      </c>
      <c r="FF11">
        <f t="shared" si="11"/>
        <v>40995.417999999896</v>
      </c>
      <c r="FG11">
        <f t="shared" si="11"/>
        <v>508802.79999999993</v>
      </c>
      <c r="FH11">
        <f t="shared" si="11"/>
        <v>16412.215719999978</v>
      </c>
      <c r="FI11">
        <f t="shared" si="11"/>
        <v>759822.79999999993</v>
      </c>
      <c r="FJ11">
        <f t="shared" si="11"/>
        <v>909004.55103000079</v>
      </c>
      <c r="FK11">
        <f t="shared" si="11"/>
        <v>1953889.200000003</v>
      </c>
      <c r="FL11">
        <f t="shared" si="11"/>
        <v>2613341.4933299869</v>
      </c>
      <c r="FM11">
        <f t="shared" si="11"/>
        <v>118509049</v>
      </c>
      <c r="FN11">
        <f t="shared" si="11"/>
        <v>100772.13282999989</v>
      </c>
      <c r="FO11">
        <f t="shared" si="11"/>
        <v>12.239600000000001</v>
      </c>
      <c r="FP11">
        <f t="shared" si="11"/>
        <v>94919287.299999997</v>
      </c>
      <c r="FQ11">
        <f t="shared" si="11"/>
        <v>12530349.300000003</v>
      </c>
      <c r="FR11">
        <f t="shared" si="11"/>
        <v>46540957</v>
      </c>
      <c r="FS11">
        <f t="shared" si="11"/>
        <v>17445118.300000001</v>
      </c>
      <c r="FT11">
        <f t="shared" si="11"/>
        <v>17159.570969999997</v>
      </c>
      <c r="FU11">
        <f t="shared" si="11"/>
        <v>10749058</v>
      </c>
      <c r="FV11">
        <f t="shared" si="11"/>
        <v>14703.738770000005</v>
      </c>
      <c r="FW11">
        <f t="shared" si="11"/>
        <v>878496.30000000075</v>
      </c>
      <c r="FX11">
        <f t="shared" si="11"/>
        <v>70651.928280000575</v>
      </c>
      <c r="FY11">
        <f t="shared" si="11"/>
        <v>5430687.700000003</v>
      </c>
      <c r="FZ11">
        <f t="shared" si="11"/>
        <v>452846.65106999874</v>
      </c>
    </row>
    <row r="12" spans="1:202">
      <c r="A12" s="1" t="s">
        <v>55</v>
      </c>
      <c r="B12">
        <f>_xlfn.STDEV.P(B2:B7)</f>
        <v>547.34797483461614</v>
      </c>
      <c r="C12">
        <f>_xlfn.STDEV.P(C2:C7)</f>
        <v>348.97393248716378</v>
      </c>
      <c r="D12" s="1" t="s">
        <v>305</v>
      </c>
      <c r="E12">
        <f>_xlfn.STDEV.P(E2:E6)</f>
        <v>7.4135011971402553</v>
      </c>
      <c r="F12">
        <f t="shared" ref="F12:M12" si="12">_xlfn.STDEV.P(F2:F6)</f>
        <v>1.8973665961010275</v>
      </c>
      <c r="G12">
        <f t="shared" si="12"/>
        <v>1.3564659966250536</v>
      </c>
      <c r="H12">
        <f t="shared" si="12"/>
        <v>4.5343136195018534</v>
      </c>
      <c r="I12">
        <f t="shared" si="12"/>
        <v>3.666060555964672</v>
      </c>
      <c r="J12">
        <f t="shared" si="12"/>
        <v>0.74833147735478833</v>
      </c>
      <c r="K12">
        <f t="shared" si="12"/>
        <v>2.0591260281974</v>
      </c>
      <c r="L12">
        <f t="shared" si="12"/>
        <v>2.925747767665559</v>
      </c>
      <c r="M12">
        <f t="shared" si="12"/>
        <v>0.89442719099991586</v>
      </c>
      <c r="N12" s="1" t="s">
        <v>309</v>
      </c>
      <c r="O12">
        <f>_xlfn.STDEV.P(O3:O7)</f>
        <v>768.37839636470778</v>
      </c>
      <c r="P12">
        <f t="shared" ref="P12:CA12" si="13">_xlfn.STDEV.P(P3:P7)</f>
        <v>1720.0267827751991</v>
      </c>
      <c r="Q12">
        <f t="shared" si="13"/>
        <v>6.4051466805999064</v>
      </c>
      <c r="R12">
        <f t="shared" si="13"/>
        <v>440.3217005781114</v>
      </c>
      <c r="S12">
        <f t="shared" si="13"/>
        <v>50.780311145167282</v>
      </c>
      <c r="T12">
        <f t="shared" si="13"/>
        <v>448.80623881581681</v>
      </c>
      <c r="U12">
        <f t="shared" si="13"/>
        <v>73.548351443115294</v>
      </c>
      <c r="V12">
        <f t="shared" si="13"/>
        <v>294.01678031024016</v>
      </c>
      <c r="W12">
        <f t="shared" si="13"/>
        <v>74.83475128574959</v>
      </c>
      <c r="X12">
        <f t="shared" si="13"/>
        <v>330.95571459637938</v>
      </c>
      <c r="Y12">
        <f t="shared" si="13"/>
        <v>10.146920715172659</v>
      </c>
      <c r="Z12">
        <f t="shared" si="13"/>
        <v>432.61654256858935</v>
      </c>
      <c r="AA12">
        <f t="shared" si="13"/>
        <v>103.850662010408</v>
      </c>
      <c r="AB12">
        <f t="shared" si="13"/>
        <v>4340.843828329248</v>
      </c>
      <c r="AC12">
        <f t="shared" si="13"/>
        <v>887.24810509800466</v>
      </c>
      <c r="AD12">
        <f t="shared" si="13"/>
        <v>2261.8732456846469</v>
      </c>
      <c r="AE12">
        <f t="shared" si="13"/>
        <v>2.7388727608269798</v>
      </c>
      <c r="AF12">
        <f t="shared" si="13"/>
        <v>991.38739148730349</v>
      </c>
      <c r="AG12">
        <f t="shared" si="13"/>
        <v>347.85744206499305</v>
      </c>
      <c r="AH12">
        <f t="shared" si="13"/>
        <v>696.59009467548412</v>
      </c>
      <c r="AI12">
        <f t="shared" si="13"/>
        <v>323.63535035592139</v>
      </c>
      <c r="AJ12">
        <f t="shared" si="13"/>
        <v>907.85648050779002</v>
      </c>
      <c r="AK12">
        <f t="shared" si="13"/>
        <v>262.56580127655621</v>
      </c>
      <c r="AL12">
        <f t="shared" si="13"/>
        <v>878.82701912491916</v>
      </c>
      <c r="AM12">
        <f t="shared" si="13"/>
        <v>67.110654891753214</v>
      </c>
      <c r="AN12">
        <f t="shared" si="13"/>
        <v>1319.304725397435</v>
      </c>
      <c r="AO12">
        <f t="shared" si="13"/>
        <v>189.80558474396901</v>
      </c>
      <c r="AP12">
        <f t="shared" si="13"/>
        <v>3363.3085752157881</v>
      </c>
      <c r="AQ12">
        <f t="shared" si="13"/>
        <v>837.72200639591642</v>
      </c>
      <c r="AR12">
        <f t="shared" si="13"/>
        <v>3145.703337589227</v>
      </c>
      <c r="AS12">
        <f t="shared" si="13"/>
        <v>6.7538563798766109</v>
      </c>
      <c r="AT12">
        <f t="shared" si="13"/>
        <v>781.08703740364297</v>
      </c>
      <c r="AU12">
        <f t="shared" si="13"/>
        <v>312.50369597814358</v>
      </c>
      <c r="AV12">
        <f t="shared" si="13"/>
        <v>563.54400005678349</v>
      </c>
      <c r="AW12">
        <f t="shared" si="13"/>
        <v>278.15937877411216</v>
      </c>
      <c r="AX12">
        <f t="shared" si="13"/>
        <v>1292.6999768639323</v>
      </c>
      <c r="AY12">
        <f t="shared" si="13"/>
        <v>230.92977287478547</v>
      </c>
      <c r="AZ12">
        <f t="shared" si="13"/>
        <v>1341.6483021060251</v>
      </c>
      <c r="BA12">
        <f t="shared" si="13"/>
        <v>48.131486575837236</v>
      </c>
      <c r="BB12">
        <f t="shared" si="13"/>
        <v>1204.1423056366727</v>
      </c>
      <c r="BC12">
        <f t="shared" si="13"/>
        <v>34.666410255461983</v>
      </c>
      <c r="BD12">
        <f t="shared" si="13"/>
        <v>688.97426786201538</v>
      </c>
      <c r="BE12">
        <f t="shared" si="13"/>
        <v>1669.9789938798633</v>
      </c>
      <c r="BF12">
        <f t="shared" si="13"/>
        <v>332.57150308467487</v>
      </c>
      <c r="BG12">
        <f t="shared" si="13"/>
        <v>3.1958573184671435</v>
      </c>
      <c r="BH12">
        <f t="shared" si="13"/>
        <v>788.65115228470938</v>
      </c>
      <c r="BI12">
        <f t="shared" si="13"/>
        <v>260.09644365119641</v>
      </c>
      <c r="BJ12">
        <f t="shared" si="13"/>
        <v>578.47848706758316</v>
      </c>
      <c r="BK12">
        <f t="shared" si="13"/>
        <v>243.84782139687039</v>
      </c>
      <c r="BL12">
        <f t="shared" si="13"/>
        <v>54.616963518672492</v>
      </c>
      <c r="BM12">
        <f t="shared" si="13"/>
        <v>176.57814134257956</v>
      </c>
      <c r="BN12">
        <f t="shared" si="13"/>
        <v>43.880696712791611</v>
      </c>
      <c r="BO12">
        <f t="shared" si="13"/>
        <v>98.880938506873008</v>
      </c>
      <c r="BP12">
        <f t="shared" si="13"/>
        <v>246.34900051755844</v>
      </c>
      <c r="BQ12">
        <f t="shared" si="13"/>
        <v>199.04331186955264</v>
      </c>
      <c r="BR12">
        <f t="shared" si="13"/>
        <v>508.30820561545363</v>
      </c>
      <c r="BS12">
        <f t="shared" si="13"/>
        <v>1517.6739307242515</v>
      </c>
      <c r="BT12">
        <f t="shared" si="13"/>
        <v>1073.038947300608</v>
      </c>
      <c r="BU12">
        <f t="shared" si="13"/>
        <v>8.0296465675644786</v>
      </c>
      <c r="BV12">
        <f t="shared" si="13"/>
        <v>521.48518675030448</v>
      </c>
      <c r="BW12">
        <f t="shared" si="13"/>
        <v>226.42844344295617</v>
      </c>
      <c r="BX12">
        <f t="shared" si="13"/>
        <v>319.15363071724562</v>
      </c>
      <c r="BY12">
        <f t="shared" si="13"/>
        <v>224.44776675208868</v>
      </c>
      <c r="BZ12">
        <f t="shared" si="13"/>
        <v>180.16831945711002</v>
      </c>
      <c r="CA12">
        <f t="shared" si="13"/>
        <v>182.03889694238427</v>
      </c>
      <c r="CB12">
        <f t="shared" ref="CB12:EM12" si="14">_xlfn.STDEV.P(CB3:CB7)</f>
        <v>163.79152669170873</v>
      </c>
      <c r="CC12">
        <f t="shared" si="14"/>
        <v>44.539420741630664</v>
      </c>
      <c r="CD12">
        <f t="shared" si="14"/>
        <v>358.52088757002861</v>
      </c>
      <c r="CE12">
        <f t="shared" si="14"/>
        <v>112.46261601083269</v>
      </c>
      <c r="CF12">
        <f t="shared" si="14"/>
        <v>963.07663609912186</v>
      </c>
      <c r="CG12">
        <f t="shared" si="14"/>
        <v>5914.3806641101482</v>
      </c>
      <c r="CH12">
        <f t="shared" si="14"/>
        <v>621.20782128366682</v>
      </c>
      <c r="CI12">
        <f t="shared" si="14"/>
        <v>3.1293411447140111</v>
      </c>
      <c r="CJ12">
        <f t="shared" si="14"/>
        <v>3038.2602258529469</v>
      </c>
      <c r="CK12">
        <f t="shared" si="14"/>
        <v>1535.9581244291787</v>
      </c>
      <c r="CL12">
        <f t="shared" si="14"/>
        <v>1565.7340003972577</v>
      </c>
      <c r="CM12">
        <f t="shared" si="14"/>
        <v>1742.283283510463</v>
      </c>
      <c r="CN12">
        <f t="shared" si="14"/>
        <v>208.39827778558876</v>
      </c>
      <c r="CO12">
        <f t="shared" si="14"/>
        <v>1210.3863184950496</v>
      </c>
      <c r="CP12">
        <f t="shared" si="14"/>
        <v>161.89470442234978</v>
      </c>
      <c r="CQ12">
        <f t="shared" si="14"/>
        <v>542.11880616706151</v>
      </c>
      <c r="CR12">
        <f t="shared" si="14"/>
        <v>768.39565783260389</v>
      </c>
      <c r="CS12">
        <f t="shared" si="14"/>
        <v>771.12992420214118</v>
      </c>
      <c r="CT12">
        <f t="shared" si="14"/>
        <v>1086.2441984452694</v>
      </c>
      <c r="CU12">
        <f t="shared" si="14"/>
        <v>3314.9185570689365</v>
      </c>
      <c r="CV12">
        <f t="shared" si="14"/>
        <v>433.16171120725795</v>
      </c>
      <c r="CW12">
        <f t="shared" si="14"/>
        <v>7.6812879128437839</v>
      </c>
      <c r="CX12">
        <f t="shared" si="14"/>
        <v>2068.8819782674891</v>
      </c>
      <c r="CY12">
        <f t="shared" si="14"/>
        <v>863.98990734845972</v>
      </c>
      <c r="CZ12">
        <f t="shared" si="14"/>
        <v>1216.07706992608</v>
      </c>
      <c r="DA12">
        <f t="shared" si="14"/>
        <v>895.42155435303209</v>
      </c>
      <c r="DB12">
        <f t="shared" si="14"/>
        <v>133.64997538346202</v>
      </c>
      <c r="DC12">
        <f t="shared" si="14"/>
        <v>662.47276170420776</v>
      </c>
      <c r="DD12">
        <f t="shared" si="14"/>
        <v>110.80439424499376</v>
      </c>
      <c r="DE12">
        <f t="shared" si="14"/>
        <v>246.13540988650942</v>
      </c>
      <c r="DF12">
        <f t="shared" si="14"/>
        <v>408.72280222175118</v>
      </c>
      <c r="DG12">
        <f t="shared" si="14"/>
        <v>414.8337498323877</v>
      </c>
      <c r="DH12">
        <f t="shared" si="14"/>
        <v>734.18747544207008</v>
      </c>
      <c r="DI12">
        <f t="shared" si="14"/>
        <v>87321.404722095496</v>
      </c>
      <c r="DJ12">
        <f t="shared" si="14"/>
        <v>335.74626671937875</v>
      </c>
      <c r="DK12">
        <f t="shared" si="14"/>
        <v>3.1713933846181872</v>
      </c>
      <c r="DL12">
        <f t="shared" si="14"/>
        <v>49607.825799565137</v>
      </c>
      <c r="DM12">
        <f t="shared" si="14"/>
        <v>22328.833293300391</v>
      </c>
      <c r="DN12">
        <f t="shared" si="14"/>
        <v>28005.067929930112</v>
      </c>
      <c r="DO12">
        <f t="shared" si="14"/>
        <v>21977.084037697085</v>
      </c>
      <c r="DP12">
        <f t="shared" si="14"/>
        <v>101.29856220105003</v>
      </c>
      <c r="DQ12">
        <f t="shared" si="14"/>
        <v>13435.113105590144</v>
      </c>
      <c r="DR12">
        <f t="shared" si="14"/>
        <v>81.938882003600753</v>
      </c>
      <c r="DS12">
        <f t="shared" si="14"/>
        <v>8958.9987253040727</v>
      </c>
      <c r="DT12">
        <f t="shared" si="14"/>
        <v>306.39118025165106</v>
      </c>
      <c r="DU12">
        <f t="shared" si="14"/>
        <v>12799.272385569424</v>
      </c>
      <c r="DV12">
        <f t="shared" si="14"/>
        <v>447.68322307631735</v>
      </c>
      <c r="DW12">
        <f t="shared" si="14"/>
        <v>36494.442924916664</v>
      </c>
      <c r="DX12">
        <f t="shared" si="14"/>
        <v>328.529095795182</v>
      </c>
      <c r="DY12">
        <f t="shared" si="14"/>
        <v>2.8881177261323674</v>
      </c>
      <c r="DZ12">
        <f t="shared" si="14"/>
        <v>15119.703893925966</v>
      </c>
      <c r="EA12">
        <f t="shared" si="14"/>
        <v>9852.8605186514233</v>
      </c>
      <c r="EB12">
        <f t="shared" si="14"/>
        <v>5307.5646618764804</v>
      </c>
      <c r="EC12">
        <f t="shared" si="14"/>
        <v>10165.952921394039</v>
      </c>
      <c r="ED12">
        <f t="shared" si="14"/>
        <v>111.60618452397696</v>
      </c>
      <c r="EE12">
        <f t="shared" si="14"/>
        <v>6283.1411698289894</v>
      </c>
      <c r="EF12">
        <f t="shared" si="14"/>
        <v>88.885152100899276</v>
      </c>
      <c r="EG12">
        <f t="shared" si="14"/>
        <v>3946.1173525378081</v>
      </c>
      <c r="EH12">
        <f t="shared" si="14"/>
        <v>349.05447284915243</v>
      </c>
      <c r="EI12">
        <f t="shared" si="14"/>
        <v>3940.8902040021362</v>
      </c>
      <c r="EJ12">
        <f t="shared" si="14"/>
        <v>336.69964706842416</v>
      </c>
      <c r="EK12">
        <f t="shared" si="14"/>
        <v>5828.7331591006978</v>
      </c>
      <c r="EL12">
        <f t="shared" si="14"/>
        <v>587.33022898536433</v>
      </c>
      <c r="EM12">
        <f t="shared" si="14"/>
        <v>5.1619352959912232</v>
      </c>
      <c r="EN12">
        <f t="shared" ref="EN12:FZ12" si="15">_xlfn.STDEV.P(EN3:EN7)</f>
        <v>2008.471617922444</v>
      </c>
      <c r="EO12">
        <f t="shared" si="15"/>
        <v>1203.4279371861035</v>
      </c>
      <c r="EP12">
        <f t="shared" si="15"/>
        <v>1028.5017452586069</v>
      </c>
      <c r="EQ12">
        <f t="shared" si="15"/>
        <v>1629.8625218097386</v>
      </c>
      <c r="ER12">
        <f t="shared" si="15"/>
        <v>193.59986983466698</v>
      </c>
      <c r="ES12">
        <f t="shared" si="15"/>
        <v>1144.576358309047</v>
      </c>
      <c r="ET12">
        <f t="shared" si="15"/>
        <v>160.85656835827371</v>
      </c>
      <c r="EU12">
        <f t="shared" si="15"/>
        <v>525.64779082575808</v>
      </c>
      <c r="EV12">
        <f t="shared" si="15"/>
        <v>466.1489533786384</v>
      </c>
      <c r="EW12">
        <f t="shared" si="15"/>
        <v>309.93805832778912</v>
      </c>
      <c r="EX12">
        <f t="shared" si="15"/>
        <v>254.76912929159997</v>
      </c>
      <c r="EY12">
        <f t="shared" si="15"/>
        <v>5361.3617150869431</v>
      </c>
      <c r="EZ12">
        <f t="shared" si="15"/>
        <v>724.84305621010128</v>
      </c>
      <c r="FA12">
        <f t="shared" si="15"/>
        <v>4.0653196676276266</v>
      </c>
      <c r="FB12">
        <f t="shared" si="15"/>
        <v>5282.5295683034274</v>
      </c>
      <c r="FC12">
        <f t="shared" si="15"/>
        <v>696.7233597346941</v>
      </c>
      <c r="FD12">
        <f t="shared" si="15"/>
        <v>4689.6356788134408</v>
      </c>
      <c r="FE12">
        <f t="shared" si="15"/>
        <v>781.41138973014722</v>
      </c>
      <c r="FF12">
        <f t="shared" si="15"/>
        <v>181.09758253494141</v>
      </c>
      <c r="FG12">
        <f t="shared" si="15"/>
        <v>637.99862068816412</v>
      </c>
      <c r="FH12">
        <f t="shared" si="15"/>
        <v>114.58521971004805</v>
      </c>
      <c r="FI12">
        <f t="shared" si="15"/>
        <v>779.65264060349341</v>
      </c>
      <c r="FJ12">
        <f t="shared" si="15"/>
        <v>852.76235893946478</v>
      </c>
      <c r="FK12">
        <f t="shared" si="15"/>
        <v>1250.2445200839716</v>
      </c>
      <c r="FL12">
        <f t="shared" si="15"/>
        <v>1445.9160399774228</v>
      </c>
      <c r="FM12">
        <f t="shared" si="15"/>
        <v>9736.9009032648573</v>
      </c>
      <c r="FN12">
        <f t="shared" si="15"/>
        <v>283.93257344658417</v>
      </c>
      <c r="FO12">
        <f t="shared" si="15"/>
        <v>3.1291660230802711</v>
      </c>
      <c r="FP12">
        <f t="shared" si="15"/>
        <v>8714.0937474874572</v>
      </c>
      <c r="FQ12">
        <f t="shared" si="15"/>
        <v>3166.1142493599314</v>
      </c>
      <c r="FR12">
        <f t="shared" si="15"/>
        <v>6101.865747457904</v>
      </c>
      <c r="FS12">
        <f t="shared" si="15"/>
        <v>3735.7856790774281</v>
      </c>
      <c r="FT12">
        <f t="shared" si="15"/>
        <v>117.16508343358954</v>
      </c>
      <c r="FU12">
        <f t="shared" si="15"/>
        <v>2932.4471691745789</v>
      </c>
      <c r="FV12">
        <f t="shared" si="15"/>
        <v>108.45732347794686</v>
      </c>
      <c r="FW12">
        <f t="shared" si="15"/>
        <v>838.32991119248516</v>
      </c>
      <c r="FX12">
        <f t="shared" si="15"/>
        <v>237.74259741157158</v>
      </c>
      <c r="FY12">
        <f t="shared" si="15"/>
        <v>2084.3584528578572</v>
      </c>
      <c r="FZ12">
        <f t="shared" si="15"/>
        <v>601.89477556795509</v>
      </c>
    </row>
    <row r="13" spans="1:202">
      <c r="A13" s="1" t="s">
        <v>56</v>
      </c>
      <c r="B13">
        <f>_xlfn.STDEV.S(B2:B7)</f>
        <v>599.58966524337848</v>
      </c>
      <c r="C13">
        <f>_xlfn.STDEV.S(C2:C7)</f>
        <v>382.28178960900902</v>
      </c>
      <c r="D13" s="1" t="s">
        <v>305</v>
      </c>
      <c r="E13">
        <f>_xlfn.STDEV.S(E2:E6)</f>
        <v>8.2885463140408291</v>
      </c>
      <c r="F13">
        <f t="shared" ref="F13:M13" si="16">_xlfn.STDEV.S(F2:F6)</f>
        <v>2.1213203435596424</v>
      </c>
      <c r="G13">
        <f t="shared" si="16"/>
        <v>1.5165750888103138</v>
      </c>
      <c r="H13">
        <f t="shared" si="16"/>
        <v>5.0695167422546294</v>
      </c>
      <c r="I13">
        <f t="shared" si="16"/>
        <v>4.0987803063838397</v>
      </c>
      <c r="J13">
        <f t="shared" si="16"/>
        <v>0.83666002653407567</v>
      </c>
      <c r="K13">
        <f t="shared" si="16"/>
        <v>2.302172886644267</v>
      </c>
      <c r="L13">
        <f t="shared" si="16"/>
        <v>3.2710854467592259</v>
      </c>
      <c r="M13">
        <f t="shared" si="16"/>
        <v>1</v>
      </c>
      <c r="N13" s="1" t="s">
        <v>309</v>
      </c>
      <c r="O13">
        <f>_xlfn.STDEV.S(O3:O7)</f>
        <v>859.07316335688188</v>
      </c>
      <c r="P13">
        <f t="shared" ref="P13:CA13" si="17">_xlfn.STDEV.S(P3:P7)</f>
        <v>1923.0484047028046</v>
      </c>
      <c r="Q13">
        <f t="shared" si="17"/>
        <v>7.1611716918392627</v>
      </c>
      <c r="R13">
        <f t="shared" si="17"/>
        <v>492.29462723048277</v>
      </c>
      <c r="S13">
        <f t="shared" si="17"/>
        <v>56.774113819592117</v>
      </c>
      <c r="T13">
        <f t="shared" si="17"/>
        <v>501.78062935908633</v>
      </c>
      <c r="U13">
        <f t="shared" si="17"/>
        <v>82.229556729925278</v>
      </c>
      <c r="V13">
        <f t="shared" si="17"/>
        <v>328.72075364965934</v>
      </c>
      <c r="W13">
        <f t="shared" si="17"/>
        <v>83.667795477112932</v>
      </c>
      <c r="X13">
        <f t="shared" si="17"/>
        <v>370.01973768976183</v>
      </c>
      <c r="Y13">
        <f t="shared" si="17"/>
        <v>11.344602240713423</v>
      </c>
      <c r="Z13">
        <f t="shared" si="17"/>
        <v>483.67999868714861</v>
      </c>
      <c r="AA13">
        <f t="shared" si="17"/>
        <v>116.10856988181368</v>
      </c>
      <c r="AB13">
        <f t="shared" si="17"/>
        <v>4853.2109399273131</v>
      </c>
      <c r="AC13">
        <f t="shared" si="17"/>
        <v>991.97353795350807</v>
      </c>
      <c r="AD13">
        <f t="shared" si="17"/>
        <v>2528.8511669194763</v>
      </c>
      <c r="AE13">
        <f t="shared" si="17"/>
        <v>3.0621528374658245</v>
      </c>
      <c r="AF13">
        <f t="shared" si="17"/>
        <v>1108.4047997009034</v>
      </c>
      <c r="AG13">
        <f t="shared" si="17"/>
        <v>388.91644346825967</v>
      </c>
      <c r="AH13">
        <f t="shared" si="17"/>
        <v>778.81140207369845</v>
      </c>
      <c r="AI13">
        <f t="shared" si="17"/>
        <v>361.83532165890153</v>
      </c>
      <c r="AJ13">
        <f t="shared" si="17"/>
        <v>1015.0144021145685</v>
      </c>
      <c r="AK13">
        <f t="shared" si="17"/>
        <v>293.55749011054036</v>
      </c>
      <c r="AL13">
        <f t="shared" si="17"/>
        <v>982.55847761340897</v>
      </c>
      <c r="AM13">
        <f t="shared" si="17"/>
        <v>75.031993176244512</v>
      </c>
      <c r="AN13">
        <f t="shared" si="17"/>
        <v>1475.02752451268</v>
      </c>
      <c r="AO13">
        <f t="shared" si="17"/>
        <v>212.20909499830574</v>
      </c>
      <c r="AP13">
        <f t="shared" si="17"/>
        <v>3760.2933017452401</v>
      </c>
      <c r="AQ13">
        <f t="shared" si="17"/>
        <v>936.60167627439148</v>
      </c>
      <c r="AR13">
        <f t="shared" si="17"/>
        <v>3517.0032499487402</v>
      </c>
      <c r="AS13">
        <f t="shared" si="17"/>
        <v>7.5510409878373723</v>
      </c>
      <c r="AT13">
        <f t="shared" si="17"/>
        <v>873.28185598923324</v>
      </c>
      <c r="AU13">
        <f t="shared" si="17"/>
        <v>349.38975371352728</v>
      </c>
      <c r="AV13">
        <f t="shared" si="17"/>
        <v>630.06134621955664</v>
      </c>
      <c r="AW13">
        <f t="shared" si="17"/>
        <v>310.99163975901314</v>
      </c>
      <c r="AX13">
        <f t="shared" si="17"/>
        <v>1445.2825113900822</v>
      </c>
      <c r="AY13">
        <f t="shared" si="17"/>
        <v>258.187335088304</v>
      </c>
      <c r="AZ13">
        <f t="shared" si="17"/>
        <v>1500.0084027031251</v>
      </c>
      <c r="BA13">
        <f t="shared" si="17"/>
        <v>53.812637920845347</v>
      </c>
      <c r="BB13">
        <f t="shared" si="17"/>
        <v>1346.2720249934641</v>
      </c>
      <c r="BC13">
        <f t="shared" si="17"/>
        <v>38.758224933554423</v>
      </c>
      <c r="BD13">
        <f t="shared" si="17"/>
        <v>770.29664884380747</v>
      </c>
      <c r="BE13">
        <f t="shared" si="17"/>
        <v>1867.0932756560396</v>
      </c>
      <c r="BF13">
        <f t="shared" si="17"/>
        <v>371.826244138307</v>
      </c>
      <c r="BG13">
        <f t="shared" si="17"/>
        <v>3.5730771052413632</v>
      </c>
      <c r="BH13">
        <f t="shared" si="17"/>
        <v>881.7387935210744</v>
      </c>
      <c r="BI13">
        <f t="shared" si="17"/>
        <v>290.79666435500945</v>
      </c>
      <c r="BJ13">
        <f t="shared" si="17"/>
        <v>646.75861030217675</v>
      </c>
      <c r="BK13">
        <f t="shared" si="17"/>
        <v>272.63015240431497</v>
      </c>
      <c r="BL13">
        <f t="shared" si="17"/>
        <v>61.063621576188901</v>
      </c>
      <c r="BM13">
        <f t="shared" si="17"/>
        <v>197.42036369128692</v>
      </c>
      <c r="BN13">
        <f t="shared" si="17"/>
        <v>49.060110374926801</v>
      </c>
      <c r="BO13">
        <f t="shared" si="17"/>
        <v>110.55225009017251</v>
      </c>
      <c r="BP13">
        <f t="shared" si="17"/>
        <v>275.42655567319576</v>
      </c>
      <c r="BQ13">
        <f t="shared" si="17"/>
        <v>222.53718790350536</v>
      </c>
      <c r="BR13">
        <f t="shared" si="17"/>
        <v>568.30585063854596</v>
      </c>
      <c r="BS13">
        <f t="shared" si="17"/>
        <v>1696.8110383893672</v>
      </c>
      <c r="BT13">
        <f t="shared" si="17"/>
        <v>1199.6940143344868</v>
      </c>
      <c r="BU13">
        <f t="shared" si="17"/>
        <v>8.9774177801860162</v>
      </c>
      <c r="BV13">
        <f t="shared" si="17"/>
        <v>583.03816341642676</v>
      </c>
      <c r="BW13">
        <f t="shared" si="17"/>
        <v>253.15469578895789</v>
      </c>
      <c r="BX13">
        <f t="shared" si="17"/>
        <v>356.82460677481316</v>
      </c>
      <c r="BY13">
        <f t="shared" si="17"/>
        <v>250.94023192784374</v>
      </c>
      <c r="BZ13">
        <f t="shared" si="17"/>
        <v>201.43430484899801</v>
      </c>
      <c r="CA13">
        <f t="shared" si="17"/>
        <v>203.52567405612538</v>
      </c>
      <c r="CB13">
        <f t="shared" ref="CB13:EM13" si="18">_xlfn.STDEV.S(CB3:CB7)</f>
        <v>183.12449391056549</v>
      </c>
      <c r="CC13">
        <f t="shared" si="18"/>
        <v>49.796586228375105</v>
      </c>
      <c r="CD13">
        <f t="shared" si="18"/>
        <v>400.83853798007186</v>
      </c>
      <c r="CE13">
        <f t="shared" si="18"/>
        <v>125.73702716383906</v>
      </c>
      <c r="CF13">
        <f t="shared" si="18"/>
        <v>1076.7524129297324</v>
      </c>
      <c r="CG13">
        <f t="shared" si="18"/>
        <v>6612.4786048803207</v>
      </c>
      <c r="CH13">
        <f t="shared" si="18"/>
        <v>694.53145827240985</v>
      </c>
      <c r="CI13">
        <f t="shared" si="18"/>
        <v>3.4987097621837679</v>
      </c>
      <c r="CJ13">
        <f t="shared" si="18"/>
        <v>3396.8781991705268</v>
      </c>
      <c r="CK13">
        <f t="shared" si="18"/>
        <v>1717.2533884083618</v>
      </c>
      <c r="CL13">
        <f t="shared" si="18"/>
        <v>1750.5438297854721</v>
      </c>
      <c r="CM13">
        <f t="shared" si="18"/>
        <v>1947.9319289954699</v>
      </c>
      <c r="CN13">
        <f t="shared" si="18"/>
        <v>232.9963577612312</v>
      </c>
      <c r="CO13">
        <f t="shared" si="18"/>
        <v>1353.2530435953211</v>
      </c>
      <c r="CP13">
        <f t="shared" si="18"/>
        <v>181.00378214280497</v>
      </c>
      <c r="CQ13">
        <f t="shared" si="18"/>
        <v>606.10725123529085</v>
      </c>
      <c r="CR13">
        <f t="shared" si="18"/>
        <v>859.09246226468599</v>
      </c>
      <c r="CS13">
        <f t="shared" si="18"/>
        <v>862.14946500012354</v>
      </c>
      <c r="CT13">
        <f t="shared" si="18"/>
        <v>1214.4579339441959</v>
      </c>
      <c r="CU13">
        <f t="shared" si="18"/>
        <v>3706.191616740829</v>
      </c>
      <c r="CV13">
        <f t="shared" si="18"/>
        <v>484.28951575478067</v>
      </c>
      <c r="CW13">
        <f t="shared" si="18"/>
        <v>8.5879409639330895</v>
      </c>
      <c r="CX13">
        <f t="shared" si="18"/>
        <v>2313.0803704151767</v>
      </c>
      <c r="CY13">
        <f t="shared" si="18"/>
        <v>965.9700823524505</v>
      </c>
      <c r="CZ13">
        <f t="shared" si="18"/>
        <v>1359.6154971167389</v>
      </c>
      <c r="DA13">
        <f t="shared" si="18"/>
        <v>1001.1117320259513</v>
      </c>
      <c r="DB13">
        <f t="shared" si="18"/>
        <v>149.42521507429728</v>
      </c>
      <c r="DC13">
        <f t="shared" si="18"/>
        <v>740.66706420631397</v>
      </c>
      <c r="DD13">
        <f t="shared" si="18"/>
        <v>123.88307886874625</v>
      </c>
      <c r="DE13">
        <f t="shared" si="18"/>
        <v>275.18775408800411</v>
      </c>
      <c r="DF13">
        <f t="shared" si="18"/>
        <v>456.96598486101885</v>
      </c>
      <c r="DG13">
        <f t="shared" si="18"/>
        <v>463.7982319931802</v>
      </c>
      <c r="DH13">
        <f t="shared" si="18"/>
        <v>820.846551658713</v>
      </c>
      <c r="DI13">
        <f t="shared" si="18"/>
        <v>97628.298424688328</v>
      </c>
      <c r="DJ13">
        <f t="shared" si="18"/>
        <v>375.37573778815312</v>
      </c>
      <c r="DK13">
        <f t="shared" si="18"/>
        <v>3.5457255956997011</v>
      </c>
      <c r="DL13">
        <f t="shared" si="18"/>
        <v>55463.235351897747</v>
      </c>
      <c r="DM13">
        <f t="shared" si="18"/>
        <v>24964.394551040088</v>
      </c>
      <c r="DN13">
        <f t="shared" si="18"/>
        <v>31310.617802911525</v>
      </c>
      <c r="DO13">
        <f t="shared" si="18"/>
        <v>24571.126927758116</v>
      </c>
      <c r="DP13">
        <f t="shared" si="18"/>
        <v>113.25523555226928</v>
      </c>
      <c r="DQ13">
        <f t="shared" si="18"/>
        <v>15020.913094748934</v>
      </c>
      <c r="DR13">
        <f t="shared" si="18"/>
        <v>91.610455080192722</v>
      </c>
      <c r="DS13">
        <f t="shared" si="18"/>
        <v>10016.465080056927</v>
      </c>
      <c r="DT13">
        <f t="shared" si="18"/>
        <v>342.55575337454064</v>
      </c>
      <c r="DU13">
        <f t="shared" si="18"/>
        <v>14310.021558334565</v>
      </c>
      <c r="DV13">
        <f t="shared" si="18"/>
        <v>500.5250595924237</v>
      </c>
      <c r="DW13">
        <f t="shared" si="18"/>
        <v>40802.027590549958</v>
      </c>
      <c r="DX13">
        <f t="shared" si="18"/>
        <v>367.30669539228364</v>
      </c>
      <c r="DY13">
        <f t="shared" si="18"/>
        <v>3.2290137813270468</v>
      </c>
      <c r="DZ13">
        <f t="shared" si="18"/>
        <v>16904.342853243365</v>
      </c>
      <c r="EA13">
        <f t="shared" si="18"/>
        <v>11015.832946264209</v>
      </c>
      <c r="EB13">
        <f t="shared" si="18"/>
        <v>5934.0376894657484</v>
      </c>
      <c r="EC13">
        <f t="shared" si="18"/>
        <v>11365.880894149825</v>
      </c>
      <c r="ED13">
        <f t="shared" si="18"/>
        <v>124.77950765249876</v>
      </c>
      <c r="EE13">
        <f t="shared" si="18"/>
        <v>7024.7653839825853</v>
      </c>
      <c r="EF13">
        <f t="shared" si="18"/>
        <v>99.376621144009519</v>
      </c>
      <c r="EG13">
        <f t="shared" si="18"/>
        <v>4411.8933237330193</v>
      </c>
      <c r="EH13">
        <f t="shared" si="18"/>
        <v>390.25476457052929</v>
      </c>
      <c r="EI13">
        <f t="shared" si="18"/>
        <v>4406.0491940058955</v>
      </c>
      <c r="EJ13">
        <f t="shared" si="18"/>
        <v>376.44164942259209</v>
      </c>
      <c r="EK13">
        <f t="shared" si="18"/>
        <v>6516.7217832281285</v>
      </c>
      <c r="EL13">
        <f t="shared" si="18"/>
        <v>656.65515862589609</v>
      </c>
      <c r="EM13">
        <f t="shared" si="18"/>
        <v>5.7712191086459361</v>
      </c>
      <c r="EN13">
        <f t="shared" ref="EN13:FZ13" si="19">_xlfn.STDEV.S(EN3:EN7)</f>
        <v>2245.5395342767847</v>
      </c>
      <c r="EO13">
        <f t="shared" si="19"/>
        <v>1345.4733367852371</v>
      </c>
      <c r="EP13">
        <f t="shared" si="19"/>
        <v>1149.8999086877084</v>
      </c>
      <c r="EQ13">
        <f t="shared" si="19"/>
        <v>1822.2416963729045</v>
      </c>
      <c r="ER13">
        <f t="shared" si="19"/>
        <v>216.45123469271317</v>
      </c>
      <c r="ES13">
        <f t="shared" si="19"/>
        <v>1279.6752713090925</v>
      </c>
      <c r="ET13">
        <f t="shared" si="19"/>
        <v>179.84311073822087</v>
      </c>
      <c r="EU13">
        <f t="shared" si="19"/>
        <v>587.69209625449275</v>
      </c>
      <c r="EV13">
        <f t="shared" si="19"/>
        <v>521.1703736975079</v>
      </c>
      <c r="EW13">
        <f t="shared" si="19"/>
        <v>346.52128361761561</v>
      </c>
      <c r="EX13">
        <f t="shared" si="19"/>
        <v>284.84054583222519</v>
      </c>
      <c r="EY13">
        <f t="shared" si="19"/>
        <v>5994.1846234496315</v>
      </c>
      <c r="EZ13">
        <f t="shared" si="19"/>
        <v>810.39917335224379</v>
      </c>
      <c r="FA13">
        <f t="shared" si="19"/>
        <v>4.5451655635411123</v>
      </c>
      <c r="FB13">
        <f t="shared" si="19"/>
        <v>5906.0476039395417</v>
      </c>
      <c r="FC13">
        <f t="shared" si="19"/>
        <v>778.96039693940793</v>
      </c>
      <c r="FD13">
        <f t="shared" si="19"/>
        <v>5243.1720837676121</v>
      </c>
      <c r="FE13">
        <f t="shared" si="19"/>
        <v>873.64449291459505</v>
      </c>
      <c r="FF13">
        <f t="shared" si="19"/>
        <v>202.47325255450383</v>
      </c>
      <c r="FG13">
        <f t="shared" si="19"/>
        <v>713.30414270491929</v>
      </c>
      <c r="FH13">
        <f t="shared" si="19"/>
        <v>128.11017024420809</v>
      </c>
      <c r="FI13">
        <f t="shared" si="19"/>
        <v>871.67815161331191</v>
      </c>
      <c r="FJ13">
        <f t="shared" si="19"/>
        <v>953.41730162085935</v>
      </c>
      <c r="FK13">
        <f t="shared" si="19"/>
        <v>1397.8158677021815</v>
      </c>
      <c r="FL13">
        <f t="shared" si="19"/>
        <v>1616.5832775734095</v>
      </c>
      <c r="FM13">
        <f t="shared" si="19"/>
        <v>10886.186154939664</v>
      </c>
      <c r="FN13">
        <f t="shared" si="19"/>
        <v>317.44626762650699</v>
      </c>
      <c r="FO13">
        <f t="shared" si="19"/>
        <v>3.4985139702450812</v>
      </c>
      <c r="FP13">
        <f t="shared" si="19"/>
        <v>9742.6529908439206</v>
      </c>
      <c r="FQ13">
        <f t="shared" si="19"/>
        <v>3539.8233430497635</v>
      </c>
      <c r="FR13">
        <f t="shared" si="19"/>
        <v>6822.0933004467188</v>
      </c>
      <c r="FS13">
        <f t="shared" si="19"/>
        <v>4176.7353638936711</v>
      </c>
      <c r="FT13">
        <f t="shared" si="19"/>
        <v>130.99454557347033</v>
      </c>
      <c r="FU13">
        <f t="shared" si="19"/>
        <v>3278.575605350592</v>
      </c>
      <c r="FV13">
        <f t="shared" si="19"/>
        <v>121.25897397718656</v>
      </c>
      <c r="FW13">
        <f t="shared" si="19"/>
        <v>937.28133449887969</v>
      </c>
      <c r="FX13">
        <f t="shared" si="19"/>
        <v>265.80430447981945</v>
      </c>
      <c r="FY13">
        <f t="shared" si="19"/>
        <v>2330.3835950332304</v>
      </c>
      <c r="FZ13">
        <f t="shared" si="19"/>
        <v>672.93881673596354</v>
      </c>
    </row>
    <row r="14" spans="1:202">
      <c r="A14" s="1"/>
    </row>
    <row r="15" spans="1:202">
      <c r="A15" s="1"/>
    </row>
    <row r="16" spans="1:202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7"/>
  <sheetViews>
    <sheetView zoomScale="125" zoomScaleNormal="125" zoomScalePageLayoutView="125" workbookViewId="0">
      <selection activeCell="Y11" sqref="Y11:BA12"/>
    </sheetView>
  </sheetViews>
  <sheetFormatPr baseColWidth="10" defaultRowHeight="15" x14ac:dyDescent="0"/>
  <cols>
    <col min="1" max="1" width="33" customWidth="1"/>
    <col min="2" max="2" width="12.6640625" bestFit="1" customWidth="1"/>
    <col min="24" max="24" width="26.33203125" customWidth="1"/>
    <col min="25" max="25" width="15.5" customWidth="1"/>
  </cols>
  <sheetData>
    <row r="1" spans="1:65" s="1" customFormat="1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73</v>
      </c>
      <c r="R1" s="1" t="s">
        <v>74</v>
      </c>
      <c r="S1" s="1" t="s">
        <v>75</v>
      </c>
      <c r="T1" s="1" t="s">
        <v>76</v>
      </c>
      <c r="U1" s="1" t="s">
        <v>77</v>
      </c>
      <c r="V1" s="1" t="s">
        <v>78</v>
      </c>
      <c r="W1" s="1" t="s">
        <v>79</v>
      </c>
      <c r="Y1" s="1" t="s">
        <v>80</v>
      </c>
      <c r="Z1" s="1" t="s">
        <v>81</v>
      </c>
      <c r="AA1" s="1" t="s">
        <v>82</v>
      </c>
      <c r="AB1" s="1" t="s">
        <v>83</v>
      </c>
      <c r="AC1" s="1" t="s">
        <v>84</v>
      </c>
      <c r="AD1" s="1" t="s">
        <v>85</v>
      </c>
      <c r="AE1" s="1" t="s">
        <v>86</v>
      </c>
      <c r="AF1" s="1" t="s">
        <v>87</v>
      </c>
      <c r="AG1" s="1" t="s">
        <v>88</v>
      </c>
      <c r="AH1" s="1" t="s">
        <v>89</v>
      </c>
      <c r="AI1" s="1" t="s">
        <v>90</v>
      </c>
      <c r="AJ1" s="1" t="s">
        <v>91</v>
      </c>
      <c r="AK1" s="1" t="s">
        <v>92</v>
      </c>
      <c r="AL1" s="1" t="s">
        <v>93</v>
      </c>
      <c r="AM1" s="1" t="s">
        <v>94</v>
      </c>
      <c r="AN1" s="1" t="s">
        <v>95</v>
      </c>
      <c r="AO1" s="1" t="s">
        <v>96</v>
      </c>
      <c r="AP1" s="1" t="s">
        <v>97</v>
      </c>
      <c r="AQ1" s="1" t="s">
        <v>98</v>
      </c>
      <c r="AR1" s="1" t="s">
        <v>99</v>
      </c>
      <c r="AS1" s="1" t="s">
        <v>100</v>
      </c>
      <c r="AT1" s="1" t="s">
        <v>101</v>
      </c>
      <c r="AU1" s="1" t="s">
        <v>102</v>
      </c>
      <c r="AV1" s="1" t="s">
        <v>103</v>
      </c>
      <c r="AW1" s="1" t="s">
        <v>104</v>
      </c>
      <c r="AX1" s="1" t="s">
        <v>105</v>
      </c>
      <c r="AY1" s="1" t="s">
        <v>106</v>
      </c>
      <c r="AZ1" s="1" t="s">
        <v>107</v>
      </c>
      <c r="BA1" s="1" t="s">
        <v>108</v>
      </c>
    </row>
    <row r="2" spans="1:65">
      <c r="A2" s="1">
        <v>2011</v>
      </c>
      <c r="Y2">
        <v>34342780</v>
      </c>
      <c r="Z2">
        <v>525037</v>
      </c>
      <c r="AA2">
        <v>144038</v>
      </c>
      <c r="AB2">
        <v>944469</v>
      </c>
      <c r="AC2">
        <v>755530</v>
      </c>
      <c r="AD2">
        <v>8007656</v>
      </c>
      <c r="AE2">
        <v>13263544</v>
      </c>
      <c r="AF2">
        <v>1233728</v>
      </c>
      <c r="AG2">
        <v>1066349</v>
      </c>
      <c r="AH2">
        <v>3790191</v>
      </c>
      <c r="AI2">
        <v>4499139</v>
      </c>
      <c r="AJ2">
        <v>35402</v>
      </c>
      <c r="AK2">
        <v>43501</v>
      </c>
      <c r="AL2">
        <v>34196</v>
      </c>
      <c r="AM2" t="s">
        <v>109</v>
      </c>
      <c r="AN2">
        <v>749510</v>
      </c>
      <c r="AO2">
        <v>5220</v>
      </c>
      <c r="AP2">
        <v>2360</v>
      </c>
      <c r="AQ2">
        <v>14500</v>
      </c>
      <c r="AR2">
        <v>6683</v>
      </c>
      <c r="AS2">
        <v>113675</v>
      </c>
      <c r="AT2">
        <v>311510</v>
      </c>
      <c r="AU2">
        <v>15593</v>
      </c>
      <c r="AV2">
        <v>14898</v>
      </c>
      <c r="AW2">
        <v>90242</v>
      </c>
      <c r="AX2">
        <v>174101</v>
      </c>
      <c r="AY2">
        <v>365</v>
      </c>
      <c r="AZ2">
        <v>320</v>
      </c>
      <c r="BA2">
        <v>43</v>
      </c>
    </row>
    <row r="3" spans="1:65">
      <c r="A3" s="1">
        <v>2012</v>
      </c>
      <c r="B3">
        <v>33399630</v>
      </c>
      <c r="C3">
        <v>16275110</v>
      </c>
      <c r="D3">
        <v>17124520</v>
      </c>
      <c r="E3">
        <v>14573530</v>
      </c>
      <c r="F3">
        <v>12948940</v>
      </c>
      <c r="G3">
        <v>2085710</v>
      </c>
      <c r="H3">
        <v>2268780</v>
      </c>
      <c r="I3">
        <v>6</v>
      </c>
      <c r="J3">
        <v>7</v>
      </c>
      <c r="K3">
        <v>39</v>
      </c>
      <c r="L3">
        <v>7511130</v>
      </c>
      <c r="M3">
        <v>6475020</v>
      </c>
      <c r="N3">
        <v>1037950</v>
      </c>
      <c r="O3">
        <v>930090</v>
      </c>
      <c r="P3">
        <v>6</v>
      </c>
      <c r="Q3">
        <v>6</v>
      </c>
      <c r="R3">
        <v>7062400</v>
      </c>
      <c r="S3">
        <v>6473920</v>
      </c>
      <c r="T3">
        <v>1047760</v>
      </c>
      <c r="U3">
        <v>1338690</v>
      </c>
      <c r="V3">
        <v>6</v>
      </c>
      <c r="W3">
        <v>8</v>
      </c>
      <c r="Y3">
        <v>34751476</v>
      </c>
      <c r="Z3">
        <v>526895</v>
      </c>
      <c r="AA3">
        <v>145259</v>
      </c>
      <c r="AB3">
        <v>944835</v>
      </c>
      <c r="AC3">
        <v>756836</v>
      </c>
      <c r="AD3">
        <v>8084768</v>
      </c>
      <c r="AE3">
        <v>13409558</v>
      </c>
      <c r="AF3">
        <v>1250406</v>
      </c>
      <c r="AG3">
        <v>1087223</v>
      </c>
      <c r="AH3">
        <v>3888552</v>
      </c>
      <c r="AI3">
        <v>4542578</v>
      </c>
      <c r="AJ3">
        <v>36189</v>
      </c>
      <c r="AK3">
        <v>43648</v>
      </c>
      <c r="AL3">
        <v>34729</v>
      </c>
      <c r="AM3" t="s">
        <v>110</v>
      </c>
      <c r="AN3">
        <v>771572</v>
      </c>
      <c r="AO3">
        <v>5613</v>
      </c>
      <c r="AP3">
        <v>2539</v>
      </c>
      <c r="AQ3">
        <v>15938</v>
      </c>
      <c r="AR3">
        <v>7045</v>
      </c>
      <c r="AS3">
        <v>116100</v>
      </c>
      <c r="AT3">
        <v>326762</v>
      </c>
      <c r="AU3">
        <v>16805</v>
      </c>
      <c r="AV3">
        <v>15333</v>
      </c>
      <c r="AW3">
        <v>87580</v>
      </c>
      <c r="AX3">
        <v>177049</v>
      </c>
      <c r="AY3">
        <v>382</v>
      </c>
      <c r="AZ3">
        <v>322</v>
      </c>
      <c r="BA3">
        <v>104</v>
      </c>
    </row>
    <row r="4" spans="1:65">
      <c r="A4" s="1">
        <v>2013</v>
      </c>
      <c r="B4">
        <v>33784140</v>
      </c>
      <c r="C4">
        <v>16475000</v>
      </c>
      <c r="D4">
        <v>17309140</v>
      </c>
      <c r="E4">
        <v>14749470</v>
      </c>
      <c r="F4">
        <v>13053370</v>
      </c>
      <c r="G4">
        <v>2103860</v>
      </c>
      <c r="H4">
        <v>2324870</v>
      </c>
      <c r="I4">
        <v>6</v>
      </c>
      <c r="J4">
        <v>7</v>
      </c>
      <c r="K4">
        <v>40</v>
      </c>
      <c r="L4">
        <v>7605360</v>
      </c>
      <c r="M4">
        <v>6527180</v>
      </c>
      <c r="N4">
        <v>1049690</v>
      </c>
      <c r="O4">
        <v>960300</v>
      </c>
      <c r="P4">
        <v>6</v>
      </c>
      <c r="Q4">
        <v>6</v>
      </c>
      <c r="R4">
        <v>7144110</v>
      </c>
      <c r="S4">
        <v>6526190</v>
      </c>
      <c r="T4">
        <v>1054170</v>
      </c>
      <c r="U4">
        <v>1364570</v>
      </c>
      <c r="V4">
        <v>6</v>
      </c>
      <c r="W4">
        <v>8</v>
      </c>
      <c r="Y4">
        <v>35155499</v>
      </c>
      <c r="Z4">
        <v>528017</v>
      </c>
      <c r="AA4">
        <v>145441</v>
      </c>
      <c r="AB4">
        <v>942991</v>
      </c>
      <c r="AC4">
        <v>755718</v>
      </c>
      <c r="AD4">
        <v>8154761</v>
      </c>
      <c r="AE4">
        <v>13551004</v>
      </c>
      <c r="AF4">
        <v>1265342</v>
      </c>
      <c r="AG4">
        <v>1106122</v>
      </c>
      <c r="AH4">
        <v>4007748</v>
      </c>
      <c r="AI4">
        <v>4582607</v>
      </c>
      <c r="AJ4">
        <v>36429</v>
      </c>
      <c r="AK4">
        <v>43884</v>
      </c>
      <c r="AL4">
        <v>35435</v>
      </c>
      <c r="AM4" t="s">
        <v>111</v>
      </c>
      <c r="AN4">
        <v>745333</v>
      </c>
      <c r="AO4">
        <v>5647</v>
      </c>
      <c r="AP4">
        <v>2627</v>
      </c>
      <c r="AQ4">
        <v>15853</v>
      </c>
      <c r="AR4">
        <v>7177</v>
      </c>
      <c r="AS4">
        <v>110686</v>
      </c>
      <c r="AT4">
        <v>316412</v>
      </c>
      <c r="AU4">
        <v>18001</v>
      </c>
      <c r="AV4">
        <v>15387</v>
      </c>
      <c r="AW4">
        <v>84039</v>
      </c>
      <c r="AX4">
        <v>168738</v>
      </c>
      <c r="AY4">
        <v>345</v>
      </c>
      <c r="AZ4">
        <v>323</v>
      </c>
      <c r="BA4">
        <v>98</v>
      </c>
    </row>
    <row r="5" spans="1:65">
      <c r="A5" s="1">
        <v>2014</v>
      </c>
      <c r="B5">
        <v>34164940</v>
      </c>
      <c r="C5">
        <v>16671910</v>
      </c>
      <c r="D5">
        <v>17493040</v>
      </c>
      <c r="E5">
        <v>14922630</v>
      </c>
      <c r="F5">
        <v>13163280</v>
      </c>
      <c r="G5">
        <v>2112200</v>
      </c>
      <c r="H5">
        <v>2381640</v>
      </c>
      <c r="I5">
        <v>6</v>
      </c>
      <c r="J5">
        <v>7</v>
      </c>
      <c r="K5">
        <v>40</v>
      </c>
      <c r="L5">
        <v>7697830</v>
      </c>
      <c r="M5">
        <v>6581720</v>
      </c>
      <c r="N5">
        <v>1056450</v>
      </c>
      <c r="O5">
        <v>990410</v>
      </c>
      <c r="P5">
        <v>6</v>
      </c>
      <c r="Q5">
        <v>6</v>
      </c>
      <c r="R5">
        <v>7224810</v>
      </c>
      <c r="S5">
        <v>6581560</v>
      </c>
      <c r="T5">
        <v>1055750</v>
      </c>
      <c r="U5">
        <v>1391240</v>
      </c>
      <c r="V5">
        <v>6</v>
      </c>
      <c r="W5">
        <v>8</v>
      </c>
      <c r="Y5">
        <v>35543658</v>
      </c>
      <c r="Z5">
        <v>529069</v>
      </c>
      <c r="AA5">
        <v>146162</v>
      </c>
      <c r="AB5">
        <v>942387</v>
      </c>
      <c r="AC5">
        <v>754578</v>
      </c>
      <c r="AD5">
        <v>8214885</v>
      </c>
      <c r="AE5">
        <v>13677687</v>
      </c>
      <c r="AF5">
        <v>1280242</v>
      </c>
      <c r="AG5">
        <v>1122283</v>
      </c>
      <c r="AH5">
        <v>4120897</v>
      </c>
      <c r="AI5">
        <v>4638415</v>
      </c>
      <c r="AJ5">
        <v>36990</v>
      </c>
      <c r="AK5">
        <v>43980</v>
      </c>
      <c r="AL5">
        <v>36083</v>
      </c>
      <c r="AM5" t="s">
        <v>112</v>
      </c>
      <c r="AN5">
        <v>757821</v>
      </c>
      <c r="AO5">
        <v>5702</v>
      </c>
      <c r="AP5">
        <v>2634</v>
      </c>
      <c r="AQ5">
        <v>16503</v>
      </c>
      <c r="AR5">
        <v>6959</v>
      </c>
      <c r="AS5">
        <v>111551</v>
      </c>
      <c r="AT5">
        <v>328848</v>
      </c>
      <c r="AU5">
        <v>18941</v>
      </c>
      <c r="AV5">
        <v>15592</v>
      </c>
      <c r="AW5">
        <v>82059</v>
      </c>
      <c r="AX5">
        <v>168307</v>
      </c>
      <c r="AY5">
        <v>377</v>
      </c>
      <c r="AZ5">
        <v>306</v>
      </c>
      <c r="BA5">
        <v>42</v>
      </c>
    </row>
    <row r="6" spans="1:65">
      <c r="A6" s="1">
        <v>2015</v>
      </c>
      <c r="Y6">
        <v>35851774</v>
      </c>
      <c r="Z6">
        <v>527756</v>
      </c>
      <c r="AA6">
        <v>146447</v>
      </c>
      <c r="AB6">
        <v>943002</v>
      </c>
      <c r="AC6">
        <v>753871</v>
      </c>
      <c r="AD6">
        <v>8263600</v>
      </c>
      <c r="AE6">
        <v>13792052</v>
      </c>
      <c r="AF6">
        <v>1293378</v>
      </c>
      <c r="AG6">
        <v>1133637</v>
      </c>
      <c r="AH6">
        <v>4196457</v>
      </c>
      <c r="AI6">
        <v>4683139</v>
      </c>
      <c r="AJ6">
        <v>37428</v>
      </c>
      <c r="AK6">
        <v>44088</v>
      </c>
      <c r="AL6">
        <v>36919</v>
      </c>
      <c r="AM6" t="s">
        <v>113</v>
      </c>
      <c r="AN6">
        <v>787662</v>
      </c>
      <c r="AO6">
        <v>6077</v>
      </c>
      <c r="AP6">
        <v>3045</v>
      </c>
      <c r="AQ6">
        <v>17295</v>
      </c>
      <c r="AR6">
        <v>7630</v>
      </c>
      <c r="AS6">
        <v>119752</v>
      </c>
      <c r="AT6">
        <v>345190</v>
      </c>
      <c r="AU6">
        <v>20449</v>
      </c>
      <c r="AV6">
        <v>16095</v>
      </c>
      <c r="AW6">
        <v>80426</v>
      </c>
      <c r="AX6">
        <v>170834</v>
      </c>
      <c r="AY6">
        <v>479</v>
      </c>
      <c r="AZ6">
        <v>321</v>
      </c>
      <c r="BA6">
        <v>69</v>
      </c>
    </row>
    <row r="7" spans="1:65">
      <c r="A7" s="1"/>
    </row>
    <row r="8" spans="1:65">
      <c r="A8" s="1" t="s">
        <v>292</v>
      </c>
      <c r="B8">
        <f>AVERAGE(B2:B6)</f>
        <v>33782903.333333336</v>
      </c>
      <c r="C8">
        <f t="shared" ref="C8:W8" si="0">AVERAGE(C2:C6)</f>
        <v>16474006.666666666</v>
      </c>
      <c r="D8">
        <f t="shared" si="0"/>
        <v>17308900</v>
      </c>
      <c r="E8">
        <f t="shared" si="0"/>
        <v>14748543.333333334</v>
      </c>
      <c r="F8">
        <f t="shared" si="0"/>
        <v>13055196.666666666</v>
      </c>
      <c r="G8">
        <f t="shared" si="0"/>
        <v>2100590</v>
      </c>
      <c r="H8">
        <f t="shared" si="0"/>
        <v>2325096.6666666665</v>
      </c>
      <c r="I8">
        <f t="shared" si="0"/>
        <v>6</v>
      </c>
      <c r="J8">
        <f t="shared" si="0"/>
        <v>7</v>
      </c>
      <c r="K8">
        <f t="shared" si="0"/>
        <v>39.666666666666664</v>
      </c>
      <c r="L8">
        <f t="shared" si="0"/>
        <v>7604773.333333333</v>
      </c>
      <c r="M8">
        <f t="shared" si="0"/>
        <v>6527973.333333333</v>
      </c>
      <c r="N8">
        <f t="shared" si="0"/>
        <v>1048030</v>
      </c>
      <c r="O8">
        <f t="shared" si="0"/>
        <v>960266.66666666663</v>
      </c>
      <c r="P8">
        <f t="shared" si="0"/>
        <v>6</v>
      </c>
      <c r="Q8">
        <f t="shared" si="0"/>
        <v>6</v>
      </c>
      <c r="R8">
        <f t="shared" si="0"/>
        <v>7143773.333333333</v>
      </c>
      <c r="S8">
        <f t="shared" si="0"/>
        <v>6527223.333333333</v>
      </c>
      <c r="T8">
        <f t="shared" si="0"/>
        <v>1052560</v>
      </c>
      <c r="U8">
        <f t="shared" si="0"/>
        <v>1364833.3333333333</v>
      </c>
      <c r="V8">
        <f t="shared" si="0"/>
        <v>6</v>
      </c>
      <c r="W8">
        <f t="shared" si="0"/>
        <v>8</v>
      </c>
      <c r="X8" s="1" t="s">
        <v>52</v>
      </c>
      <c r="Y8">
        <f>AVERAGE(Y2:Y6)</f>
        <v>35129037.399999999</v>
      </c>
      <c r="Z8">
        <f t="shared" ref="Z8:BA8" si="1">AVERAGE(Z2:Z6)</f>
        <v>527354.80000000005</v>
      </c>
      <c r="AA8">
        <f t="shared" si="1"/>
        <v>145469.4</v>
      </c>
      <c r="AB8">
        <f t="shared" si="1"/>
        <v>943536.8</v>
      </c>
      <c r="AC8">
        <f t="shared" si="1"/>
        <v>755306.6</v>
      </c>
      <c r="AD8">
        <f t="shared" si="1"/>
        <v>8145134</v>
      </c>
      <c r="AE8">
        <f t="shared" si="1"/>
        <v>13538769</v>
      </c>
      <c r="AF8">
        <f t="shared" si="1"/>
        <v>1264619.2</v>
      </c>
      <c r="AG8">
        <f t="shared" si="1"/>
        <v>1103122.8</v>
      </c>
      <c r="AH8">
        <f t="shared" si="1"/>
        <v>4000769</v>
      </c>
      <c r="AI8">
        <f t="shared" si="1"/>
        <v>4589175.5999999996</v>
      </c>
      <c r="AJ8">
        <f t="shared" si="1"/>
        <v>36487.599999999999</v>
      </c>
      <c r="AK8">
        <f t="shared" si="1"/>
        <v>43820.2</v>
      </c>
      <c r="AL8">
        <f t="shared" si="1"/>
        <v>35472.400000000001</v>
      </c>
      <c r="AM8" t="e">
        <f t="shared" si="1"/>
        <v>#DIV/0!</v>
      </c>
      <c r="AN8">
        <f t="shared" si="1"/>
        <v>762379.6</v>
      </c>
      <c r="AO8">
        <f t="shared" si="1"/>
        <v>5651.8</v>
      </c>
      <c r="AP8">
        <f t="shared" si="1"/>
        <v>2641</v>
      </c>
      <c r="AQ8">
        <f t="shared" si="1"/>
        <v>16017.8</v>
      </c>
      <c r="AR8">
        <f t="shared" si="1"/>
        <v>7098.8</v>
      </c>
      <c r="AS8">
        <f t="shared" si="1"/>
        <v>114352.8</v>
      </c>
      <c r="AT8">
        <f t="shared" si="1"/>
        <v>325744.40000000002</v>
      </c>
      <c r="AU8">
        <f t="shared" si="1"/>
        <v>17957.8</v>
      </c>
      <c r="AV8">
        <f t="shared" si="1"/>
        <v>15461</v>
      </c>
      <c r="AW8">
        <f t="shared" si="1"/>
        <v>84869.2</v>
      </c>
      <c r="AX8">
        <f t="shared" si="1"/>
        <v>171805.8</v>
      </c>
      <c r="AY8">
        <f t="shared" si="1"/>
        <v>389.6</v>
      </c>
      <c r="AZ8">
        <f t="shared" si="1"/>
        <v>318.39999999999998</v>
      </c>
      <c r="BA8">
        <f t="shared" si="1"/>
        <v>71.2</v>
      </c>
    </row>
    <row r="9" spans="1:65">
      <c r="A9" s="1" t="s">
        <v>293</v>
      </c>
      <c r="B9">
        <f>AVERAGE(B3:B5)</f>
        <v>33782903.333333336</v>
      </c>
      <c r="C9">
        <f t="shared" ref="C9:W9" si="2">AVERAGE(C3:C5)</f>
        <v>16474006.666666666</v>
      </c>
      <c r="D9">
        <f t="shared" si="2"/>
        <v>17308900</v>
      </c>
      <c r="E9">
        <f t="shared" si="2"/>
        <v>14748543.333333334</v>
      </c>
      <c r="F9">
        <f t="shared" si="2"/>
        <v>13055196.666666666</v>
      </c>
      <c r="G9">
        <f t="shared" si="2"/>
        <v>2100590</v>
      </c>
      <c r="H9">
        <f t="shared" si="2"/>
        <v>2325096.6666666665</v>
      </c>
      <c r="I9">
        <f t="shared" si="2"/>
        <v>6</v>
      </c>
      <c r="J9">
        <f t="shared" si="2"/>
        <v>7</v>
      </c>
      <c r="K9">
        <f t="shared" si="2"/>
        <v>39.666666666666664</v>
      </c>
      <c r="L9">
        <f t="shared" si="2"/>
        <v>7604773.333333333</v>
      </c>
      <c r="M9">
        <f t="shared" si="2"/>
        <v>6527973.333333333</v>
      </c>
      <c r="N9">
        <f t="shared" si="2"/>
        <v>1048030</v>
      </c>
      <c r="O9">
        <f t="shared" si="2"/>
        <v>960266.66666666663</v>
      </c>
      <c r="P9">
        <f t="shared" si="2"/>
        <v>6</v>
      </c>
      <c r="Q9">
        <f t="shared" si="2"/>
        <v>6</v>
      </c>
      <c r="R9">
        <f t="shared" si="2"/>
        <v>7143773.333333333</v>
      </c>
      <c r="S9">
        <f t="shared" si="2"/>
        <v>6527223.333333333</v>
      </c>
      <c r="T9">
        <f t="shared" si="2"/>
        <v>1052560</v>
      </c>
      <c r="U9">
        <f t="shared" si="2"/>
        <v>1364833.3333333333</v>
      </c>
      <c r="V9">
        <f t="shared" si="2"/>
        <v>6</v>
      </c>
      <c r="W9">
        <f t="shared" si="2"/>
        <v>8</v>
      </c>
      <c r="X9" s="1" t="s">
        <v>53</v>
      </c>
      <c r="Y9">
        <f>_xlfn.VAR.P(Y2:Y6)</f>
        <v>291142392204.64001</v>
      </c>
      <c r="Z9">
        <f t="shared" ref="Z9:BA9" si="3">_xlfn.VAR.P(Z2:Z6)</f>
        <v>1824312.9599999997</v>
      </c>
      <c r="AA9">
        <f t="shared" si="3"/>
        <v>705875.44000000006</v>
      </c>
      <c r="AB9">
        <f t="shared" si="3"/>
        <v>892053.76</v>
      </c>
      <c r="AC9">
        <f t="shared" si="3"/>
        <v>1030005.4399999998</v>
      </c>
      <c r="AD9">
        <f t="shared" si="3"/>
        <v>8307265745.1999998</v>
      </c>
      <c r="AE9">
        <f t="shared" si="3"/>
        <v>35208893436.800003</v>
      </c>
      <c r="AF9">
        <f t="shared" si="3"/>
        <v>445588837.76000005</v>
      </c>
      <c r="AG9">
        <f t="shared" si="3"/>
        <v>582468174.55999994</v>
      </c>
      <c r="AH9">
        <f t="shared" si="3"/>
        <v>21941797068.400002</v>
      </c>
      <c r="AI9">
        <f t="shared" si="3"/>
        <v>4314942244.6400003</v>
      </c>
      <c r="AJ9">
        <f t="shared" si="3"/>
        <v>481576.23999999993</v>
      </c>
      <c r="AK9">
        <f t="shared" si="3"/>
        <v>46572.959999999999</v>
      </c>
      <c r="AL9">
        <f t="shared" si="3"/>
        <v>929744.64</v>
      </c>
      <c r="AM9" t="e">
        <f t="shared" si="3"/>
        <v>#DIV/0!</v>
      </c>
      <c r="AN9">
        <f t="shared" si="3"/>
        <v>240138795.44</v>
      </c>
      <c r="AO9">
        <f t="shared" si="3"/>
        <v>74258.959999999992</v>
      </c>
      <c r="AP9">
        <f t="shared" si="3"/>
        <v>50565.2</v>
      </c>
      <c r="AQ9">
        <f t="shared" si="3"/>
        <v>840780.55999999994</v>
      </c>
      <c r="AR9">
        <f t="shared" si="3"/>
        <v>96723.360000000015</v>
      </c>
      <c r="AS9">
        <f t="shared" si="3"/>
        <v>10791797.359999999</v>
      </c>
      <c r="AT9">
        <f t="shared" si="3"/>
        <v>135702207.04000002</v>
      </c>
      <c r="AU9">
        <f t="shared" si="3"/>
        <v>2819170.5599999996</v>
      </c>
      <c r="AV9">
        <f t="shared" si="3"/>
        <v>151589.20000000001</v>
      </c>
      <c r="AW9">
        <f t="shared" si="3"/>
        <v>12908779.76</v>
      </c>
      <c r="AX9">
        <f t="shared" si="3"/>
        <v>11071296.559999999</v>
      </c>
      <c r="AY9">
        <f t="shared" si="3"/>
        <v>2160.64</v>
      </c>
      <c r="AZ9">
        <f t="shared" si="3"/>
        <v>39.44</v>
      </c>
      <c r="BA9">
        <f t="shared" si="3"/>
        <v>689.36</v>
      </c>
    </row>
    <row r="10" spans="1:65">
      <c r="A10" s="1" t="s">
        <v>294</v>
      </c>
      <c r="B10">
        <f>_xlfn.VAR.P(B2:B6)</f>
        <v>97617330688.88887</v>
      </c>
      <c r="C10">
        <f t="shared" ref="C10:W10" si="4">_xlfn.VAR.P(C2:C6)</f>
        <v>26242200022.222218</v>
      </c>
      <c r="D10">
        <f t="shared" si="4"/>
        <v>22634527200</v>
      </c>
      <c r="E10">
        <f t="shared" si="4"/>
        <v>20312231022.222221</v>
      </c>
      <c r="F10">
        <f t="shared" si="4"/>
        <v>7658607622.2222214</v>
      </c>
      <c r="G10">
        <f t="shared" si="4"/>
        <v>122299800</v>
      </c>
      <c r="H10">
        <f t="shared" si="4"/>
        <v>2122922288.8888886</v>
      </c>
      <c r="I10">
        <f t="shared" si="4"/>
        <v>0</v>
      </c>
      <c r="J10">
        <f t="shared" si="4"/>
        <v>0</v>
      </c>
      <c r="K10">
        <f t="shared" si="4"/>
        <v>0.22222222222222224</v>
      </c>
      <c r="L10">
        <f t="shared" si="4"/>
        <v>5809653755.5555563</v>
      </c>
      <c r="M10">
        <f t="shared" si="4"/>
        <v>1897796355.5555553</v>
      </c>
      <c r="N10">
        <f t="shared" si="4"/>
        <v>58419466.666666664</v>
      </c>
      <c r="O10">
        <f t="shared" si="4"/>
        <v>606417622.22222221</v>
      </c>
      <c r="P10">
        <f t="shared" si="4"/>
        <v>0</v>
      </c>
      <c r="Q10">
        <f t="shared" si="4"/>
        <v>0</v>
      </c>
      <c r="R10">
        <f t="shared" si="4"/>
        <v>4396224688.8888893</v>
      </c>
      <c r="S10">
        <f t="shared" si="4"/>
        <v>1931595488.8888886</v>
      </c>
      <c r="T10">
        <f t="shared" si="4"/>
        <v>11936066.666666666</v>
      </c>
      <c r="U10">
        <f t="shared" si="4"/>
        <v>460285088.8888889</v>
      </c>
      <c r="V10">
        <f t="shared" si="4"/>
        <v>0</v>
      </c>
      <c r="W10">
        <f t="shared" si="4"/>
        <v>0</v>
      </c>
      <c r="X10" s="1" t="s">
        <v>54</v>
      </c>
      <c r="Y10">
        <f>_xlfn.VAR.S(Y2:Y6)</f>
        <v>363927990255.79999</v>
      </c>
      <c r="Z10">
        <f t="shared" ref="Z10:BA10" si="5">_xlfn.VAR.S(Z2:Z6)</f>
        <v>2280391.1999999997</v>
      </c>
      <c r="AA10">
        <f t="shared" si="5"/>
        <v>882344.3</v>
      </c>
      <c r="AB10">
        <f t="shared" si="5"/>
        <v>1115067.2</v>
      </c>
      <c r="AC10">
        <f t="shared" si="5"/>
        <v>1287506.7999999998</v>
      </c>
      <c r="AD10">
        <f t="shared" si="5"/>
        <v>10384082181.5</v>
      </c>
      <c r="AE10">
        <f t="shared" si="5"/>
        <v>44011116796</v>
      </c>
      <c r="AF10">
        <f t="shared" si="5"/>
        <v>556986047.20000005</v>
      </c>
      <c r="AG10">
        <f t="shared" si="5"/>
        <v>728085218.19999993</v>
      </c>
      <c r="AH10">
        <f t="shared" si="5"/>
        <v>27427246335.5</v>
      </c>
      <c r="AI10">
        <f t="shared" si="5"/>
        <v>5393677805.8000002</v>
      </c>
      <c r="AJ10">
        <f t="shared" si="5"/>
        <v>601970.29999999993</v>
      </c>
      <c r="AK10">
        <f t="shared" si="5"/>
        <v>58216.2</v>
      </c>
      <c r="AL10">
        <f t="shared" si="5"/>
        <v>1162180.8</v>
      </c>
      <c r="AM10" t="e">
        <f t="shared" si="5"/>
        <v>#DIV/0!</v>
      </c>
      <c r="AN10">
        <f t="shared" si="5"/>
        <v>300173494.30000001</v>
      </c>
      <c r="AO10">
        <f t="shared" si="5"/>
        <v>92823.7</v>
      </c>
      <c r="AP10">
        <f t="shared" si="5"/>
        <v>63206.5</v>
      </c>
      <c r="AQ10">
        <f t="shared" si="5"/>
        <v>1050975.7</v>
      </c>
      <c r="AR10">
        <f t="shared" si="5"/>
        <v>120904.20000000001</v>
      </c>
      <c r="AS10">
        <f t="shared" si="5"/>
        <v>13489746.699999999</v>
      </c>
      <c r="AT10">
        <f t="shared" si="5"/>
        <v>169627758.80000001</v>
      </c>
      <c r="AU10">
        <f t="shared" si="5"/>
        <v>3523963.1999999997</v>
      </c>
      <c r="AV10">
        <f t="shared" si="5"/>
        <v>189486.5</v>
      </c>
      <c r="AW10">
        <f t="shared" si="5"/>
        <v>16135974.699999999</v>
      </c>
      <c r="AX10">
        <f t="shared" si="5"/>
        <v>13839120.699999999</v>
      </c>
      <c r="AY10">
        <f t="shared" si="5"/>
        <v>2700.7999999999884</v>
      </c>
      <c r="AZ10">
        <f t="shared" si="5"/>
        <v>49.3</v>
      </c>
      <c r="BA10">
        <f t="shared" si="5"/>
        <v>861.69999999999982</v>
      </c>
    </row>
    <row r="11" spans="1:65">
      <c r="A11" s="1" t="s">
        <v>295</v>
      </c>
      <c r="B11">
        <f>_xlfn.VAR.P(B3:B5)</f>
        <v>97617330688.88887</v>
      </c>
      <c r="C11">
        <f t="shared" ref="C11:W11" si="6">_xlfn.VAR.P(C3:C5)</f>
        <v>26242200022.222218</v>
      </c>
      <c r="D11">
        <f t="shared" si="6"/>
        <v>22634527200</v>
      </c>
      <c r="E11">
        <f t="shared" si="6"/>
        <v>20312231022.222221</v>
      </c>
      <c r="F11">
        <f t="shared" si="6"/>
        <v>7658607622.2222214</v>
      </c>
      <c r="G11">
        <f t="shared" si="6"/>
        <v>122299800</v>
      </c>
      <c r="H11">
        <f t="shared" si="6"/>
        <v>2122922288.8888886</v>
      </c>
      <c r="I11">
        <f t="shared" si="6"/>
        <v>0</v>
      </c>
      <c r="J11">
        <f t="shared" si="6"/>
        <v>0</v>
      </c>
      <c r="K11">
        <f t="shared" si="6"/>
        <v>0.22222222222222224</v>
      </c>
      <c r="L11">
        <f t="shared" si="6"/>
        <v>5809653755.5555563</v>
      </c>
      <c r="M11">
        <f t="shared" si="6"/>
        <v>1897796355.5555553</v>
      </c>
      <c r="N11">
        <f t="shared" si="6"/>
        <v>58419466.666666664</v>
      </c>
      <c r="O11">
        <f t="shared" si="6"/>
        <v>606417622.22222221</v>
      </c>
      <c r="P11">
        <f t="shared" si="6"/>
        <v>0</v>
      </c>
      <c r="Q11">
        <f t="shared" si="6"/>
        <v>0</v>
      </c>
      <c r="R11">
        <f t="shared" si="6"/>
        <v>4396224688.8888893</v>
      </c>
      <c r="S11">
        <f t="shared" si="6"/>
        <v>1931595488.8888886</v>
      </c>
      <c r="T11">
        <f t="shared" si="6"/>
        <v>11936066.666666666</v>
      </c>
      <c r="U11">
        <f t="shared" si="6"/>
        <v>460285088.8888889</v>
      </c>
      <c r="V11">
        <f t="shared" si="6"/>
        <v>0</v>
      </c>
      <c r="W11">
        <f t="shared" si="6"/>
        <v>0</v>
      </c>
      <c r="X11" s="1" t="s">
        <v>55</v>
      </c>
      <c r="Y11">
        <f>_xlfn.STDEV.P(Y2:Y6)</f>
        <v>539576.12271545152</v>
      </c>
      <c r="Z11">
        <f t="shared" ref="Z11:BA11" si="7">_xlfn.STDEV.P(Z2:Z6)</f>
        <v>1350.6712997617146</v>
      </c>
      <c r="AA11">
        <f t="shared" si="7"/>
        <v>840.16393638384648</v>
      </c>
      <c r="AB11">
        <f t="shared" si="7"/>
        <v>944.48597660314681</v>
      </c>
      <c r="AC11">
        <f t="shared" si="7"/>
        <v>1014.8918366013197</v>
      </c>
      <c r="AD11">
        <f t="shared" si="7"/>
        <v>91144.203025754745</v>
      </c>
      <c r="AE11">
        <f t="shared" si="7"/>
        <v>187640.32998478765</v>
      </c>
      <c r="AF11">
        <f t="shared" si="7"/>
        <v>21108.975289198668</v>
      </c>
      <c r="AG11">
        <f t="shared" si="7"/>
        <v>24134.377442975401</v>
      </c>
      <c r="AH11">
        <f t="shared" si="7"/>
        <v>148127.63776014253</v>
      </c>
      <c r="AI11">
        <f t="shared" si="7"/>
        <v>65688.219983799223</v>
      </c>
      <c r="AJ11">
        <f t="shared" si="7"/>
        <v>693.95694390934648</v>
      </c>
      <c r="AK11">
        <f t="shared" si="7"/>
        <v>215.80769217059895</v>
      </c>
      <c r="AL11">
        <f t="shared" si="7"/>
        <v>964.23266901718284</v>
      </c>
      <c r="AM11" t="e">
        <f t="shared" si="7"/>
        <v>#DIV/0!</v>
      </c>
      <c r="AN11">
        <f t="shared" si="7"/>
        <v>15496.412340925883</v>
      </c>
      <c r="AO11">
        <f t="shared" si="7"/>
        <v>272.50497243169707</v>
      </c>
      <c r="AP11">
        <f t="shared" si="7"/>
        <v>224.86707184467895</v>
      </c>
      <c r="AQ11">
        <f t="shared" si="7"/>
        <v>916.94087050365465</v>
      </c>
      <c r="AR11">
        <f t="shared" si="7"/>
        <v>311.0037941890742</v>
      </c>
      <c r="AS11">
        <f t="shared" si="7"/>
        <v>3285.0871160442607</v>
      </c>
      <c r="AT11">
        <f t="shared" si="7"/>
        <v>11649.129024952896</v>
      </c>
      <c r="AU11">
        <f t="shared" si="7"/>
        <v>1679.038582046285</v>
      </c>
      <c r="AV11">
        <f t="shared" si="7"/>
        <v>389.34457746320294</v>
      </c>
      <c r="AW11">
        <f t="shared" si="7"/>
        <v>3592.8790349801648</v>
      </c>
      <c r="AX11">
        <f t="shared" si="7"/>
        <v>3327.3557910148411</v>
      </c>
      <c r="AY11">
        <f t="shared" si="7"/>
        <v>46.482684948268641</v>
      </c>
      <c r="AZ11">
        <f t="shared" si="7"/>
        <v>6.2801273872430325</v>
      </c>
      <c r="BA11">
        <f t="shared" si="7"/>
        <v>26.255666055158457</v>
      </c>
    </row>
    <row r="12" spans="1:65">
      <c r="A12" s="1" t="s">
        <v>296</v>
      </c>
      <c r="B12">
        <f>_xlfn.VAR.S(B2:B6)</f>
        <v>146425996033.33331</v>
      </c>
      <c r="C12">
        <f t="shared" ref="C12:W12" si="8">_xlfn.VAR.S(C2:C6)</f>
        <v>39363300033.333328</v>
      </c>
      <c r="D12">
        <f t="shared" si="8"/>
        <v>33951790800</v>
      </c>
      <c r="E12">
        <f t="shared" si="8"/>
        <v>30468346533.333332</v>
      </c>
      <c r="F12">
        <f t="shared" si="8"/>
        <v>11487911433.333332</v>
      </c>
      <c r="G12">
        <f t="shared" si="8"/>
        <v>183449700</v>
      </c>
      <c r="H12">
        <f t="shared" si="8"/>
        <v>3184383433.333333</v>
      </c>
      <c r="I12">
        <f t="shared" si="8"/>
        <v>0</v>
      </c>
      <c r="J12">
        <f t="shared" si="8"/>
        <v>0</v>
      </c>
      <c r="K12">
        <f t="shared" si="8"/>
        <v>0.33333333333333337</v>
      </c>
      <c r="L12">
        <f t="shared" si="8"/>
        <v>8714480633.333334</v>
      </c>
      <c r="M12">
        <f t="shared" si="8"/>
        <v>2846694533.333333</v>
      </c>
      <c r="N12">
        <f t="shared" si="8"/>
        <v>87629200</v>
      </c>
      <c r="O12">
        <f t="shared" si="8"/>
        <v>909626433.33333337</v>
      </c>
      <c r="P12">
        <f t="shared" si="8"/>
        <v>0</v>
      </c>
      <c r="Q12">
        <f t="shared" si="8"/>
        <v>0</v>
      </c>
      <c r="R12">
        <f t="shared" si="8"/>
        <v>6594337033.333334</v>
      </c>
      <c r="S12">
        <f t="shared" si="8"/>
        <v>2897393233.333333</v>
      </c>
      <c r="T12">
        <f t="shared" si="8"/>
        <v>17904100</v>
      </c>
      <c r="U12">
        <f t="shared" si="8"/>
        <v>690427633.33333337</v>
      </c>
      <c r="V12">
        <f t="shared" si="8"/>
        <v>0</v>
      </c>
      <c r="W12">
        <f t="shared" si="8"/>
        <v>0</v>
      </c>
      <c r="X12" s="1" t="s">
        <v>56</v>
      </c>
      <c r="Y12">
        <f>_xlfn.STDEV.S(Y2:Y6)</f>
        <v>603264.444713759</v>
      </c>
      <c r="Z12">
        <f t="shared" ref="Z12:BA12" si="9">_xlfn.STDEV.S(Z2:Z6)</f>
        <v>1510.0964207625948</v>
      </c>
      <c r="AA12">
        <f t="shared" si="9"/>
        <v>939.33183699904475</v>
      </c>
      <c r="AB12">
        <f t="shared" si="9"/>
        <v>1055.9674237399561</v>
      </c>
      <c r="AC12">
        <f t="shared" si="9"/>
        <v>1134.6835682250801</v>
      </c>
      <c r="AD12">
        <f t="shared" si="9"/>
        <v>101902.31686031481</v>
      </c>
      <c r="AE12">
        <f t="shared" si="9"/>
        <v>209788.26658323864</v>
      </c>
      <c r="AF12">
        <f t="shared" si="9"/>
        <v>23600.551841005752</v>
      </c>
      <c r="AG12">
        <f t="shared" si="9"/>
        <v>26983.054278565276</v>
      </c>
      <c r="AH12">
        <f t="shared" si="9"/>
        <v>165611.73368907167</v>
      </c>
      <c r="AI12">
        <f t="shared" si="9"/>
        <v>73441.662602367607</v>
      </c>
      <c r="AJ12">
        <f t="shared" si="9"/>
        <v>775.8674500196538</v>
      </c>
      <c r="AK12">
        <f t="shared" si="9"/>
        <v>241.28033488040421</v>
      </c>
      <c r="AL12">
        <f t="shared" si="9"/>
        <v>1078.044897024238</v>
      </c>
      <c r="AM12" t="e">
        <f t="shared" si="9"/>
        <v>#DIV/0!</v>
      </c>
      <c r="AN12">
        <f t="shared" si="9"/>
        <v>17325.515700838459</v>
      </c>
      <c r="AO12">
        <f t="shared" si="9"/>
        <v>304.66982128199044</v>
      </c>
      <c r="AP12">
        <f t="shared" si="9"/>
        <v>251.40902927301556</v>
      </c>
      <c r="AQ12">
        <f t="shared" si="9"/>
        <v>1025.1710588970018</v>
      </c>
      <c r="AR12">
        <f t="shared" si="9"/>
        <v>347.71281253356199</v>
      </c>
      <c r="AS12">
        <f t="shared" si="9"/>
        <v>3672.8390517418538</v>
      </c>
      <c r="AT12">
        <f t="shared" si="9"/>
        <v>13024.12218923026</v>
      </c>
      <c r="AU12">
        <f t="shared" si="9"/>
        <v>1877.2222031501758</v>
      </c>
      <c r="AV12">
        <f t="shared" si="9"/>
        <v>435.30047093932717</v>
      </c>
      <c r="AW12">
        <f t="shared" si="9"/>
        <v>4016.9608785747464</v>
      </c>
      <c r="AX12">
        <f t="shared" si="9"/>
        <v>3720.0968670183843</v>
      </c>
      <c r="AY12">
        <f t="shared" si="9"/>
        <v>51.969221660517377</v>
      </c>
      <c r="AZ12">
        <f t="shared" si="9"/>
        <v>7.0213958726167833</v>
      </c>
      <c r="BA12">
        <f t="shared" si="9"/>
        <v>29.354727046934023</v>
      </c>
    </row>
    <row r="13" spans="1:65">
      <c r="A13" s="1" t="s">
        <v>297</v>
      </c>
      <c r="B13">
        <f>_xlfn.VAR.S(B3:B7)</f>
        <v>146425996033.33331</v>
      </c>
      <c r="C13">
        <f t="shared" ref="C13:W13" si="10">_xlfn.VAR.S(C3:C7)</f>
        <v>39363300033.333328</v>
      </c>
      <c r="D13">
        <f t="shared" si="10"/>
        <v>33951790800</v>
      </c>
      <c r="E13">
        <f t="shared" si="10"/>
        <v>30468346533.333332</v>
      </c>
      <c r="F13">
        <f t="shared" si="10"/>
        <v>11487911433.333332</v>
      </c>
      <c r="G13">
        <f t="shared" si="10"/>
        <v>183449700</v>
      </c>
      <c r="H13">
        <f t="shared" si="10"/>
        <v>3184383433.333333</v>
      </c>
      <c r="I13">
        <f t="shared" si="10"/>
        <v>0</v>
      </c>
      <c r="J13">
        <f t="shared" si="10"/>
        <v>0</v>
      </c>
      <c r="K13">
        <f t="shared" si="10"/>
        <v>0.33333333333333337</v>
      </c>
      <c r="L13">
        <f t="shared" si="10"/>
        <v>8714480633.333334</v>
      </c>
      <c r="M13">
        <f t="shared" si="10"/>
        <v>2846694533.333333</v>
      </c>
      <c r="N13">
        <f t="shared" si="10"/>
        <v>87629200</v>
      </c>
      <c r="O13">
        <f t="shared" si="10"/>
        <v>909626433.33333337</v>
      </c>
      <c r="P13">
        <f t="shared" si="10"/>
        <v>0</v>
      </c>
      <c r="Q13">
        <f t="shared" si="10"/>
        <v>0</v>
      </c>
      <c r="R13">
        <f t="shared" si="10"/>
        <v>6594337033.333334</v>
      </c>
      <c r="S13">
        <f t="shared" si="10"/>
        <v>2897393233.333333</v>
      </c>
      <c r="T13">
        <f t="shared" si="10"/>
        <v>17904100</v>
      </c>
      <c r="U13">
        <f t="shared" si="10"/>
        <v>690427633.33333337</v>
      </c>
      <c r="V13">
        <f t="shared" si="10"/>
        <v>0</v>
      </c>
      <c r="W13">
        <f t="shared" si="10"/>
        <v>0</v>
      </c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</row>
    <row r="14" spans="1:65">
      <c r="A14" s="1" t="s">
        <v>298</v>
      </c>
      <c r="B14">
        <f>_xlfn.STDEV.P(B2:B6)</f>
        <v>312437.72289672203</v>
      </c>
      <c r="C14">
        <f t="shared" ref="C14:W14" si="11">_xlfn.STDEV.P(C2:C6)</f>
        <v>161994.44441777075</v>
      </c>
      <c r="D14">
        <f t="shared" si="11"/>
        <v>150447.75571606244</v>
      </c>
      <c r="E14">
        <f t="shared" si="11"/>
        <v>142520.98449780027</v>
      </c>
      <c r="F14">
        <f t="shared" si="11"/>
        <v>87513.471090011168</v>
      </c>
      <c r="G14">
        <f t="shared" si="11"/>
        <v>11058.923998292059</v>
      </c>
      <c r="H14">
        <f t="shared" si="11"/>
        <v>46075.180834033505</v>
      </c>
      <c r="I14">
        <f t="shared" si="11"/>
        <v>0</v>
      </c>
      <c r="J14">
        <f t="shared" si="11"/>
        <v>0</v>
      </c>
      <c r="K14">
        <f t="shared" si="11"/>
        <v>0.47140452079103168</v>
      </c>
      <c r="L14">
        <f t="shared" si="11"/>
        <v>76221.084717783669</v>
      </c>
      <c r="M14">
        <f t="shared" si="11"/>
        <v>43563.704566480053</v>
      </c>
      <c r="N14">
        <f t="shared" si="11"/>
        <v>7643.2628285743695</v>
      </c>
      <c r="O14">
        <f t="shared" si="11"/>
        <v>24625.548160847553</v>
      </c>
      <c r="P14">
        <f t="shared" si="11"/>
        <v>0</v>
      </c>
      <c r="Q14">
        <f t="shared" si="11"/>
        <v>0</v>
      </c>
      <c r="R14">
        <f t="shared" si="11"/>
        <v>66304.032221946269</v>
      </c>
      <c r="S14">
        <f t="shared" si="11"/>
        <v>43949.920237571409</v>
      </c>
      <c r="T14">
        <f t="shared" si="11"/>
        <v>3454.8613093243939</v>
      </c>
      <c r="U14">
        <f t="shared" si="11"/>
        <v>21454.255729082957</v>
      </c>
      <c r="V14">
        <f t="shared" si="11"/>
        <v>0</v>
      </c>
      <c r="W14">
        <f t="shared" si="11"/>
        <v>0</v>
      </c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</row>
    <row r="15" spans="1:65">
      <c r="A15" s="1" t="s">
        <v>299</v>
      </c>
      <c r="B15">
        <f>_xlfn.STDEV.P(B3:B5)</f>
        <v>312437.72289672203</v>
      </c>
      <c r="C15">
        <f t="shared" ref="C15:W15" si="12">_xlfn.STDEV.P(C3:C5)</f>
        <v>161994.44441777075</v>
      </c>
      <c r="D15">
        <f t="shared" si="12"/>
        <v>150447.75571606244</v>
      </c>
      <c r="E15">
        <f t="shared" si="12"/>
        <v>142520.98449780027</v>
      </c>
      <c r="F15">
        <f t="shared" si="12"/>
        <v>87513.471090011168</v>
      </c>
      <c r="G15">
        <f t="shared" si="12"/>
        <v>11058.923998292059</v>
      </c>
      <c r="H15">
        <f t="shared" si="12"/>
        <v>46075.180834033505</v>
      </c>
      <c r="I15">
        <f t="shared" si="12"/>
        <v>0</v>
      </c>
      <c r="J15">
        <f t="shared" si="12"/>
        <v>0</v>
      </c>
      <c r="K15">
        <f t="shared" si="12"/>
        <v>0.47140452079103168</v>
      </c>
      <c r="L15">
        <f t="shared" si="12"/>
        <v>76221.084717783669</v>
      </c>
      <c r="M15">
        <f t="shared" si="12"/>
        <v>43563.704566480053</v>
      </c>
      <c r="N15">
        <f t="shared" si="12"/>
        <v>7643.2628285743695</v>
      </c>
      <c r="O15">
        <f t="shared" si="12"/>
        <v>24625.548160847553</v>
      </c>
      <c r="P15">
        <f t="shared" si="12"/>
        <v>0</v>
      </c>
      <c r="Q15">
        <f t="shared" si="12"/>
        <v>0</v>
      </c>
      <c r="R15">
        <f t="shared" si="12"/>
        <v>66304.032221946269</v>
      </c>
      <c r="S15">
        <f t="shared" si="12"/>
        <v>43949.920237571409</v>
      </c>
      <c r="T15">
        <f t="shared" si="12"/>
        <v>3454.8613093243939</v>
      </c>
      <c r="U15">
        <f t="shared" si="12"/>
        <v>21454.255729082957</v>
      </c>
      <c r="V15">
        <f t="shared" si="12"/>
        <v>0</v>
      </c>
      <c r="W15">
        <f t="shared" si="12"/>
        <v>0</v>
      </c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</row>
    <row r="16" spans="1:65">
      <c r="A16" s="1" t="s">
        <v>300</v>
      </c>
      <c r="B16">
        <f>_xlfn.STDEV.S(B2:B6)</f>
        <v>382656.49874702678</v>
      </c>
      <c r="C16">
        <f t="shared" ref="C16:W16" si="13">_xlfn.STDEV.S(C2:C6)</f>
        <v>198401.86499459457</v>
      </c>
      <c r="D16">
        <f t="shared" si="13"/>
        <v>184260.11722562212</v>
      </c>
      <c r="E16">
        <f t="shared" si="13"/>
        <v>174551.84482936104</v>
      </c>
      <c r="F16">
        <f t="shared" si="13"/>
        <v>107181.67489516728</v>
      </c>
      <c r="G16">
        <f t="shared" si="13"/>
        <v>13544.360450017564</v>
      </c>
      <c r="H16">
        <f t="shared" si="13"/>
        <v>56430.341424922575</v>
      </c>
      <c r="I16">
        <f t="shared" si="13"/>
        <v>0</v>
      </c>
      <c r="J16">
        <f t="shared" si="13"/>
        <v>0</v>
      </c>
      <c r="K16">
        <f t="shared" si="13"/>
        <v>0.57735026918962584</v>
      </c>
      <c r="L16">
        <f t="shared" si="13"/>
        <v>93351.382600009383</v>
      </c>
      <c r="M16">
        <f t="shared" si="13"/>
        <v>53354.423746614797</v>
      </c>
      <c r="N16">
        <f t="shared" si="13"/>
        <v>9361.0469499944284</v>
      </c>
      <c r="O16">
        <f t="shared" si="13"/>
        <v>30160.013815204617</v>
      </c>
      <c r="P16">
        <f t="shared" si="13"/>
        <v>0</v>
      </c>
      <c r="Q16">
        <f t="shared" si="13"/>
        <v>0</v>
      </c>
      <c r="R16">
        <f t="shared" si="13"/>
        <v>81205.523416411364</v>
      </c>
      <c r="S16">
        <f t="shared" si="13"/>
        <v>53827.439409034989</v>
      </c>
      <c r="T16">
        <f t="shared" si="13"/>
        <v>4231.3236699642821</v>
      </c>
      <c r="U16">
        <f t="shared" si="13"/>
        <v>26275.98967371797</v>
      </c>
      <c r="V16">
        <f t="shared" si="13"/>
        <v>0</v>
      </c>
      <c r="W16">
        <f t="shared" si="13"/>
        <v>0</v>
      </c>
      <c r="X16" s="1"/>
    </row>
    <row r="17" spans="1:23">
      <c r="A17" s="1" t="s">
        <v>301</v>
      </c>
      <c r="B17">
        <f>_xlfn.STDEV.S(B3:B5)</f>
        <v>382656.49874702678</v>
      </c>
      <c r="C17">
        <f t="shared" ref="C17:W17" si="14">_xlfn.STDEV.S(C3:C5)</f>
        <v>198401.86499459457</v>
      </c>
      <c r="D17">
        <f t="shared" si="14"/>
        <v>184260.11722562212</v>
      </c>
      <c r="E17">
        <f t="shared" si="14"/>
        <v>174551.84482936104</v>
      </c>
      <c r="F17">
        <f t="shared" si="14"/>
        <v>107181.67489516728</v>
      </c>
      <c r="G17">
        <f t="shared" si="14"/>
        <v>13544.360450017564</v>
      </c>
      <c r="H17">
        <f t="shared" si="14"/>
        <v>56430.341424922575</v>
      </c>
      <c r="I17">
        <f t="shared" si="14"/>
        <v>0</v>
      </c>
      <c r="J17">
        <f t="shared" si="14"/>
        <v>0</v>
      </c>
      <c r="K17">
        <f t="shared" si="14"/>
        <v>0.57735026918962584</v>
      </c>
      <c r="L17">
        <f t="shared" si="14"/>
        <v>93351.382600009383</v>
      </c>
      <c r="M17">
        <f t="shared" si="14"/>
        <v>53354.423746614797</v>
      </c>
      <c r="N17">
        <f t="shared" si="14"/>
        <v>9361.0469499944284</v>
      </c>
      <c r="O17">
        <f t="shared" si="14"/>
        <v>30160.013815204617</v>
      </c>
      <c r="P17">
        <f t="shared" si="14"/>
        <v>0</v>
      </c>
      <c r="Q17">
        <f t="shared" si="14"/>
        <v>0</v>
      </c>
      <c r="R17">
        <f t="shared" si="14"/>
        <v>81205.523416411364</v>
      </c>
      <c r="S17">
        <f t="shared" si="14"/>
        <v>53827.439409034989</v>
      </c>
      <c r="T17">
        <f t="shared" si="14"/>
        <v>4231.3236699642821</v>
      </c>
      <c r="U17">
        <f t="shared" si="14"/>
        <v>26275.98967371797</v>
      </c>
      <c r="V17">
        <f t="shared" si="14"/>
        <v>0</v>
      </c>
      <c r="W17">
        <f t="shared" si="14"/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1"/>
  <sheetViews>
    <sheetView tabSelected="1" zoomScale="125" zoomScaleNormal="125" zoomScalePageLayoutView="125" workbookViewId="0">
      <selection activeCell="A16" sqref="A16"/>
    </sheetView>
  </sheetViews>
  <sheetFormatPr baseColWidth="10" defaultRowHeight="15" x14ac:dyDescent="0"/>
  <cols>
    <col min="1" max="1" width="27.1640625" customWidth="1"/>
  </cols>
  <sheetData>
    <row r="1" spans="1:3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r="2" spans="1:37">
      <c r="A2" s="1" t="s">
        <v>37</v>
      </c>
      <c r="B2">
        <v>18264</v>
      </c>
      <c r="C2">
        <v>61.9</v>
      </c>
      <c r="D2">
        <v>8557</v>
      </c>
      <c r="E2">
        <v>29</v>
      </c>
      <c r="F2">
        <v>2695</v>
      </c>
      <c r="G2">
        <v>9.1</v>
      </c>
      <c r="H2">
        <v>19658</v>
      </c>
      <c r="I2">
        <v>66.599999999999994</v>
      </c>
      <c r="J2">
        <v>8355</v>
      </c>
      <c r="K2">
        <v>28.3</v>
      </c>
      <c r="L2">
        <v>1504</v>
      </c>
      <c r="M2">
        <v>5.0999999999999996</v>
      </c>
      <c r="N2">
        <v>16364</v>
      </c>
      <c r="O2">
        <v>55.4</v>
      </c>
      <c r="P2">
        <v>10153</v>
      </c>
      <c r="Q2">
        <v>34.4</v>
      </c>
      <c r="R2">
        <v>2999</v>
      </c>
      <c r="S2">
        <v>10.199999999999999</v>
      </c>
      <c r="T2">
        <v>19440</v>
      </c>
      <c r="U2">
        <v>65.900000000000006</v>
      </c>
      <c r="V2">
        <v>7353</v>
      </c>
      <c r="W2">
        <v>24.9</v>
      </c>
      <c r="X2">
        <v>2723</v>
      </c>
      <c r="Y2">
        <v>9.1999999999999993</v>
      </c>
      <c r="Z2">
        <v>16653</v>
      </c>
      <c r="AA2">
        <v>56.4</v>
      </c>
      <c r="AB2">
        <v>7735</v>
      </c>
      <c r="AC2">
        <v>26.2</v>
      </c>
      <c r="AD2">
        <v>5129</v>
      </c>
      <c r="AE2">
        <v>17.399999999999999</v>
      </c>
      <c r="AF2">
        <v>18240</v>
      </c>
      <c r="AG2">
        <v>61.8</v>
      </c>
      <c r="AH2">
        <v>10049</v>
      </c>
      <c r="AI2">
        <v>34</v>
      </c>
      <c r="AJ2">
        <v>1227</v>
      </c>
      <c r="AK2">
        <v>4.2</v>
      </c>
    </row>
    <row r="3" spans="1:37">
      <c r="A3" s="1" t="s">
        <v>38</v>
      </c>
      <c r="B3">
        <v>284</v>
      </c>
      <c r="C3">
        <v>66.2</v>
      </c>
      <c r="D3">
        <v>122</v>
      </c>
      <c r="E3">
        <v>28.4</v>
      </c>
      <c r="F3">
        <v>23</v>
      </c>
      <c r="G3">
        <v>5.3</v>
      </c>
      <c r="H3">
        <v>281</v>
      </c>
      <c r="I3">
        <v>65.5</v>
      </c>
      <c r="J3">
        <v>137</v>
      </c>
      <c r="K3">
        <v>32</v>
      </c>
      <c r="L3">
        <v>11</v>
      </c>
      <c r="M3">
        <v>2.5</v>
      </c>
      <c r="N3">
        <v>263</v>
      </c>
      <c r="O3">
        <v>61.3</v>
      </c>
      <c r="P3">
        <v>142</v>
      </c>
      <c r="Q3">
        <v>33</v>
      </c>
      <c r="R3">
        <v>25</v>
      </c>
      <c r="S3">
        <v>5.7</v>
      </c>
      <c r="T3">
        <v>319</v>
      </c>
      <c r="U3">
        <v>74.400000000000006</v>
      </c>
      <c r="V3">
        <v>82</v>
      </c>
      <c r="W3">
        <v>19.100000000000001</v>
      </c>
      <c r="X3">
        <v>28</v>
      </c>
      <c r="Y3">
        <v>6.5</v>
      </c>
      <c r="Z3">
        <v>222</v>
      </c>
      <c r="AA3">
        <v>51.7</v>
      </c>
      <c r="AB3">
        <v>153</v>
      </c>
      <c r="AC3">
        <v>35.700000000000003</v>
      </c>
      <c r="AD3">
        <v>54</v>
      </c>
      <c r="AE3">
        <v>12.6</v>
      </c>
      <c r="AF3">
        <v>239</v>
      </c>
      <c r="AG3">
        <v>55.6</v>
      </c>
      <c r="AH3">
        <v>184</v>
      </c>
      <c r="AI3">
        <v>42.9</v>
      </c>
      <c r="AJ3">
        <v>6</v>
      </c>
      <c r="AK3">
        <v>1.5</v>
      </c>
    </row>
    <row r="4" spans="1:37">
      <c r="A4" s="1" t="s">
        <v>39</v>
      </c>
      <c r="B4">
        <v>89</v>
      </c>
      <c r="C4">
        <v>72.599999999999994</v>
      </c>
      <c r="D4">
        <v>28</v>
      </c>
      <c r="E4">
        <v>23.1</v>
      </c>
      <c r="F4">
        <v>5</v>
      </c>
      <c r="G4">
        <v>4.4000000000000004</v>
      </c>
      <c r="H4">
        <v>86</v>
      </c>
      <c r="I4">
        <v>70.3</v>
      </c>
      <c r="J4">
        <v>33</v>
      </c>
      <c r="K4">
        <v>27.2</v>
      </c>
      <c r="L4">
        <v>3</v>
      </c>
      <c r="M4">
        <v>2.5</v>
      </c>
      <c r="N4">
        <v>75</v>
      </c>
      <c r="O4">
        <v>61.4</v>
      </c>
      <c r="P4">
        <v>40</v>
      </c>
      <c r="Q4">
        <v>32.6</v>
      </c>
      <c r="R4">
        <v>7</v>
      </c>
      <c r="S4">
        <v>6</v>
      </c>
      <c r="T4">
        <v>92</v>
      </c>
      <c r="U4">
        <v>75.7</v>
      </c>
      <c r="V4">
        <v>22</v>
      </c>
      <c r="W4">
        <v>18.100000000000001</v>
      </c>
      <c r="X4">
        <v>8</v>
      </c>
      <c r="Y4">
        <v>6.2</v>
      </c>
      <c r="Z4">
        <v>80</v>
      </c>
      <c r="AA4">
        <v>65.900000000000006</v>
      </c>
      <c r="AB4">
        <v>30</v>
      </c>
      <c r="AC4">
        <v>24.4</v>
      </c>
      <c r="AD4">
        <v>12</v>
      </c>
      <c r="AE4">
        <v>9.6</v>
      </c>
      <c r="AF4">
        <v>77</v>
      </c>
      <c r="AG4">
        <v>63.5</v>
      </c>
      <c r="AH4">
        <v>43</v>
      </c>
      <c r="AI4">
        <v>34.9</v>
      </c>
      <c r="AJ4">
        <v>2</v>
      </c>
      <c r="AK4">
        <v>1.6</v>
      </c>
    </row>
    <row r="5" spans="1:37">
      <c r="A5" s="1" t="s">
        <v>40</v>
      </c>
      <c r="B5">
        <v>501</v>
      </c>
      <c r="C5">
        <v>62.9</v>
      </c>
      <c r="D5">
        <v>248</v>
      </c>
      <c r="E5">
        <v>31.1</v>
      </c>
      <c r="F5">
        <v>47</v>
      </c>
      <c r="G5">
        <v>6</v>
      </c>
      <c r="H5">
        <v>526</v>
      </c>
      <c r="I5">
        <v>66.099999999999994</v>
      </c>
      <c r="J5">
        <v>250</v>
      </c>
      <c r="K5">
        <v>31.3</v>
      </c>
      <c r="L5">
        <v>21</v>
      </c>
      <c r="M5">
        <v>2.6</v>
      </c>
      <c r="N5">
        <v>446</v>
      </c>
      <c r="O5">
        <v>56</v>
      </c>
      <c r="P5">
        <v>303</v>
      </c>
      <c r="Q5">
        <v>38.1</v>
      </c>
      <c r="R5">
        <v>47</v>
      </c>
      <c r="S5">
        <v>5.9</v>
      </c>
      <c r="T5">
        <v>568</v>
      </c>
      <c r="U5">
        <v>71.3</v>
      </c>
      <c r="V5">
        <v>191</v>
      </c>
      <c r="W5">
        <v>24</v>
      </c>
      <c r="X5">
        <v>37</v>
      </c>
      <c r="Y5">
        <v>4.7</v>
      </c>
      <c r="Z5">
        <v>453</v>
      </c>
      <c r="AA5">
        <v>56.9</v>
      </c>
      <c r="AB5">
        <v>240</v>
      </c>
      <c r="AC5">
        <v>30.2</v>
      </c>
      <c r="AD5">
        <v>103</v>
      </c>
      <c r="AE5">
        <v>12.9</v>
      </c>
      <c r="AF5">
        <v>455</v>
      </c>
      <c r="AG5">
        <v>57.2</v>
      </c>
      <c r="AH5">
        <v>328</v>
      </c>
      <c r="AI5">
        <v>41.3</v>
      </c>
      <c r="AJ5">
        <v>12</v>
      </c>
      <c r="AK5">
        <v>1.5</v>
      </c>
    </row>
    <row r="6" spans="1:37">
      <c r="A6" s="1" t="s">
        <v>41</v>
      </c>
      <c r="B6">
        <v>434</v>
      </c>
      <c r="C6">
        <v>68.7</v>
      </c>
      <c r="D6">
        <v>167</v>
      </c>
      <c r="E6">
        <v>26.4</v>
      </c>
      <c r="F6">
        <v>31</v>
      </c>
      <c r="G6">
        <v>4.9000000000000004</v>
      </c>
      <c r="H6">
        <v>447</v>
      </c>
      <c r="I6">
        <v>70.8</v>
      </c>
      <c r="J6">
        <v>170</v>
      </c>
      <c r="K6">
        <v>26.8</v>
      </c>
      <c r="L6">
        <v>15</v>
      </c>
      <c r="M6">
        <v>2.4</v>
      </c>
      <c r="N6">
        <v>377</v>
      </c>
      <c r="O6">
        <v>59.7</v>
      </c>
      <c r="P6">
        <v>221</v>
      </c>
      <c r="Q6">
        <v>35</v>
      </c>
      <c r="R6">
        <v>33</v>
      </c>
      <c r="S6">
        <v>5.3</v>
      </c>
      <c r="T6">
        <v>452</v>
      </c>
      <c r="U6">
        <v>71.599999999999994</v>
      </c>
      <c r="V6">
        <v>140</v>
      </c>
      <c r="W6">
        <v>22.1</v>
      </c>
      <c r="X6">
        <v>39</v>
      </c>
      <c r="Y6">
        <v>6.2</v>
      </c>
      <c r="Z6">
        <v>376</v>
      </c>
      <c r="AA6">
        <v>59.5</v>
      </c>
      <c r="AB6">
        <v>179</v>
      </c>
      <c r="AC6">
        <v>28.3</v>
      </c>
      <c r="AD6">
        <v>77</v>
      </c>
      <c r="AE6">
        <v>12.2</v>
      </c>
      <c r="AF6">
        <v>408</v>
      </c>
      <c r="AG6">
        <v>64.599999999999994</v>
      </c>
      <c r="AH6">
        <v>212</v>
      </c>
      <c r="AI6">
        <v>33.5</v>
      </c>
      <c r="AJ6">
        <v>12</v>
      </c>
      <c r="AK6">
        <v>1.9</v>
      </c>
    </row>
    <row r="7" spans="1:37">
      <c r="A7" s="1" t="s">
        <v>42</v>
      </c>
      <c r="B7">
        <v>4644</v>
      </c>
      <c r="C7">
        <v>68.3</v>
      </c>
      <c r="D7">
        <v>1575</v>
      </c>
      <c r="E7">
        <v>23.2</v>
      </c>
      <c r="F7">
        <v>576</v>
      </c>
      <c r="G7">
        <v>8.5</v>
      </c>
      <c r="H7">
        <v>4955</v>
      </c>
      <c r="I7">
        <v>72.900000000000006</v>
      </c>
      <c r="J7">
        <v>1544</v>
      </c>
      <c r="K7">
        <v>22.7</v>
      </c>
      <c r="L7">
        <v>296</v>
      </c>
      <c r="M7">
        <v>4.4000000000000004</v>
      </c>
      <c r="N7">
        <v>4004</v>
      </c>
      <c r="O7">
        <v>58.9</v>
      </c>
      <c r="P7">
        <v>2086</v>
      </c>
      <c r="Q7">
        <v>30.7</v>
      </c>
      <c r="R7">
        <v>706</v>
      </c>
      <c r="S7">
        <v>10.4</v>
      </c>
      <c r="T7">
        <v>4361</v>
      </c>
      <c r="U7">
        <v>64.2</v>
      </c>
      <c r="V7">
        <v>1756</v>
      </c>
      <c r="W7">
        <v>25.8</v>
      </c>
      <c r="X7">
        <v>677</v>
      </c>
      <c r="Y7">
        <v>10</v>
      </c>
      <c r="Z7">
        <v>4427</v>
      </c>
      <c r="AA7">
        <v>65.099999999999994</v>
      </c>
      <c r="AB7">
        <v>1510</v>
      </c>
      <c r="AC7">
        <v>22.2</v>
      </c>
      <c r="AD7">
        <v>859</v>
      </c>
      <c r="AE7">
        <v>12.6</v>
      </c>
      <c r="AF7">
        <v>4638</v>
      </c>
      <c r="AG7">
        <v>68.2</v>
      </c>
      <c r="AH7">
        <v>1913</v>
      </c>
      <c r="AI7">
        <v>28.1</v>
      </c>
      <c r="AJ7">
        <v>245</v>
      </c>
      <c r="AK7">
        <v>3.6</v>
      </c>
    </row>
    <row r="8" spans="1:37">
      <c r="A8" s="1" t="s">
        <v>43</v>
      </c>
      <c r="B8">
        <v>6747</v>
      </c>
      <c r="C8">
        <v>59.1</v>
      </c>
      <c r="D8">
        <v>3378</v>
      </c>
      <c r="E8">
        <v>29.6</v>
      </c>
      <c r="F8">
        <v>1292</v>
      </c>
      <c r="G8">
        <v>11.3</v>
      </c>
      <c r="H8">
        <v>7506</v>
      </c>
      <c r="I8">
        <v>65.7</v>
      </c>
      <c r="J8">
        <v>3217</v>
      </c>
      <c r="K8">
        <v>28.2</v>
      </c>
      <c r="L8">
        <v>694</v>
      </c>
      <c r="M8">
        <v>6.1</v>
      </c>
      <c r="N8">
        <v>6159</v>
      </c>
      <c r="O8">
        <v>53.9</v>
      </c>
      <c r="P8">
        <v>3888</v>
      </c>
      <c r="Q8">
        <v>34.1</v>
      </c>
      <c r="R8">
        <v>1371</v>
      </c>
      <c r="S8">
        <v>12</v>
      </c>
      <c r="T8">
        <v>7454</v>
      </c>
      <c r="U8">
        <v>65.3</v>
      </c>
      <c r="V8">
        <v>2765</v>
      </c>
      <c r="W8">
        <v>24.2</v>
      </c>
      <c r="X8">
        <v>1198</v>
      </c>
      <c r="Y8">
        <v>10.5</v>
      </c>
      <c r="Z8">
        <v>6178</v>
      </c>
      <c r="AA8">
        <v>54.1</v>
      </c>
      <c r="AB8">
        <v>2680</v>
      </c>
      <c r="AC8">
        <v>23.5</v>
      </c>
      <c r="AD8">
        <v>2560</v>
      </c>
      <c r="AE8">
        <v>22.4</v>
      </c>
      <c r="AF8">
        <v>7066</v>
      </c>
      <c r="AG8">
        <v>61.9</v>
      </c>
      <c r="AH8">
        <v>3741</v>
      </c>
      <c r="AI8">
        <v>32.799999999999997</v>
      </c>
      <c r="AJ8">
        <v>611</v>
      </c>
      <c r="AK8">
        <v>5.4</v>
      </c>
    </row>
    <row r="9" spans="1:37">
      <c r="A9" s="1" t="s">
        <v>44</v>
      </c>
      <c r="B9">
        <v>602</v>
      </c>
      <c r="C9">
        <v>58</v>
      </c>
      <c r="D9">
        <v>350</v>
      </c>
      <c r="E9">
        <v>33.700000000000003</v>
      </c>
      <c r="F9">
        <v>86</v>
      </c>
      <c r="G9">
        <v>8.3000000000000007</v>
      </c>
      <c r="H9">
        <v>630</v>
      </c>
      <c r="I9">
        <v>60.7</v>
      </c>
      <c r="J9">
        <v>361</v>
      </c>
      <c r="K9">
        <v>34.700000000000003</v>
      </c>
      <c r="L9">
        <v>47</v>
      </c>
      <c r="M9">
        <v>4.5999999999999996</v>
      </c>
      <c r="N9">
        <v>540</v>
      </c>
      <c r="O9">
        <v>52</v>
      </c>
      <c r="P9">
        <v>403</v>
      </c>
      <c r="Q9">
        <v>38.799999999999997</v>
      </c>
      <c r="R9">
        <v>96</v>
      </c>
      <c r="S9">
        <v>9.1999999999999993</v>
      </c>
      <c r="T9">
        <v>673</v>
      </c>
      <c r="U9">
        <v>64.8</v>
      </c>
      <c r="V9">
        <v>279</v>
      </c>
      <c r="W9">
        <v>26.8</v>
      </c>
      <c r="X9">
        <v>86</v>
      </c>
      <c r="Y9">
        <v>8.3000000000000007</v>
      </c>
      <c r="Z9">
        <v>481</v>
      </c>
      <c r="AA9">
        <v>46.3</v>
      </c>
      <c r="AB9">
        <v>409</v>
      </c>
      <c r="AC9">
        <v>39.299999999999997</v>
      </c>
      <c r="AD9">
        <v>149</v>
      </c>
      <c r="AE9">
        <v>14.3</v>
      </c>
      <c r="AF9">
        <v>547</v>
      </c>
      <c r="AG9">
        <v>52.7</v>
      </c>
      <c r="AH9">
        <v>450</v>
      </c>
      <c r="AI9">
        <v>43.3</v>
      </c>
      <c r="AJ9">
        <v>42</v>
      </c>
      <c r="AK9">
        <v>4</v>
      </c>
    </row>
    <row r="10" spans="1:37">
      <c r="A10" s="1" t="s">
        <v>45</v>
      </c>
      <c r="B10">
        <v>528</v>
      </c>
      <c r="C10">
        <v>59.4</v>
      </c>
      <c r="D10">
        <v>316</v>
      </c>
      <c r="E10">
        <v>35.5</v>
      </c>
      <c r="F10">
        <v>45</v>
      </c>
      <c r="G10">
        <v>5.0999999999999996</v>
      </c>
      <c r="H10">
        <v>534</v>
      </c>
      <c r="I10">
        <v>60</v>
      </c>
      <c r="J10">
        <v>319</v>
      </c>
      <c r="K10">
        <v>35.9</v>
      </c>
      <c r="L10">
        <v>36</v>
      </c>
      <c r="M10">
        <v>4</v>
      </c>
      <c r="N10">
        <v>468</v>
      </c>
      <c r="O10">
        <v>52.6</v>
      </c>
      <c r="P10">
        <v>345</v>
      </c>
      <c r="Q10">
        <v>38.799999999999997</v>
      </c>
      <c r="R10">
        <v>76</v>
      </c>
      <c r="S10">
        <v>8.6</v>
      </c>
      <c r="T10">
        <v>602</v>
      </c>
      <c r="U10">
        <v>67.7</v>
      </c>
      <c r="V10">
        <v>232</v>
      </c>
      <c r="W10">
        <v>26.1</v>
      </c>
      <c r="X10">
        <v>55</v>
      </c>
      <c r="Y10">
        <v>6.2</v>
      </c>
      <c r="Z10">
        <v>424</v>
      </c>
      <c r="AA10">
        <v>47.8</v>
      </c>
      <c r="AB10">
        <v>343</v>
      </c>
      <c r="AC10">
        <v>38.6</v>
      </c>
      <c r="AD10">
        <v>121</v>
      </c>
      <c r="AE10">
        <v>13.6</v>
      </c>
      <c r="AF10">
        <v>480</v>
      </c>
      <c r="AG10">
        <v>54</v>
      </c>
      <c r="AH10">
        <v>388</v>
      </c>
      <c r="AI10">
        <v>43.7</v>
      </c>
      <c r="AJ10">
        <v>20</v>
      </c>
      <c r="AK10">
        <v>2.2999999999999998</v>
      </c>
    </row>
    <row r="11" spans="1:37">
      <c r="A11" s="1" t="s">
        <v>46</v>
      </c>
      <c r="B11">
        <v>2031</v>
      </c>
      <c r="C11">
        <v>61</v>
      </c>
      <c r="D11">
        <v>1067</v>
      </c>
      <c r="E11">
        <v>32.1</v>
      </c>
      <c r="F11">
        <v>229</v>
      </c>
      <c r="G11">
        <v>6.9</v>
      </c>
      <c r="H11">
        <v>2135</v>
      </c>
      <c r="I11">
        <v>64.2</v>
      </c>
      <c r="J11">
        <v>1054</v>
      </c>
      <c r="K11">
        <v>31.7</v>
      </c>
      <c r="L11">
        <v>138</v>
      </c>
      <c r="M11">
        <v>4.0999999999999996</v>
      </c>
      <c r="N11">
        <v>1896</v>
      </c>
      <c r="O11">
        <v>57</v>
      </c>
      <c r="P11">
        <v>1194</v>
      </c>
      <c r="Q11">
        <v>35.9</v>
      </c>
      <c r="R11">
        <v>237</v>
      </c>
      <c r="S11">
        <v>7.1</v>
      </c>
      <c r="T11">
        <v>2209</v>
      </c>
      <c r="U11">
        <v>66.400000000000006</v>
      </c>
      <c r="V11">
        <v>888</v>
      </c>
      <c r="W11">
        <v>26.7</v>
      </c>
      <c r="X11">
        <v>230</v>
      </c>
      <c r="Y11">
        <v>6.9</v>
      </c>
      <c r="Z11">
        <v>1826</v>
      </c>
      <c r="AA11">
        <v>54.9</v>
      </c>
      <c r="AB11">
        <v>1017</v>
      </c>
      <c r="AC11">
        <v>30.6</v>
      </c>
      <c r="AD11">
        <v>484</v>
      </c>
      <c r="AE11">
        <v>14.5</v>
      </c>
      <c r="AF11">
        <v>1971</v>
      </c>
      <c r="AG11">
        <v>59.3</v>
      </c>
      <c r="AH11">
        <v>1246</v>
      </c>
      <c r="AI11">
        <v>37.5</v>
      </c>
      <c r="AJ11">
        <v>110</v>
      </c>
      <c r="AK11">
        <v>3.3</v>
      </c>
    </row>
    <row r="12" spans="1:37">
      <c r="A12" s="1" t="s">
        <v>47</v>
      </c>
      <c r="B12">
        <v>2357</v>
      </c>
      <c r="C12">
        <v>59.2</v>
      </c>
      <c r="D12">
        <v>1268</v>
      </c>
      <c r="E12">
        <v>31.9</v>
      </c>
      <c r="F12">
        <v>356</v>
      </c>
      <c r="G12">
        <v>8.9</v>
      </c>
      <c r="H12">
        <v>2506</v>
      </c>
      <c r="I12">
        <v>62.9</v>
      </c>
      <c r="J12">
        <v>1237</v>
      </c>
      <c r="K12">
        <v>31.1</v>
      </c>
      <c r="L12">
        <v>238</v>
      </c>
      <c r="M12">
        <v>6</v>
      </c>
      <c r="N12">
        <v>2099</v>
      </c>
      <c r="O12">
        <v>52.7</v>
      </c>
      <c r="P12">
        <v>1487</v>
      </c>
      <c r="Q12">
        <v>37.4</v>
      </c>
      <c r="R12">
        <v>395</v>
      </c>
      <c r="S12">
        <v>9.9</v>
      </c>
      <c r="T12">
        <v>2651</v>
      </c>
      <c r="U12">
        <v>66.599999999999994</v>
      </c>
      <c r="V12">
        <v>971</v>
      </c>
      <c r="W12">
        <v>24.4</v>
      </c>
      <c r="X12">
        <v>359</v>
      </c>
      <c r="Y12">
        <v>9</v>
      </c>
      <c r="Z12">
        <v>2146</v>
      </c>
      <c r="AA12">
        <v>53.9</v>
      </c>
      <c r="AB12">
        <v>1134</v>
      </c>
      <c r="AC12">
        <v>28.5</v>
      </c>
      <c r="AD12">
        <v>702</v>
      </c>
      <c r="AE12">
        <v>17.600000000000001</v>
      </c>
      <c r="AF12">
        <v>2315</v>
      </c>
      <c r="AG12">
        <v>58.1</v>
      </c>
      <c r="AH12">
        <v>1503</v>
      </c>
      <c r="AI12">
        <v>37.799999999999997</v>
      </c>
      <c r="AJ12">
        <v>164</v>
      </c>
      <c r="AK12">
        <v>4.0999999999999996</v>
      </c>
    </row>
    <row r="13" spans="1:37">
      <c r="A13" s="1" t="s">
        <v>48</v>
      </c>
      <c r="B13">
        <v>15</v>
      </c>
      <c r="C13">
        <v>49.9</v>
      </c>
      <c r="D13">
        <v>13</v>
      </c>
      <c r="E13">
        <v>42.6</v>
      </c>
      <c r="F13">
        <v>2</v>
      </c>
      <c r="G13">
        <v>7.5</v>
      </c>
      <c r="H13">
        <v>18</v>
      </c>
      <c r="I13">
        <v>59.4</v>
      </c>
      <c r="J13">
        <v>10</v>
      </c>
      <c r="K13">
        <v>35</v>
      </c>
      <c r="L13">
        <v>2</v>
      </c>
      <c r="M13">
        <v>5.6</v>
      </c>
      <c r="N13">
        <v>13</v>
      </c>
      <c r="O13">
        <v>42.7</v>
      </c>
      <c r="P13">
        <v>14</v>
      </c>
      <c r="Q13">
        <v>46</v>
      </c>
      <c r="R13">
        <v>3</v>
      </c>
      <c r="S13">
        <v>11.3</v>
      </c>
      <c r="T13">
        <v>20</v>
      </c>
      <c r="U13">
        <v>65.599999999999994</v>
      </c>
      <c r="V13">
        <v>8</v>
      </c>
      <c r="W13">
        <v>28.2</v>
      </c>
      <c r="X13">
        <v>2</v>
      </c>
      <c r="Y13">
        <v>6.2</v>
      </c>
      <c r="Z13">
        <v>14</v>
      </c>
      <c r="AA13">
        <v>48.1</v>
      </c>
      <c r="AB13">
        <v>11</v>
      </c>
      <c r="AC13">
        <v>37.299999999999997</v>
      </c>
      <c r="AD13">
        <v>4</v>
      </c>
      <c r="AE13">
        <v>14.6</v>
      </c>
      <c r="AF13">
        <v>15</v>
      </c>
      <c r="AG13">
        <v>50.1</v>
      </c>
      <c r="AH13">
        <v>14</v>
      </c>
      <c r="AI13">
        <v>45.5</v>
      </c>
      <c r="AJ13">
        <v>1</v>
      </c>
      <c r="AK13">
        <v>4.4000000000000004</v>
      </c>
    </row>
    <row r="14" spans="1:37">
      <c r="A14" s="1" t="s">
        <v>49</v>
      </c>
      <c r="B14">
        <v>18</v>
      </c>
      <c r="C14">
        <v>53.5</v>
      </c>
      <c r="D14">
        <v>14</v>
      </c>
      <c r="E14">
        <v>42.5</v>
      </c>
      <c r="F14">
        <v>1</v>
      </c>
      <c r="G14">
        <v>4</v>
      </c>
      <c r="H14">
        <v>19</v>
      </c>
      <c r="I14">
        <v>57.1</v>
      </c>
      <c r="J14">
        <v>14</v>
      </c>
      <c r="K14">
        <v>40.5</v>
      </c>
      <c r="L14">
        <v>1</v>
      </c>
      <c r="M14">
        <v>2.4</v>
      </c>
      <c r="N14">
        <v>14</v>
      </c>
      <c r="O14">
        <v>42.2</v>
      </c>
      <c r="P14">
        <v>17</v>
      </c>
      <c r="Q14">
        <v>51.5</v>
      </c>
      <c r="R14">
        <v>2</v>
      </c>
      <c r="S14">
        <v>6.2</v>
      </c>
      <c r="T14">
        <v>22</v>
      </c>
      <c r="U14">
        <v>64.8</v>
      </c>
      <c r="V14">
        <v>10</v>
      </c>
      <c r="W14">
        <v>29.4</v>
      </c>
      <c r="X14">
        <v>2</v>
      </c>
      <c r="Y14">
        <v>5.8</v>
      </c>
      <c r="Z14">
        <v>14</v>
      </c>
      <c r="AA14">
        <v>41.5</v>
      </c>
      <c r="AB14">
        <v>16</v>
      </c>
      <c r="AC14">
        <v>49.1</v>
      </c>
      <c r="AD14">
        <v>3</v>
      </c>
      <c r="AE14">
        <v>9.4</v>
      </c>
      <c r="AF14">
        <v>17</v>
      </c>
      <c r="AG14">
        <v>51</v>
      </c>
      <c r="AH14">
        <v>16</v>
      </c>
      <c r="AI14">
        <v>46.9</v>
      </c>
      <c r="AJ14">
        <v>1</v>
      </c>
      <c r="AK14">
        <v>2.1</v>
      </c>
    </row>
    <row r="15" spans="1:37">
      <c r="A15" s="1" t="s">
        <v>50</v>
      </c>
      <c r="B15">
        <v>13</v>
      </c>
      <c r="C15">
        <v>52.5</v>
      </c>
      <c r="D15">
        <v>11</v>
      </c>
      <c r="E15">
        <v>42.3</v>
      </c>
      <c r="F15" t="s">
        <v>51</v>
      </c>
      <c r="G15" t="s">
        <v>51</v>
      </c>
      <c r="H15">
        <v>14</v>
      </c>
      <c r="I15">
        <v>57.4</v>
      </c>
      <c r="J15">
        <v>9</v>
      </c>
      <c r="K15">
        <v>37.4</v>
      </c>
      <c r="L15">
        <v>1</v>
      </c>
      <c r="M15">
        <v>5.0999999999999996</v>
      </c>
      <c r="N15">
        <v>10</v>
      </c>
      <c r="O15">
        <v>40.799999999999997</v>
      </c>
      <c r="P15">
        <v>13</v>
      </c>
      <c r="Q15">
        <v>51.8</v>
      </c>
      <c r="R15">
        <v>2</v>
      </c>
      <c r="S15">
        <v>7.3</v>
      </c>
      <c r="T15">
        <v>15</v>
      </c>
      <c r="U15">
        <v>61.7</v>
      </c>
      <c r="V15">
        <v>8</v>
      </c>
      <c r="W15">
        <v>32.9</v>
      </c>
      <c r="X15" t="s">
        <v>51</v>
      </c>
      <c r="Y15" t="s">
        <v>51</v>
      </c>
      <c r="Z15">
        <v>10</v>
      </c>
      <c r="AA15">
        <v>41.1</v>
      </c>
      <c r="AB15">
        <v>13</v>
      </c>
      <c r="AC15">
        <v>50.9</v>
      </c>
      <c r="AD15">
        <v>2</v>
      </c>
      <c r="AE15">
        <v>8</v>
      </c>
      <c r="AF15">
        <v>11</v>
      </c>
      <c r="AG15">
        <v>43.6</v>
      </c>
      <c r="AH15">
        <v>13</v>
      </c>
      <c r="AI15">
        <v>51</v>
      </c>
      <c r="AJ15">
        <v>1</v>
      </c>
      <c r="AK15">
        <v>5.3</v>
      </c>
    </row>
    <row r="16" spans="1:37">
      <c r="A16" s="1"/>
    </row>
    <row r="17" spans="1:37">
      <c r="A17" s="1" t="s">
        <v>52</v>
      </c>
      <c r="B17">
        <f>AVERAGE(B2:B15)</f>
        <v>2609.0714285714284</v>
      </c>
      <c r="C17">
        <f t="shared" ref="C17:AK17" si="0">AVERAGE(C2:C15)</f>
        <v>60.942857142857143</v>
      </c>
      <c r="D17">
        <f t="shared" si="0"/>
        <v>1222.4285714285713</v>
      </c>
      <c r="E17">
        <f t="shared" si="0"/>
        <v>32.242857142857147</v>
      </c>
      <c r="F17">
        <f t="shared" si="0"/>
        <v>414.46153846153845</v>
      </c>
      <c r="G17">
        <f t="shared" si="0"/>
        <v>6.9384615384615387</v>
      </c>
      <c r="H17">
        <f t="shared" si="0"/>
        <v>2808.2142857142858</v>
      </c>
      <c r="I17">
        <f t="shared" si="0"/>
        <v>64.257142857142853</v>
      </c>
      <c r="J17">
        <f t="shared" si="0"/>
        <v>1193.5714285714287</v>
      </c>
      <c r="K17">
        <f t="shared" si="0"/>
        <v>31.628571428571426</v>
      </c>
      <c r="L17">
        <f t="shared" si="0"/>
        <v>214.78571428571428</v>
      </c>
      <c r="M17">
        <f t="shared" si="0"/>
        <v>4.1000000000000005</v>
      </c>
      <c r="N17">
        <f t="shared" si="0"/>
        <v>2337.7142857142858</v>
      </c>
      <c r="O17">
        <f t="shared" si="0"/>
        <v>53.328571428571436</v>
      </c>
      <c r="P17">
        <f t="shared" si="0"/>
        <v>1450.4285714285713</v>
      </c>
      <c r="Q17">
        <f t="shared" si="0"/>
        <v>38.435714285714276</v>
      </c>
      <c r="R17">
        <f t="shared" si="0"/>
        <v>428.5</v>
      </c>
      <c r="S17">
        <f t="shared" si="0"/>
        <v>8.2214285714285698</v>
      </c>
      <c r="T17">
        <f t="shared" si="0"/>
        <v>2777</v>
      </c>
      <c r="U17">
        <f t="shared" si="0"/>
        <v>67.571428571428569</v>
      </c>
      <c r="V17">
        <f t="shared" si="0"/>
        <v>1050.3571428571429</v>
      </c>
      <c r="W17">
        <f t="shared" si="0"/>
        <v>25.19285714285714</v>
      </c>
      <c r="X17">
        <f t="shared" si="0"/>
        <v>418.76923076923077</v>
      </c>
      <c r="Y17">
        <f t="shared" si="0"/>
        <v>7.361538461538462</v>
      </c>
      <c r="Z17">
        <f t="shared" si="0"/>
        <v>2378.8571428571427</v>
      </c>
      <c r="AA17">
        <f t="shared" si="0"/>
        <v>53.085714285714289</v>
      </c>
      <c r="AB17">
        <f t="shared" si="0"/>
        <v>1105</v>
      </c>
      <c r="AC17">
        <f t="shared" si="0"/>
        <v>33.200000000000003</v>
      </c>
      <c r="AD17">
        <f t="shared" si="0"/>
        <v>732.78571428571433</v>
      </c>
      <c r="AE17">
        <f t="shared" si="0"/>
        <v>13.69285714285714</v>
      </c>
      <c r="AF17">
        <f t="shared" si="0"/>
        <v>2605.6428571428573</v>
      </c>
      <c r="AG17">
        <f t="shared" si="0"/>
        <v>57.25714285714286</v>
      </c>
      <c r="AH17">
        <f t="shared" si="0"/>
        <v>1435.7142857142858</v>
      </c>
      <c r="AI17">
        <f t="shared" si="0"/>
        <v>39.51428571428572</v>
      </c>
      <c r="AJ17">
        <f t="shared" si="0"/>
        <v>175.28571428571428</v>
      </c>
      <c r="AK17">
        <f t="shared" si="0"/>
        <v>3.2285714285714286</v>
      </c>
    </row>
    <row r="18" spans="1:37">
      <c r="A18" s="1" t="s">
        <v>53</v>
      </c>
      <c r="B18">
        <f>_xlfn.VAR.P(B2:B15)</f>
        <v>22586509.923469387</v>
      </c>
      <c r="C18">
        <f t="shared" ref="C18:AK18" si="1">_xlfn.VAR.P(C2:C15)</f>
        <v>39.191020408162977</v>
      </c>
      <c r="D18">
        <f t="shared" si="1"/>
        <v>4947666.5306122452</v>
      </c>
      <c r="E18">
        <f t="shared" si="1"/>
        <v>39.969591836734587</v>
      </c>
      <c r="F18">
        <f t="shared" si="1"/>
        <v>555636.40236686391</v>
      </c>
      <c r="G18">
        <f t="shared" si="1"/>
        <v>4.4869822485207056</v>
      </c>
      <c r="H18">
        <f t="shared" si="1"/>
        <v>26357722.882653061</v>
      </c>
      <c r="I18">
        <f t="shared" si="1"/>
        <v>22.928163265306122</v>
      </c>
      <c r="J18">
        <f t="shared" si="1"/>
        <v>4684233.8163265307</v>
      </c>
      <c r="K18">
        <f t="shared" si="1"/>
        <v>21.219183673469495</v>
      </c>
      <c r="L18">
        <f t="shared" si="1"/>
        <v>161814.45408163266</v>
      </c>
      <c r="M18">
        <f t="shared" si="1"/>
        <v>1.8114285714285665</v>
      </c>
      <c r="N18">
        <f t="shared" si="1"/>
        <v>18154616.06122449</v>
      </c>
      <c r="O18">
        <f t="shared" si="1"/>
        <v>44.430612244896892</v>
      </c>
      <c r="P18">
        <f t="shared" si="1"/>
        <v>6941446.6734693879</v>
      </c>
      <c r="Q18">
        <f t="shared" si="1"/>
        <v>41.765153061224943</v>
      </c>
      <c r="R18">
        <f t="shared" si="1"/>
        <v>645191.53571428568</v>
      </c>
      <c r="S18">
        <f t="shared" si="1"/>
        <v>4.8388265306122813</v>
      </c>
      <c r="T18">
        <f t="shared" si="1"/>
        <v>25563636.285714287</v>
      </c>
      <c r="U18">
        <f t="shared" si="1"/>
        <v>15.586326530612251</v>
      </c>
      <c r="V18">
        <f t="shared" si="1"/>
        <v>3662602.5153061226</v>
      </c>
      <c r="W18">
        <f t="shared" si="1"/>
        <v>13.736377551020491</v>
      </c>
      <c r="X18">
        <f t="shared" si="1"/>
        <v>555725.40828402364</v>
      </c>
      <c r="Y18">
        <f t="shared" si="1"/>
        <v>3.0485207100591865</v>
      </c>
      <c r="Z18">
        <f t="shared" si="1"/>
        <v>18901175.265306123</v>
      </c>
      <c r="AA18">
        <f t="shared" si="1"/>
        <v>54.204081632652468</v>
      </c>
      <c r="AB18">
        <f t="shared" si="1"/>
        <v>3922717.5714285714</v>
      </c>
      <c r="AC18">
        <f t="shared" si="1"/>
        <v>75.637142857142436</v>
      </c>
      <c r="AD18">
        <f t="shared" si="1"/>
        <v>1918857.3112244897</v>
      </c>
      <c r="AE18">
        <f t="shared" si="1"/>
        <v>12.822091836734755</v>
      </c>
      <c r="AF18">
        <f t="shared" si="1"/>
        <v>22806900.229591835</v>
      </c>
      <c r="AG18">
        <f t="shared" si="1"/>
        <v>40.766734693877694</v>
      </c>
      <c r="AH18">
        <f t="shared" si="1"/>
        <v>6723758.3469387759</v>
      </c>
      <c r="AI18">
        <f t="shared" si="1"/>
        <v>38.502653061224287</v>
      </c>
      <c r="AJ18">
        <f t="shared" si="1"/>
        <v>110729.63265306123</v>
      </c>
      <c r="AK18">
        <f t="shared" si="1"/>
        <v>1.8106122448979587</v>
      </c>
    </row>
    <row r="19" spans="1:37">
      <c r="A19" s="1" t="s">
        <v>54</v>
      </c>
      <c r="B19">
        <f>_xlfn.VAR.S(B2:B15)</f>
        <v>24323933.763736267</v>
      </c>
      <c r="C19">
        <f t="shared" ref="C19:AK19" si="2">_xlfn.VAR.S(C2:C15)</f>
        <v>42.205714285713981</v>
      </c>
      <c r="D19">
        <f t="shared" si="2"/>
        <v>5328256.2637362638</v>
      </c>
      <c r="E19">
        <f t="shared" si="2"/>
        <v>43.044175824175767</v>
      </c>
      <c r="F19">
        <f t="shared" si="2"/>
        <v>601939.43589743588</v>
      </c>
      <c r="G19">
        <f t="shared" si="2"/>
        <v>4.8608974358974324</v>
      </c>
      <c r="H19">
        <f t="shared" si="2"/>
        <v>28385240.02747253</v>
      </c>
      <c r="I19">
        <f t="shared" si="2"/>
        <v>24.69186813186813</v>
      </c>
      <c r="J19">
        <f t="shared" si="2"/>
        <v>5044559.4945054948</v>
      </c>
      <c r="K19">
        <f t="shared" si="2"/>
        <v>22.851428571428606</v>
      </c>
      <c r="L19">
        <f t="shared" si="2"/>
        <v>174261.71978021978</v>
      </c>
      <c r="M19">
        <f t="shared" si="2"/>
        <v>1.9507692307692253</v>
      </c>
      <c r="N19">
        <f t="shared" si="2"/>
        <v>19551124.98901099</v>
      </c>
      <c r="O19">
        <f t="shared" si="2"/>
        <v>47.848351648350494</v>
      </c>
      <c r="P19">
        <f t="shared" si="2"/>
        <v>7475404.1098901099</v>
      </c>
      <c r="Q19">
        <f t="shared" si="2"/>
        <v>44.977857142857552</v>
      </c>
      <c r="R19">
        <f t="shared" si="2"/>
        <v>694821.65384615387</v>
      </c>
      <c r="S19">
        <f t="shared" si="2"/>
        <v>5.2110439560439881</v>
      </c>
      <c r="T19">
        <f t="shared" si="2"/>
        <v>27530069.846153848</v>
      </c>
      <c r="U19">
        <f t="shared" si="2"/>
        <v>16.785274725274732</v>
      </c>
      <c r="V19">
        <f t="shared" si="2"/>
        <v>3944341.1703296704</v>
      </c>
      <c r="W19">
        <f t="shared" si="2"/>
        <v>14.793021978022107</v>
      </c>
      <c r="X19">
        <f t="shared" si="2"/>
        <v>602035.858974359</v>
      </c>
      <c r="Y19">
        <f t="shared" si="2"/>
        <v>3.3025641025641144</v>
      </c>
      <c r="Z19">
        <f t="shared" si="2"/>
        <v>20355111.824175827</v>
      </c>
      <c r="AA19">
        <f t="shared" si="2"/>
        <v>58.373626373625413</v>
      </c>
      <c r="AB19">
        <f t="shared" si="2"/>
        <v>4224465.076923077</v>
      </c>
      <c r="AC19">
        <f t="shared" si="2"/>
        <v>81.455384615384204</v>
      </c>
      <c r="AD19">
        <f t="shared" si="2"/>
        <v>2066461.71978022</v>
      </c>
      <c r="AE19">
        <f t="shared" si="2"/>
        <v>13.808406593406675</v>
      </c>
      <c r="AF19">
        <f t="shared" si="2"/>
        <v>24561277.170329671</v>
      </c>
      <c r="AG19">
        <f t="shared" si="2"/>
        <v>43.902637362637435</v>
      </c>
      <c r="AH19">
        <f t="shared" si="2"/>
        <v>7240970.5274725277</v>
      </c>
      <c r="AI19">
        <f t="shared" si="2"/>
        <v>41.464395604395229</v>
      </c>
      <c r="AJ19">
        <f t="shared" si="2"/>
        <v>119247.29670329671</v>
      </c>
      <c r="AK19">
        <f t="shared" si="2"/>
        <v>1.949890109890108</v>
      </c>
    </row>
    <row r="20" spans="1:37">
      <c r="A20" s="1" t="s">
        <v>55</v>
      </c>
      <c r="B20">
        <f>_xlfn.STDEV.P(B2:B15)</f>
        <v>4752.5266883489867</v>
      </c>
      <c r="C20">
        <f t="shared" ref="C20:AK20" si="3">_xlfn.STDEV.P(C2:C15)</f>
        <v>6.2602731895791077</v>
      </c>
      <c r="D20">
        <f t="shared" si="3"/>
        <v>2224.3350760648104</v>
      </c>
      <c r="E20">
        <f t="shared" si="3"/>
        <v>6.3221508869003262</v>
      </c>
      <c r="F20">
        <f t="shared" si="3"/>
        <v>745.41022421674893</v>
      </c>
      <c r="G20">
        <f t="shared" si="3"/>
        <v>2.1182498078651406</v>
      </c>
      <c r="H20">
        <f t="shared" si="3"/>
        <v>5133.9772966631881</v>
      </c>
      <c r="I20">
        <f t="shared" si="3"/>
        <v>4.7883361687862021</v>
      </c>
      <c r="J20">
        <f t="shared" si="3"/>
        <v>2164.3090852109203</v>
      </c>
      <c r="K20">
        <f t="shared" si="3"/>
        <v>4.6064285160490108</v>
      </c>
      <c r="L20">
        <f t="shared" si="3"/>
        <v>402.26167364245958</v>
      </c>
      <c r="M20">
        <f t="shared" si="3"/>
        <v>1.3458932243787269</v>
      </c>
      <c r="N20">
        <f t="shared" si="3"/>
        <v>4260.8234017880268</v>
      </c>
      <c r="O20">
        <f t="shared" si="3"/>
        <v>6.6656291709708011</v>
      </c>
      <c r="P20">
        <f t="shared" si="3"/>
        <v>2634.6625350259542</v>
      </c>
      <c r="Q20">
        <f t="shared" si="3"/>
        <v>6.4625964643651503</v>
      </c>
      <c r="R20">
        <f t="shared" si="3"/>
        <v>803.23815628634429</v>
      </c>
      <c r="S20">
        <f t="shared" si="3"/>
        <v>2.1997332862445576</v>
      </c>
      <c r="T20">
        <f t="shared" si="3"/>
        <v>5056.049474215446</v>
      </c>
      <c r="U20">
        <f t="shared" si="3"/>
        <v>3.9479521945702749</v>
      </c>
      <c r="V20">
        <f t="shared" si="3"/>
        <v>1913.7927043716418</v>
      </c>
      <c r="W20">
        <f t="shared" si="3"/>
        <v>3.7062619377238422</v>
      </c>
      <c r="X20">
        <f t="shared" si="3"/>
        <v>745.46992446645606</v>
      </c>
      <c r="Y20">
        <f t="shared" si="3"/>
        <v>1.746001348813679</v>
      </c>
      <c r="Z20">
        <f t="shared" si="3"/>
        <v>4347.548190107399</v>
      </c>
      <c r="AA20">
        <f t="shared" si="3"/>
        <v>7.3623421295571738</v>
      </c>
      <c r="AB20">
        <f t="shared" si="3"/>
        <v>1980.5851588428536</v>
      </c>
      <c r="AC20">
        <f t="shared" si="3"/>
        <v>8.6969617026374468</v>
      </c>
      <c r="AD20">
        <f t="shared" si="3"/>
        <v>1385.2282523918177</v>
      </c>
      <c r="AE20">
        <f t="shared" si="3"/>
        <v>3.580794861023842</v>
      </c>
      <c r="AF20">
        <f t="shared" si="3"/>
        <v>4775.6570468985556</v>
      </c>
      <c r="AG20">
        <f t="shared" si="3"/>
        <v>6.384883295243359</v>
      </c>
      <c r="AH20">
        <f t="shared" si="3"/>
        <v>2593.0210849391055</v>
      </c>
      <c r="AI20">
        <f t="shared" si="3"/>
        <v>6.2050506090784054</v>
      </c>
      <c r="AJ20">
        <f t="shared" si="3"/>
        <v>332.76062365168934</v>
      </c>
      <c r="AK20">
        <f t="shared" si="3"/>
        <v>1.3455899244933274</v>
      </c>
    </row>
    <row r="21" spans="1:37">
      <c r="A21" s="1" t="s">
        <v>56</v>
      </c>
      <c r="B21">
        <f>_xlfn.STDEV.S(B2:B15)</f>
        <v>4931.9300242132658</v>
      </c>
      <c r="C21">
        <f t="shared" ref="C21:AK21" si="4">_xlfn.STDEV.S(C2:C15)</f>
        <v>6.4965925134422573</v>
      </c>
      <c r="D21">
        <f t="shared" si="4"/>
        <v>2308.3015972217027</v>
      </c>
      <c r="E21">
        <f t="shared" si="4"/>
        <v>6.5608060346405432</v>
      </c>
      <c r="F21">
        <f t="shared" si="4"/>
        <v>775.84755970321635</v>
      </c>
      <c r="G21">
        <f t="shared" si="4"/>
        <v>2.2047443017042663</v>
      </c>
      <c r="H21">
        <f t="shared" si="4"/>
        <v>5327.7800280672745</v>
      </c>
      <c r="I21">
        <f t="shared" si="4"/>
        <v>4.9690912782789702</v>
      </c>
      <c r="J21">
        <f t="shared" si="4"/>
        <v>2246.0096826384106</v>
      </c>
      <c r="K21">
        <f t="shared" si="4"/>
        <v>4.7803167856773472</v>
      </c>
      <c r="L21">
        <f t="shared" si="4"/>
        <v>417.44666698899368</v>
      </c>
      <c r="M21">
        <f t="shared" si="4"/>
        <v>1.3966994060173525</v>
      </c>
      <c r="N21">
        <f t="shared" si="4"/>
        <v>4421.6654089846043</v>
      </c>
      <c r="O21">
        <f t="shared" si="4"/>
        <v>6.9172502953377721</v>
      </c>
      <c r="P21">
        <f t="shared" si="4"/>
        <v>2734.1185252088303</v>
      </c>
      <c r="Q21">
        <f t="shared" si="4"/>
        <v>6.7065532982939571</v>
      </c>
      <c r="R21">
        <f t="shared" si="4"/>
        <v>833.55962824872574</v>
      </c>
      <c r="S21">
        <f t="shared" si="4"/>
        <v>2.2827711133716382</v>
      </c>
      <c r="T21">
        <f t="shared" si="4"/>
        <v>5246.9105048736865</v>
      </c>
      <c r="U21">
        <f t="shared" si="4"/>
        <v>4.0969836130102752</v>
      </c>
      <c r="V21">
        <f t="shared" si="4"/>
        <v>1986.0365480850726</v>
      </c>
      <c r="W21">
        <f t="shared" si="4"/>
        <v>3.8461697801867909</v>
      </c>
      <c r="X21">
        <f t="shared" si="4"/>
        <v>775.90969769320384</v>
      </c>
      <c r="Y21">
        <f t="shared" si="4"/>
        <v>1.8172958214237203</v>
      </c>
      <c r="Z21">
        <f t="shared" si="4"/>
        <v>4511.6639750956438</v>
      </c>
      <c r="AA21">
        <f t="shared" si="4"/>
        <v>7.6402635015832674</v>
      </c>
      <c r="AB21">
        <f t="shared" si="4"/>
        <v>2055.3503538139371</v>
      </c>
      <c r="AC21">
        <f t="shared" si="4"/>
        <v>9.0252636867508862</v>
      </c>
      <c r="AD21">
        <f t="shared" si="4"/>
        <v>1437.5192937071211</v>
      </c>
      <c r="AE21">
        <f t="shared" si="4"/>
        <v>3.71596644137251</v>
      </c>
      <c r="AF21">
        <f t="shared" si="4"/>
        <v>4955.933531669858</v>
      </c>
      <c r="AG21">
        <f t="shared" si="4"/>
        <v>6.6259065313840217</v>
      </c>
      <c r="AH21">
        <f t="shared" si="4"/>
        <v>2690.9051502185148</v>
      </c>
      <c r="AI21">
        <f t="shared" si="4"/>
        <v>6.4392853333576721</v>
      </c>
      <c r="AJ21">
        <f t="shared" si="4"/>
        <v>345.32201885095122</v>
      </c>
      <c r="AK21">
        <f t="shared" si="4"/>
        <v>1.396384656851438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D7"/>
  <sheetViews>
    <sheetView zoomScale="125" zoomScaleNormal="125" zoomScalePageLayoutView="125" workbookViewId="0">
      <selection sqref="A1:XFD1"/>
    </sheetView>
  </sheetViews>
  <sheetFormatPr baseColWidth="10" defaultRowHeight="15" x14ac:dyDescent="0"/>
  <sheetData>
    <row r="1" spans="1:264" s="6" customFormat="1">
      <c r="A1" s="4" t="s">
        <v>57</v>
      </c>
      <c r="B1" s="4" t="s">
        <v>114</v>
      </c>
      <c r="C1" s="4" t="s">
        <v>115</v>
      </c>
      <c r="D1" s="5" t="s">
        <v>116</v>
      </c>
      <c r="E1" s="4" t="s">
        <v>117</v>
      </c>
      <c r="F1" s="5" t="s">
        <v>118</v>
      </c>
      <c r="G1" s="5" t="s">
        <v>119</v>
      </c>
      <c r="H1" s="5" t="s">
        <v>120</v>
      </c>
      <c r="I1" s="5" t="s">
        <v>121</v>
      </c>
      <c r="J1" s="5" t="s">
        <v>122</v>
      </c>
      <c r="K1" s="5" t="s">
        <v>123</v>
      </c>
      <c r="L1" s="4" t="s">
        <v>124</v>
      </c>
      <c r="M1" s="6" t="s">
        <v>125</v>
      </c>
      <c r="N1" s="6" t="s">
        <v>126</v>
      </c>
      <c r="O1" s="6" t="s">
        <v>127</v>
      </c>
      <c r="P1" s="6" t="s">
        <v>128</v>
      </c>
      <c r="Q1" s="6" t="s">
        <v>129</v>
      </c>
      <c r="R1" s="6" t="s">
        <v>130</v>
      </c>
      <c r="S1" s="6" t="s">
        <v>131</v>
      </c>
      <c r="T1" s="6" t="s">
        <v>132</v>
      </c>
      <c r="U1" s="6" t="s">
        <v>133</v>
      </c>
      <c r="V1" s="6" t="s">
        <v>134</v>
      </c>
      <c r="W1" s="6" t="s">
        <v>135</v>
      </c>
      <c r="X1" s="6" t="s">
        <v>136</v>
      </c>
      <c r="Y1" s="6" t="s">
        <v>137</v>
      </c>
      <c r="Z1" s="6" t="s">
        <v>138</v>
      </c>
      <c r="AA1" s="7" t="s">
        <v>139</v>
      </c>
      <c r="AB1" s="7" t="s">
        <v>140</v>
      </c>
      <c r="AC1" s="7" t="s">
        <v>141</v>
      </c>
      <c r="AD1" s="7" t="s">
        <v>142</v>
      </c>
      <c r="AE1" s="7" t="s">
        <v>143</v>
      </c>
      <c r="AF1" s="7" t="s">
        <v>144</v>
      </c>
      <c r="AG1" s="7" t="s">
        <v>145</v>
      </c>
      <c r="AH1" s="7" t="s">
        <v>146</v>
      </c>
      <c r="AI1" s="7" t="s">
        <v>147</v>
      </c>
      <c r="AJ1" s="7" t="s">
        <v>148</v>
      </c>
      <c r="AK1" s="7" t="s">
        <v>149</v>
      </c>
      <c r="AL1" s="7" t="s">
        <v>150</v>
      </c>
      <c r="AM1" s="7" t="s">
        <v>151</v>
      </c>
      <c r="AN1" s="7" t="s">
        <v>152</v>
      </c>
      <c r="AO1" s="7" t="s">
        <v>153</v>
      </c>
      <c r="AP1" s="7" t="s">
        <v>154</v>
      </c>
      <c r="AQ1" s="7" t="s">
        <v>155</v>
      </c>
      <c r="AR1" s="7" t="s">
        <v>156</v>
      </c>
      <c r="AS1" s="7" t="s">
        <v>157</v>
      </c>
      <c r="AT1" s="7" t="s">
        <v>158</v>
      </c>
      <c r="AU1" s="7" t="s">
        <v>159</v>
      </c>
      <c r="AV1" s="7" t="s">
        <v>160</v>
      </c>
      <c r="AW1" s="7" t="s">
        <v>161</v>
      </c>
      <c r="AX1" s="7" t="s">
        <v>162</v>
      </c>
      <c r="AY1" s="7" t="s">
        <v>163</v>
      </c>
      <c r="AZ1" s="7" t="s">
        <v>164</v>
      </c>
      <c r="BA1" s="7" t="s">
        <v>165</v>
      </c>
      <c r="BB1" s="7" t="s">
        <v>166</v>
      </c>
      <c r="BC1" s="7" t="s">
        <v>167</v>
      </c>
      <c r="BD1" s="7" t="s">
        <v>168</v>
      </c>
      <c r="BE1" s="7" t="s">
        <v>169</v>
      </c>
      <c r="BF1" s="7" t="s">
        <v>170</v>
      </c>
      <c r="BG1" s="7" t="s">
        <v>171</v>
      </c>
      <c r="BH1" s="7" t="s">
        <v>172</v>
      </c>
      <c r="BI1" s="7" t="s">
        <v>173</v>
      </c>
      <c r="BJ1" s="7" t="s">
        <v>160</v>
      </c>
      <c r="BK1" s="7" t="s">
        <v>174</v>
      </c>
      <c r="BL1" s="7" t="s">
        <v>175</v>
      </c>
      <c r="BM1" s="7" t="s">
        <v>176</v>
      </c>
      <c r="BN1" s="7" t="s">
        <v>177</v>
      </c>
      <c r="BO1" s="7" t="s">
        <v>178</v>
      </c>
      <c r="BP1" s="7" t="s">
        <v>179</v>
      </c>
      <c r="BQ1" s="7" t="s">
        <v>180</v>
      </c>
      <c r="BR1" s="7" t="s">
        <v>181</v>
      </c>
      <c r="BS1" s="7" t="s">
        <v>182</v>
      </c>
      <c r="BT1" s="7" t="s">
        <v>183</v>
      </c>
      <c r="BU1" s="7" t="s">
        <v>184</v>
      </c>
      <c r="BV1" s="7" t="s">
        <v>185</v>
      </c>
      <c r="BW1" s="7" t="s">
        <v>186</v>
      </c>
      <c r="BX1" s="7" t="s">
        <v>187</v>
      </c>
      <c r="BY1" s="7" t="s">
        <v>188</v>
      </c>
      <c r="BZ1" s="7" t="s">
        <v>189</v>
      </c>
      <c r="CA1" s="7" t="s">
        <v>190</v>
      </c>
      <c r="CB1" s="7" t="s">
        <v>191</v>
      </c>
      <c r="CC1" s="7" t="s">
        <v>192</v>
      </c>
      <c r="CD1" s="7" t="s">
        <v>193</v>
      </c>
      <c r="CE1" s="7" t="s">
        <v>194</v>
      </c>
      <c r="CF1" s="7" t="s">
        <v>195</v>
      </c>
      <c r="CG1" s="7" t="s">
        <v>196</v>
      </c>
      <c r="CH1" s="7" t="s">
        <v>197</v>
      </c>
      <c r="CI1" s="7" t="s">
        <v>198</v>
      </c>
      <c r="CJ1" s="7" t="s">
        <v>199</v>
      </c>
      <c r="CK1" s="7" t="s">
        <v>200</v>
      </c>
      <c r="CL1" s="7" t="s">
        <v>201</v>
      </c>
      <c r="CM1" s="7" t="s">
        <v>202</v>
      </c>
      <c r="CN1" s="7" t="s">
        <v>203</v>
      </c>
      <c r="CO1" s="7" t="s">
        <v>204</v>
      </c>
      <c r="CP1" s="7" t="s">
        <v>205</v>
      </c>
      <c r="CQ1" s="7" t="s">
        <v>206</v>
      </c>
      <c r="CR1" s="7" t="s">
        <v>207</v>
      </c>
      <c r="CS1" s="7" t="s">
        <v>208</v>
      </c>
      <c r="CT1" s="7" t="s">
        <v>209</v>
      </c>
      <c r="CU1" s="7" t="s">
        <v>210</v>
      </c>
      <c r="CV1" s="7" t="s">
        <v>211</v>
      </c>
      <c r="CW1" s="7" t="s">
        <v>212</v>
      </c>
      <c r="CX1" s="7" t="s">
        <v>213</v>
      </c>
      <c r="CY1" s="7" t="s">
        <v>214</v>
      </c>
      <c r="CZ1" s="7" t="s">
        <v>215</v>
      </c>
      <c r="DA1" s="7" t="s">
        <v>216</v>
      </c>
      <c r="DB1" s="7" t="s">
        <v>217</v>
      </c>
      <c r="DC1" s="7" t="s">
        <v>218</v>
      </c>
      <c r="DD1" s="7" t="s">
        <v>219</v>
      </c>
      <c r="DE1" s="7" t="s">
        <v>220</v>
      </c>
      <c r="DF1" s="7" t="s">
        <v>221</v>
      </c>
      <c r="DG1" s="7" t="s">
        <v>222</v>
      </c>
      <c r="DH1" s="7" t="s">
        <v>223</v>
      </c>
      <c r="DI1" s="7" t="s">
        <v>224</v>
      </c>
      <c r="DJ1" s="7" t="s">
        <v>225</v>
      </c>
      <c r="DK1" s="7" t="s">
        <v>226</v>
      </c>
      <c r="DL1" s="7" t="s">
        <v>227</v>
      </c>
      <c r="DM1" s="7" t="s">
        <v>228</v>
      </c>
      <c r="DN1" s="7" t="s">
        <v>229</v>
      </c>
      <c r="DO1" s="7" t="s">
        <v>230</v>
      </c>
      <c r="DP1" s="7" t="s">
        <v>231</v>
      </c>
      <c r="DQ1" s="7" t="s">
        <v>232</v>
      </c>
      <c r="DR1" s="7" t="s">
        <v>233</v>
      </c>
      <c r="DS1" s="7" t="s">
        <v>234</v>
      </c>
      <c r="DT1" s="7" t="s">
        <v>235</v>
      </c>
      <c r="DU1" s="7" t="s">
        <v>236</v>
      </c>
      <c r="DV1" s="7" t="s">
        <v>237</v>
      </c>
      <c r="DW1" s="7" t="s">
        <v>238</v>
      </c>
      <c r="DX1" s="7" t="s">
        <v>239</v>
      </c>
      <c r="DY1" s="7" t="s">
        <v>240</v>
      </c>
      <c r="DZ1" s="7" t="s">
        <v>241</v>
      </c>
      <c r="EA1" s="7" t="s">
        <v>242</v>
      </c>
      <c r="EB1" s="7" t="s">
        <v>243</v>
      </c>
      <c r="EC1" s="7" t="s">
        <v>244</v>
      </c>
      <c r="ED1" s="7" t="s">
        <v>245</v>
      </c>
      <c r="EE1" s="7" t="s">
        <v>246</v>
      </c>
      <c r="EF1" s="7" t="s">
        <v>247</v>
      </c>
      <c r="EG1" s="7" t="s">
        <v>248</v>
      </c>
      <c r="EH1" s="7" t="s">
        <v>249</v>
      </c>
      <c r="EI1" s="7" t="s">
        <v>250</v>
      </c>
      <c r="EJ1" s="7" t="s">
        <v>251</v>
      </c>
      <c r="EK1" s="7" t="s">
        <v>252</v>
      </c>
      <c r="EL1" s="7" t="s">
        <v>253</v>
      </c>
      <c r="EM1" s="7" t="s">
        <v>254</v>
      </c>
      <c r="EN1" s="7" t="s">
        <v>255</v>
      </c>
      <c r="EO1" s="7" t="s">
        <v>256</v>
      </c>
      <c r="EP1" s="7" t="s">
        <v>257</v>
      </c>
      <c r="EQ1" s="7" t="s">
        <v>258</v>
      </c>
      <c r="ER1" s="7" t="s">
        <v>259</v>
      </c>
      <c r="ES1" s="7" t="s">
        <v>260</v>
      </c>
      <c r="ET1" s="7" t="s">
        <v>261</v>
      </c>
      <c r="EU1" s="7" t="s">
        <v>262</v>
      </c>
      <c r="EV1" s="7" t="s">
        <v>263</v>
      </c>
      <c r="EW1" s="7" t="s">
        <v>264</v>
      </c>
      <c r="EX1" s="7" t="s">
        <v>265</v>
      </c>
      <c r="EY1" s="7" t="s">
        <v>266</v>
      </c>
      <c r="EZ1" s="7" t="s">
        <v>267</v>
      </c>
      <c r="FA1" s="7" t="s">
        <v>268</v>
      </c>
      <c r="FB1" s="7" t="s">
        <v>269</v>
      </c>
      <c r="FC1" s="7" t="s">
        <v>270</v>
      </c>
      <c r="FD1" s="7" t="s">
        <v>271</v>
      </c>
      <c r="FE1" s="7" t="s">
        <v>272</v>
      </c>
      <c r="FF1" s="7" t="s">
        <v>273</v>
      </c>
      <c r="FG1" s="7" t="s">
        <v>274</v>
      </c>
      <c r="FH1" s="7" t="s">
        <v>275</v>
      </c>
      <c r="FI1" s="7" t="s">
        <v>276</v>
      </c>
      <c r="FJ1" s="7" t="s">
        <v>277</v>
      </c>
      <c r="FK1" s="7" t="s">
        <v>278</v>
      </c>
      <c r="FL1" s="7" t="s">
        <v>279</v>
      </c>
      <c r="FM1" s="7" t="s">
        <v>280</v>
      </c>
      <c r="FN1" s="7" t="s">
        <v>281</v>
      </c>
      <c r="FO1" s="7" t="s">
        <v>282</v>
      </c>
      <c r="FP1" s="7" t="s">
        <v>283</v>
      </c>
      <c r="FQ1" s="7" t="s">
        <v>284</v>
      </c>
      <c r="FR1" s="7" t="s">
        <v>285</v>
      </c>
      <c r="FS1" s="7" t="s">
        <v>286</v>
      </c>
      <c r="FT1" s="7" t="s">
        <v>287</v>
      </c>
      <c r="FU1" s="7" t="s">
        <v>288</v>
      </c>
      <c r="FV1" s="7" t="s">
        <v>289</v>
      </c>
      <c r="FW1" s="7" t="s">
        <v>290</v>
      </c>
      <c r="FX1" s="7" t="s">
        <v>291</v>
      </c>
      <c r="FY1" s="1" t="s">
        <v>58</v>
      </c>
      <c r="FZ1" s="1" t="s">
        <v>59</v>
      </c>
      <c r="GA1" s="1" t="s">
        <v>60</v>
      </c>
      <c r="GB1" s="1" t="s">
        <v>61</v>
      </c>
      <c r="GC1" s="1" t="s">
        <v>62</v>
      </c>
      <c r="GD1" s="1" t="s">
        <v>63</v>
      </c>
      <c r="GE1" s="1" t="s">
        <v>64</v>
      </c>
      <c r="GF1" s="1" t="s">
        <v>65</v>
      </c>
      <c r="GG1" s="1" t="s">
        <v>66</v>
      </c>
      <c r="GH1" s="1" t="s">
        <v>67</v>
      </c>
      <c r="GI1" s="1" t="s">
        <v>68</v>
      </c>
      <c r="GJ1" s="1" t="s">
        <v>69</v>
      </c>
      <c r="GK1" s="1" t="s">
        <v>70</v>
      </c>
      <c r="GL1" s="1" t="s">
        <v>71</v>
      </c>
      <c r="GM1" s="1" t="s">
        <v>72</v>
      </c>
      <c r="GN1" s="1" t="s">
        <v>73</v>
      </c>
      <c r="GO1" s="1" t="s">
        <v>74</v>
      </c>
      <c r="GP1" s="1" t="s">
        <v>75</v>
      </c>
      <c r="GQ1" s="1" t="s">
        <v>76</v>
      </c>
      <c r="GR1" s="1" t="s">
        <v>77</v>
      </c>
      <c r="GS1" s="1" t="s">
        <v>78</v>
      </c>
      <c r="GT1" s="1" t="s">
        <v>79</v>
      </c>
      <c r="GU1" s="1"/>
      <c r="GV1" s="1" t="s">
        <v>80</v>
      </c>
      <c r="GW1" s="1" t="s">
        <v>81</v>
      </c>
      <c r="GX1" s="1" t="s">
        <v>82</v>
      </c>
      <c r="GY1" s="1" t="s">
        <v>83</v>
      </c>
      <c r="GZ1" s="1" t="s">
        <v>84</v>
      </c>
      <c r="HA1" s="1" t="s">
        <v>85</v>
      </c>
      <c r="HB1" s="1" t="s">
        <v>86</v>
      </c>
      <c r="HC1" s="1" t="s">
        <v>87</v>
      </c>
      <c r="HD1" s="1" t="s">
        <v>88</v>
      </c>
      <c r="HE1" s="1" t="s">
        <v>89</v>
      </c>
      <c r="HF1" s="1" t="s">
        <v>90</v>
      </c>
      <c r="HG1" s="1" t="s">
        <v>91</v>
      </c>
      <c r="HH1" s="1" t="s">
        <v>92</v>
      </c>
      <c r="HI1" s="1" t="s">
        <v>93</v>
      </c>
      <c r="HJ1" s="1" t="s">
        <v>94</v>
      </c>
      <c r="HK1" s="1" t="s">
        <v>95</v>
      </c>
      <c r="HL1" s="1" t="s">
        <v>96</v>
      </c>
      <c r="HM1" s="1" t="s">
        <v>97</v>
      </c>
      <c r="HN1" s="1" t="s">
        <v>98</v>
      </c>
      <c r="HO1" s="1" t="s">
        <v>99</v>
      </c>
      <c r="HP1" s="1" t="s">
        <v>100</v>
      </c>
      <c r="HQ1" s="1" t="s">
        <v>101</v>
      </c>
      <c r="HR1" s="1" t="s">
        <v>102</v>
      </c>
      <c r="HS1" s="1" t="s">
        <v>103</v>
      </c>
      <c r="HT1" s="1" t="s">
        <v>104</v>
      </c>
      <c r="HU1" s="1" t="s">
        <v>105</v>
      </c>
      <c r="HV1" s="1" t="s">
        <v>106</v>
      </c>
      <c r="HW1" s="1" t="s">
        <v>107</v>
      </c>
      <c r="HX1" s="1" t="s">
        <v>108</v>
      </c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</row>
    <row r="2" spans="1:264" s="3" customFormat="1">
      <c r="A2" s="1">
        <v>2010</v>
      </c>
      <c r="B2" s="3">
        <v>55787</v>
      </c>
      <c r="C2" s="3">
        <v>13281</v>
      </c>
      <c r="D2" s="8">
        <v>66</v>
      </c>
      <c r="E2" s="8">
        <v>7</v>
      </c>
      <c r="F2" s="8">
        <v>14</v>
      </c>
      <c r="G2" s="8">
        <v>22</v>
      </c>
      <c r="H2" s="8">
        <v>3</v>
      </c>
      <c r="I2" s="8">
        <v>1</v>
      </c>
      <c r="J2" s="8">
        <v>10</v>
      </c>
      <c r="K2" s="8">
        <v>8</v>
      </c>
      <c r="L2" s="8">
        <v>1</v>
      </c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>
        <v>34342780</v>
      </c>
      <c r="GW2">
        <v>525037</v>
      </c>
      <c r="GX2">
        <v>144038</v>
      </c>
      <c r="GY2">
        <v>944469</v>
      </c>
      <c r="GZ2">
        <v>755530</v>
      </c>
      <c r="HA2">
        <v>8007656</v>
      </c>
      <c r="HB2">
        <v>13263544</v>
      </c>
      <c r="HC2">
        <v>1233728</v>
      </c>
      <c r="HD2">
        <v>1066349</v>
      </c>
      <c r="HE2">
        <v>3790191</v>
      </c>
      <c r="HF2">
        <v>4499139</v>
      </c>
      <c r="HG2">
        <v>35402</v>
      </c>
      <c r="HH2">
        <v>43501</v>
      </c>
      <c r="HI2">
        <v>34196</v>
      </c>
      <c r="HJ2" t="s">
        <v>109</v>
      </c>
      <c r="HK2">
        <v>749510</v>
      </c>
      <c r="HL2">
        <v>5220</v>
      </c>
      <c r="HM2">
        <v>2360</v>
      </c>
      <c r="HN2">
        <v>14500</v>
      </c>
      <c r="HO2">
        <v>6683</v>
      </c>
      <c r="HP2">
        <v>113675</v>
      </c>
      <c r="HQ2">
        <v>311510</v>
      </c>
      <c r="HR2">
        <v>15593</v>
      </c>
      <c r="HS2">
        <v>14898</v>
      </c>
      <c r="HT2">
        <v>90242</v>
      </c>
      <c r="HU2">
        <v>174101</v>
      </c>
      <c r="HV2">
        <v>365</v>
      </c>
      <c r="HW2">
        <v>320</v>
      </c>
      <c r="HX2">
        <v>43</v>
      </c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</row>
    <row r="3" spans="1:264" s="3" customFormat="1">
      <c r="A3" s="1">
        <v>2011</v>
      </c>
      <c r="B3" s="3">
        <v>55820</v>
      </c>
      <c r="C3" s="3">
        <v>13604</v>
      </c>
      <c r="D3" s="8">
        <v>68</v>
      </c>
      <c r="E3" s="8">
        <v>7</v>
      </c>
      <c r="F3" s="8">
        <v>11</v>
      </c>
      <c r="G3" s="8">
        <v>23</v>
      </c>
      <c r="H3" s="8">
        <v>1</v>
      </c>
      <c r="I3" s="8">
        <v>2</v>
      </c>
      <c r="J3" s="8">
        <v>12</v>
      </c>
      <c r="K3" s="8">
        <v>9</v>
      </c>
      <c r="L3" s="8">
        <v>3</v>
      </c>
      <c r="M3">
        <v>7981</v>
      </c>
      <c r="N3">
        <v>22543.919999999998</v>
      </c>
      <c r="O3">
        <v>-2.2799999999999998</v>
      </c>
      <c r="P3">
        <v>5258</v>
      </c>
      <c r="Q3">
        <v>1664</v>
      </c>
      <c r="R3">
        <v>3594</v>
      </c>
      <c r="S3">
        <v>1629</v>
      </c>
      <c r="T3">
        <v>5310.34</v>
      </c>
      <c r="U3">
        <v>1507</v>
      </c>
      <c r="V3">
        <v>5351.18</v>
      </c>
      <c r="W3">
        <v>122</v>
      </c>
      <c r="X3">
        <v>4852.82</v>
      </c>
      <c r="Y3">
        <v>404</v>
      </c>
      <c r="Z3">
        <v>16070.01</v>
      </c>
      <c r="AA3">
        <v>22751</v>
      </c>
      <c r="AB3">
        <v>52299.95</v>
      </c>
      <c r="AC3">
        <v>1.39</v>
      </c>
      <c r="AD3">
        <v>16710</v>
      </c>
      <c r="AE3">
        <v>3571</v>
      </c>
      <c r="AF3">
        <v>13139</v>
      </c>
      <c r="AG3">
        <v>3386</v>
      </c>
      <c r="AH3">
        <v>9389.3799999999992</v>
      </c>
      <c r="AI3">
        <v>3027</v>
      </c>
      <c r="AJ3">
        <v>9397.1200000000008</v>
      </c>
      <c r="AK3">
        <v>359</v>
      </c>
      <c r="AL3">
        <v>9324.68</v>
      </c>
      <c r="AM3">
        <v>1164</v>
      </c>
      <c r="AN3">
        <v>30233.77</v>
      </c>
      <c r="AO3">
        <v>13488</v>
      </c>
      <c r="AP3">
        <v>39443.21</v>
      </c>
      <c r="AQ3">
        <v>-3.86</v>
      </c>
      <c r="AR3">
        <v>11170</v>
      </c>
      <c r="AS3">
        <v>2886</v>
      </c>
      <c r="AT3">
        <v>8284</v>
      </c>
      <c r="AU3">
        <v>2654</v>
      </c>
      <c r="AV3">
        <v>10496.76</v>
      </c>
      <c r="AW3">
        <v>2396</v>
      </c>
      <c r="AX3">
        <v>11207.26</v>
      </c>
      <c r="AY3">
        <v>258</v>
      </c>
      <c r="AZ3">
        <v>6606.91</v>
      </c>
      <c r="BA3">
        <v>803</v>
      </c>
      <c r="BB3">
        <v>20563.38</v>
      </c>
      <c r="BC3">
        <v>37465</v>
      </c>
      <c r="BD3">
        <v>7135.69</v>
      </c>
      <c r="BE3">
        <v>-5.3</v>
      </c>
      <c r="BF3">
        <v>14634</v>
      </c>
      <c r="BG3">
        <v>8546</v>
      </c>
      <c r="BH3">
        <v>6088</v>
      </c>
      <c r="BI3">
        <v>8521</v>
      </c>
      <c r="BJ3">
        <v>1834.45</v>
      </c>
      <c r="BK3">
        <v>7573</v>
      </c>
      <c r="BL3">
        <v>1760.84</v>
      </c>
      <c r="BM3">
        <v>948</v>
      </c>
      <c r="BN3">
        <v>2754.05</v>
      </c>
      <c r="BO3">
        <v>1431</v>
      </c>
      <c r="BP3">
        <v>4157.2299999999996</v>
      </c>
      <c r="BQ3">
        <v>10500</v>
      </c>
      <c r="BR3">
        <v>7289.74</v>
      </c>
      <c r="BS3">
        <v>2.09</v>
      </c>
      <c r="BT3">
        <v>3516</v>
      </c>
      <c r="BU3">
        <v>2077</v>
      </c>
      <c r="BV3">
        <v>1439</v>
      </c>
      <c r="BW3">
        <v>2077</v>
      </c>
      <c r="BX3">
        <v>1647.69</v>
      </c>
      <c r="BY3">
        <v>1828</v>
      </c>
      <c r="BZ3">
        <v>1588.54</v>
      </c>
      <c r="CA3">
        <v>249</v>
      </c>
      <c r="CB3">
        <v>2267.5500000000002</v>
      </c>
      <c r="CC3">
        <v>415</v>
      </c>
      <c r="CD3">
        <v>3779.26</v>
      </c>
      <c r="CE3">
        <v>69357</v>
      </c>
      <c r="CF3">
        <v>7343.49</v>
      </c>
      <c r="CG3">
        <v>-6.29</v>
      </c>
      <c r="CH3">
        <v>32641</v>
      </c>
      <c r="CI3">
        <v>19390</v>
      </c>
      <c r="CJ3">
        <v>13251</v>
      </c>
      <c r="CK3">
        <v>19410</v>
      </c>
      <c r="CL3">
        <v>2319.27</v>
      </c>
      <c r="CM3">
        <v>16715</v>
      </c>
      <c r="CN3">
        <v>2163.09</v>
      </c>
      <c r="CO3">
        <v>2695</v>
      </c>
      <c r="CP3">
        <v>4200.17</v>
      </c>
      <c r="CQ3">
        <v>3890</v>
      </c>
      <c r="CR3">
        <v>6062.59</v>
      </c>
      <c r="CS3">
        <v>45809</v>
      </c>
      <c r="CT3">
        <v>6063.16</v>
      </c>
      <c r="CU3">
        <v>-4.3499999999999996</v>
      </c>
      <c r="CV3">
        <v>20842</v>
      </c>
      <c r="CW3">
        <v>13356</v>
      </c>
      <c r="CX3">
        <v>7486</v>
      </c>
      <c r="CY3">
        <v>13242</v>
      </c>
      <c r="CZ3">
        <v>1984.15</v>
      </c>
      <c r="DA3">
        <v>11487</v>
      </c>
      <c r="DB3">
        <v>1865.2</v>
      </c>
      <c r="DC3">
        <v>1755</v>
      </c>
      <c r="DD3">
        <v>3405.85</v>
      </c>
      <c r="DE3">
        <v>2216</v>
      </c>
      <c r="DF3">
        <v>4300.49</v>
      </c>
      <c r="DG3">
        <v>2275917</v>
      </c>
      <c r="DH3">
        <v>6627.06</v>
      </c>
      <c r="DI3">
        <v>-5.28</v>
      </c>
      <c r="DJ3">
        <v>1066428</v>
      </c>
      <c r="DK3">
        <v>658522</v>
      </c>
      <c r="DL3">
        <v>407906</v>
      </c>
      <c r="DM3">
        <v>629943</v>
      </c>
      <c r="DN3">
        <v>2107.42</v>
      </c>
      <c r="DO3">
        <v>557349</v>
      </c>
      <c r="DP3">
        <v>2034</v>
      </c>
      <c r="DQ3">
        <v>72594</v>
      </c>
      <c r="DR3">
        <v>2915.45</v>
      </c>
      <c r="DS3">
        <v>94608</v>
      </c>
      <c r="DT3">
        <v>3799.55</v>
      </c>
      <c r="DU3">
        <v>636172</v>
      </c>
      <c r="DV3">
        <v>4796.3999999999996</v>
      </c>
      <c r="DW3">
        <v>-5.46</v>
      </c>
      <c r="DX3">
        <v>300694</v>
      </c>
      <c r="DY3">
        <v>213152</v>
      </c>
      <c r="DZ3">
        <v>87542</v>
      </c>
      <c r="EA3">
        <v>209852</v>
      </c>
      <c r="EB3">
        <v>1820.06</v>
      </c>
      <c r="EC3">
        <v>184060</v>
      </c>
      <c r="ED3">
        <v>1747.99</v>
      </c>
      <c r="EE3">
        <v>25792</v>
      </c>
      <c r="EF3">
        <v>2578.7600000000002</v>
      </c>
      <c r="EG3">
        <v>29736</v>
      </c>
      <c r="EH3">
        <v>2973.09</v>
      </c>
      <c r="EI3">
        <v>121719</v>
      </c>
      <c r="EJ3">
        <v>9865.9500000000007</v>
      </c>
      <c r="EK3">
        <v>-7.36</v>
      </c>
      <c r="EL3">
        <v>60557</v>
      </c>
      <c r="EM3">
        <v>33745</v>
      </c>
      <c r="EN3">
        <v>26812</v>
      </c>
      <c r="EO3">
        <v>33488</v>
      </c>
      <c r="EP3">
        <v>3192.22</v>
      </c>
      <c r="EQ3">
        <v>27949</v>
      </c>
      <c r="ER3">
        <v>2948.4</v>
      </c>
      <c r="ES3">
        <v>5539</v>
      </c>
      <c r="ET3">
        <v>5478.03</v>
      </c>
      <c r="EU3">
        <v>4913</v>
      </c>
      <c r="EV3">
        <v>4858.92</v>
      </c>
      <c r="EW3">
        <v>150574</v>
      </c>
      <c r="EX3">
        <v>14120.52</v>
      </c>
      <c r="EY3">
        <v>-1.32</v>
      </c>
      <c r="EZ3">
        <v>89302</v>
      </c>
      <c r="FA3">
        <v>53546</v>
      </c>
      <c r="FB3">
        <v>35756</v>
      </c>
      <c r="FC3">
        <v>53494</v>
      </c>
      <c r="FD3">
        <v>5902.7</v>
      </c>
      <c r="FE3">
        <v>44058</v>
      </c>
      <c r="FF3">
        <v>5357.5</v>
      </c>
      <c r="FG3">
        <v>9436</v>
      </c>
      <c r="FH3">
        <v>11246.45</v>
      </c>
      <c r="FI3">
        <v>7370</v>
      </c>
      <c r="FJ3">
        <v>8784.06</v>
      </c>
      <c r="FK3">
        <v>418763</v>
      </c>
      <c r="FL3">
        <v>9307.6299999999992</v>
      </c>
      <c r="FM3">
        <v>-5.16</v>
      </c>
      <c r="FN3">
        <v>154026</v>
      </c>
      <c r="FO3">
        <v>74807</v>
      </c>
      <c r="FP3">
        <v>79219</v>
      </c>
      <c r="FQ3">
        <v>75983</v>
      </c>
      <c r="FR3">
        <v>1916.78</v>
      </c>
      <c r="FS3">
        <v>70264</v>
      </c>
      <c r="FT3">
        <v>1925.67</v>
      </c>
      <c r="FU3">
        <v>5719</v>
      </c>
      <c r="FV3">
        <v>1813.91</v>
      </c>
      <c r="FW3">
        <v>12999</v>
      </c>
      <c r="FX3">
        <v>4122.9399999999996</v>
      </c>
      <c r="FY3">
        <v>33399630</v>
      </c>
      <c r="FZ3">
        <v>16275110</v>
      </c>
      <c r="GA3">
        <v>17124520</v>
      </c>
      <c r="GB3">
        <v>14573530</v>
      </c>
      <c r="GC3">
        <v>12948940</v>
      </c>
      <c r="GD3">
        <v>2085710</v>
      </c>
      <c r="GE3">
        <v>2268780</v>
      </c>
      <c r="GF3">
        <v>6</v>
      </c>
      <c r="GG3">
        <v>7</v>
      </c>
      <c r="GH3">
        <v>39</v>
      </c>
      <c r="GI3">
        <v>7511130</v>
      </c>
      <c r="GJ3">
        <v>6475020</v>
      </c>
      <c r="GK3">
        <v>1037950</v>
      </c>
      <c r="GL3">
        <v>930090</v>
      </c>
      <c r="GM3">
        <v>6</v>
      </c>
      <c r="GN3">
        <v>6</v>
      </c>
      <c r="GO3">
        <v>7062400</v>
      </c>
      <c r="GP3">
        <v>6473920</v>
      </c>
      <c r="GQ3">
        <v>1047760</v>
      </c>
      <c r="GR3">
        <v>1338690</v>
      </c>
      <c r="GS3">
        <v>6</v>
      </c>
      <c r="GT3">
        <v>8</v>
      </c>
      <c r="GU3"/>
      <c r="GV3">
        <v>34751476</v>
      </c>
      <c r="GW3">
        <v>526895</v>
      </c>
      <c r="GX3">
        <v>145259</v>
      </c>
      <c r="GY3">
        <v>944835</v>
      </c>
      <c r="GZ3">
        <v>756836</v>
      </c>
      <c r="HA3">
        <v>8084768</v>
      </c>
      <c r="HB3">
        <v>13409558</v>
      </c>
      <c r="HC3">
        <v>1250406</v>
      </c>
      <c r="HD3">
        <v>1087223</v>
      </c>
      <c r="HE3">
        <v>3888552</v>
      </c>
      <c r="HF3">
        <v>4542578</v>
      </c>
      <c r="HG3">
        <v>36189</v>
      </c>
      <c r="HH3">
        <v>43648</v>
      </c>
      <c r="HI3">
        <v>34729</v>
      </c>
      <c r="HJ3" t="s">
        <v>110</v>
      </c>
      <c r="HK3">
        <v>771572</v>
      </c>
      <c r="HL3">
        <v>5613</v>
      </c>
      <c r="HM3">
        <v>2539</v>
      </c>
      <c r="HN3">
        <v>15938</v>
      </c>
      <c r="HO3">
        <v>7045</v>
      </c>
      <c r="HP3">
        <v>116100</v>
      </c>
      <c r="HQ3">
        <v>326762</v>
      </c>
      <c r="HR3">
        <v>16805</v>
      </c>
      <c r="HS3">
        <v>15333</v>
      </c>
      <c r="HT3">
        <v>87580</v>
      </c>
      <c r="HU3">
        <v>177049</v>
      </c>
      <c r="HV3">
        <v>382</v>
      </c>
      <c r="HW3">
        <v>322</v>
      </c>
      <c r="HX3">
        <v>104</v>
      </c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</row>
    <row r="4" spans="1:264" s="3" customFormat="1">
      <c r="A4" s="1">
        <v>2012</v>
      </c>
      <c r="B4" s="3">
        <v>55673</v>
      </c>
      <c r="C4" s="3">
        <v>13832</v>
      </c>
      <c r="D4" s="8">
        <v>63</v>
      </c>
      <c r="E4" s="8">
        <v>4</v>
      </c>
      <c r="F4" s="8">
        <v>11</v>
      </c>
      <c r="G4" s="8">
        <v>19</v>
      </c>
      <c r="H4" s="8">
        <v>9</v>
      </c>
      <c r="I4" s="8">
        <v>3</v>
      </c>
      <c r="J4" s="8">
        <v>7</v>
      </c>
      <c r="K4" s="8">
        <v>8</v>
      </c>
      <c r="L4" s="8">
        <v>2</v>
      </c>
      <c r="M4">
        <v>8191</v>
      </c>
      <c r="N4">
        <v>22633.95</v>
      </c>
      <c r="O4">
        <v>0.4</v>
      </c>
      <c r="P4">
        <v>5039</v>
      </c>
      <c r="Q4">
        <v>1615</v>
      </c>
      <c r="R4">
        <v>3424</v>
      </c>
      <c r="S4">
        <v>1600</v>
      </c>
      <c r="T4">
        <v>5104.8100000000004</v>
      </c>
      <c r="U4">
        <v>1454</v>
      </c>
      <c r="V4">
        <v>5045.63</v>
      </c>
      <c r="W4">
        <v>146</v>
      </c>
      <c r="X4">
        <v>5779.89</v>
      </c>
      <c r="Y4">
        <v>340</v>
      </c>
      <c r="Z4">
        <v>13460.02</v>
      </c>
      <c r="AA4">
        <v>22367</v>
      </c>
      <c r="AB4">
        <v>51244.04</v>
      </c>
      <c r="AC4">
        <v>-2.02</v>
      </c>
      <c r="AD4">
        <v>15742</v>
      </c>
      <c r="AE4">
        <v>2867</v>
      </c>
      <c r="AF4">
        <v>12875</v>
      </c>
      <c r="AG4">
        <v>2800</v>
      </c>
      <c r="AH4">
        <v>7762.47</v>
      </c>
      <c r="AI4">
        <v>2539</v>
      </c>
      <c r="AJ4">
        <v>7821.45</v>
      </c>
      <c r="AK4">
        <v>261</v>
      </c>
      <c r="AL4">
        <v>7231.92</v>
      </c>
      <c r="AM4">
        <v>1083</v>
      </c>
      <c r="AN4">
        <v>30008.31</v>
      </c>
      <c r="AO4">
        <v>14079</v>
      </c>
      <c r="AP4">
        <v>40539.61</v>
      </c>
      <c r="AQ4">
        <v>2.78</v>
      </c>
      <c r="AR4">
        <v>11220</v>
      </c>
      <c r="AS4">
        <v>3059</v>
      </c>
      <c r="AT4">
        <v>8161</v>
      </c>
      <c r="AU4">
        <v>2750</v>
      </c>
      <c r="AV4">
        <v>10692.07</v>
      </c>
      <c r="AW4">
        <v>2481</v>
      </c>
      <c r="AX4">
        <v>11339.64</v>
      </c>
      <c r="AY4">
        <v>269</v>
      </c>
      <c r="AZ4">
        <v>7003.38</v>
      </c>
      <c r="BA4">
        <v>729</v>
      </c>
      <c r="BB4">
        <v>18979.43</v>
      </c>
      <c r="BC4">
        <v>36024</v>
      </c>
      <c r="BD4">
        <v>6837.04</v>
      </c>
      <c r="BE4">
        <v>-4.1900000000000004</v>
      </c>
      <c r="BF4">
        <v>14265</v>
      </c>
      <c r="BG4">
        <v>8722</v>
      </c>
      <c r="BH4">
        <v>5543</v>
      </c>
      <c r="BI4">
        <v>8678</v>
      </c>
      <c r="BJ4">
        <v>1860.26</v>
      </c>
      <c r="BK4">
        <v>7777</v>
      </c>
      <c r="BL4">
        <v>1797.39</v>
      </c>
      <c r="BM4">
        <v>901</v>
      </c>
      <c r="BN4">
        <v>2664.97</v>
      </c>
      <c r="BO4">
        <v>1277</v>
      </c>
      <c r="BP4">
        <v>3777.1</v>
      </c>
      <c r="BQ4">
        <v>10678</v>
      </c>
      <c r="BR4">
        <v>7351.01</v>
      </c>
      <c r="BS4">
        <v>0.84</v>
      </c>
      <c r="BT4">
        <v>3812</v>
      </c>
      <c r="BU4">
        <v>2329</v>
      </c>
      <c r="BV4">
        <v>1483</v>
      </c>
      <c r="BW4">
        <v>2247</v>
      </c>
      <c r="BX4">
        <v>1765.91</v>
      </c>
      <c r="BY4">
        <v>1997</v>
      </c>
      <c r="BZ4">
        <v>1714.66</v>
      </c>
      <c r="CA4">
        <v>250</v>
      </c>
      <c r="CB4">
        <v>2319.7600000000002</v>
      </c>
      <c r="CC4">
        <v>448</v>
      </c>
      <c r="CD4">
        <v>4157</v>
      </c>
      <c r="CE4">
        <v>67485</v>
      </c>
      <c r="CF4">
        <v>7142.52</v>
      </c>
      <c r="CG4">
        <v>-2.74</v>
      </c>
      <c r="CH4">
        <v>32082</v>
      </c>
      <c r="CI4">
        <v>18342</v>
      </c>
      <c r="CJ4">
        <v>13740</v>
      </c>
      <c r="CK4">
        <v>18160</v>
      </c>
      <c r="CL4">
        <v>2165.52</v>
      </c>
      <c r="CM4">
        <v>15665</v>
      </c>
      <c r="CN4">
        <v>2019.18</v>
      </c>
      <c r="CO4">
        <v>2495</v>
      </c>
      <c r="CP4">
        <v>3973.75</v>
      </c>
      <c r="CQ4">
        <v>3921</v>
      </c>
      <c r="CR4">
        <v>6244.92</v>
      </c>
      <c r="CS4">
        <v>47498</v>
      </c>
      <c r="CT4">
        <v>6275.86</v>
      </c>
      <c r="CU4">
        <v>3.51</v>
      </c>
      <c r="CV4">
        <v>20535</v>
      </c>
      <c r="CW4">
        <v>13302</v>
      </c>
      <c r="CX4">
        <v>7233</v>
      </c>
      <c r="CY4">
        <v>12858</v>
      </c>
      <c r="CZ4">
        <v>1921.59</v>
      </c>
      <c r="DA4">
        <v>11412</v>
      </c>
      <c r="DB4">
        <v>1844.27</v>
      </c>
      <c r="DC4">
        <v>1446</v>
      </c>
      <c r="DD4">
        <v>2871.78</v>
      </c>
      <c r="DE4">
        <v>2196</v>
      </c>
      <c r="DF4">
        <v>4361.3</v>
      </c>
      <c r="DG4">
        <v>2244458</v>
      </c>
      <c r="DH4">
        <v>6458.6</v>
      </c>
      <c r="DI4">
        <v>-2.54</v>
      </c>
      <c r="DJ4">
        <v>1050701</v>
      </c>
      <c r="DK4">
        <v>660653</v>
      </c>
      <c r="DL4">
        <v>390048</v>
      </c>
      <c r="DM4">
        <v>628614</v>
      </c>
      <c r="DN4">
        <v>2077.02</v>
      </c>
      <c r="DO4">
        <v>560984</v>
      </c>
      <c r="DP4">
        <v>2016.51</v>
      </c>
      <c r="DQ4">
        <v>67630</v>
      </c>
      <c r="DR4">
        <v>2765.35</v>
      </c>
      <c r="DS4">
        <v>86893</v>
      </c>
      <c r="DT4">
        <v>3553</v>
      </c>
      <c r="DU4">
        <v>618486</v>
      </c>
      <c r="DV4">
        <v>4612.28</v>
      </c>
      <c r="DW4">
        <v>-3.84</v>
      </c>
      <c r="DX4">
        <v>294725</v>
      </c>
      <c r="DY4">
        <v>208916</v>
      </c>
      <c r="DZ4">
        <v>85809</v>
      </c>
      <c r="EA4">
        <v>205225</v>
      </c>
      <c r="EB4">
        <v>1757.53</v>
      </c>
      <c r="EC4">
        <v>182609</v>
      </c>
      <c r="ED4">
        <v>1707.56</v>
      </c>
      <c r="EE4">
        <v>22616</v>
      </c>
      <c r="EF4">
        <v>2301.41</v>
      </c>
      <c r="EG4">
        <v>27571</v>
      </c>
      <c r="EH4">
        <v>2805.63</v>
      </c>
      <c r="EI4">
        <v>121815</v>
      </c>
      <c r="EJ4">
        <v>9742.0400000000009</v>
      </c>
      <c r="EK4">
        <v>-1.26</v>
      </c>
      <c r="EL4">
        <v>61318</v>
      </c>
      <c r="EM4">
        <v>35603</v>
      </c>
      <c r="EN4">
        <v>25715</v>
      </c>
      <c r="EO4">
        <v>35324</v>
      </c>
      <c r="EP4">
        <v>3319.98</v>
      </c>
      <c r="EQ4">
        <v>29717</v>
      </c>
      <c r="ER4">
        <v>3084.74</v>
      </c>
      <c r="ES4">
        <v>5607</v>
      </c>
      <c r="ET4">
        <v>5572.06</v>
      </c>
      <c r="EU4">
        <v>4723</v>
      </c>
      <c r="EV4">
        <v>4693.57</v>
      </c>
      <c r="EW4">
        <v>147209</v>
      </c>
      <c r="EX4">
        <v>13539.91</v>
      </c>
      <c r="EY4">
        <v>-4.1100000000000003</v>
      </c>
      <c r="EZ4">
        <v>88662</v>
      </c>
      <c r="FA4">
        <v>54536</v>
      </c>
      <c r="FB4">
        <v>34126</v>
      </c>
      <c r="FC4">
        <v>54713</v>
      </c>
      <c r="FD4">
        <v>5925.82</v>
      </c>
      <c r="FE4">
        <v>45995</v>
      </c>
      <c r="FF4">
        <v>5477.62</v>
      </c>
      <c r="FG4">
        <v>8718</v>
      </c>
      <c r="FH4">
        <v>10427.11</v>
      </c>
      <c r="FI4">
        <v>6644</v>
      </c>
      <c r="FJ4">
        <v>7946.51</v>
      </c>
      <c r="FK4">
        <v>411975</v>
      </c>
      <c r="FL4">
        <v>9069.19</v>
      </c>
      <c r="FM4">
        <v>-2.56</v>
      </c>
      <c r="FN4">
        <v>146205</v>
      </c>
      <c r="FO4">
        <v>73240</v>
      </c>
      <c r="FP4">
        <v>72965</v>
      </c>
      <c r="FQ4">
        <v>73158</v>
      </c>
      <c r="FR4">
        <v>1825.56</v>
      </c>
      <c r="FS4">
        <v>68034</v>
      </c>
      <c r="FT4">
        <v>1840.06</v>
      </c>
      <c r="FU4">
        <v>5124</v>
      </c>
      <c r="FV4">
        <v>1652.63</v>
      </c>
      <c r="FW4">
        <v>12116</v>
      </c>
      <c r="FX4">
        <v>3907.74</v>
      </c>
      <c r="FY4">
        <v>33784140</v>
      </c>
      <c r="FZ4">
        <v>16475000</v>
      </c>
      <c r="GA4">
        <v>17309140</v>
      </c>
      <c r="GB4">
        <v>14749470</v>
      </c>
      <c r="GC4">
        <v>13053370</v>
      </c>
      <c r="GD4">
        <v>2103860</v>
      </c>
      <c r="GE4">
        <v>2324870</v>
      </c>
      <c r="GF4">
        <v>6</v>
      </c>
      <c r="GG4">
        <v>7</v>
      </c>
      <c r="GH4">
        <v>40</v>
      </c>
      <c r="GI4">
        <v>7605360</v>
      </c>
      <c r="GJ4">
        <v>6527180</v>
      </c>
      <c r="GK4">
        <v>1049690</v>
      </c>
      <c r="GL4">
        <v>960300</v>
      </c>
      <c r="GM4">
        <v>6</v>
      </c>
      <c r="GN4">
        <v>6</v>
      </c>
      <c r="GO4">
        <v>7144110</v>
      </c>
      <c r="GP4">
        <v>6526190</v>
      </c>
      <c r="GQ4">
        <v>1054170</v>
      </c>
      <c r="GR4">
        <v>1364570</v>
      </c>
      <c r="GS4">
        <v>6</v>
      </c>
      <c r="GT4">
        <v>8</v>
      </c>
      <c r="GU4"/>
      <c r="GV4">
        <v>35155499</v>
      </c>
      <c r="GW4">
        <v>528017</v>
      </c>
      <c r="GX4">
        <v>145441</v>
      </c>
      <c r="GY4">
        <v>942991</v>
      </c>
      <c r="GZ4">
        <v>755718</v>
      </c>
      <c r="HA4">
        <v>8154761</v>
      </c>
      <c r="HB4">
        <v>13551004</v>
      </c>
      <c r="HC4">
        <v>1265342</v>
      </c>
      <c r="HD4">
        <v>1106122</v>
      </c>
      <c r="HE4">
        <v>4007748</v>
      </c>
      <c r="HF4">
        <v>4582607</v>
      </c>
      <c r="HG4">
        <v>36429</v>
      </c>
      <c r="HH4">
        <v>43884</v>
      </c>
      <c r="HI4">
        <v>35435</v>
      </c>
      <c r="HJ4" t="s">
        <v>111</v>
      </c>
      <c r="HK4">
        <v>745333</v>
      </c>
      <c r="HL4">
        <v>5647</v>
      </c>
      <c r="HM4">
        <v>2627</v>
      </c>
      <c r="HN4">
        <v>15853</v>
      </c>
      <c r="HO4">
        <v>7177</v>
      </c>
      <c r="HP4">
        <v>110686</v>
      </c>
      <c r="HQ4">
        <v>316412</v>
      </c>
      <c r="HR4">
        <v>18001</v>
      </c>
      <c r="HS4">
        <v>15387</v>
      </c>
      <c r="HT4">
        <v>84039</v>
      </c>
      <c r="HU4">
        <v>168738</v>
      </c>
      <c r="HV4">
        <v>345</v>
      </c>
      <c r="HW4">
        <v>323</v>
      </c>
      <c r="HX4">
        <v>98</v>
      </c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</row>
    <row r="5" spans="1:264" s="3" customFormat="1">
      <c r="A5" s="1">
        <v>2013</v>
      </c>
      <c r="B5" s="3">
        <v>55252</v>
      </c>
      <c r="C5" s="3">
        <v>13998</v>
      </c>
      <c r="D5" s="8">
        <v>47</v>
      </c>
      <c r="E5" s="8">
        <v>5</v>
      </c>
      <c r="F5" s="8">
        <v>11</v>
      </c>
      <c r="G5" s="8">
        <v>13</v>
      </c>
      <c r="H5" s="8">
        <v>1</v>
      </c>
      <c r="I5" s="8">
        <v>2</v>
      </c>
      <c r="J5" s="8">
        <v>7</v>
      </c>
      <c r="K5" s="8">
        <v>5</v>
      </c>
      <c r="L5" s="8">
        <v>3</v>
      </c>
      <c r="M5">
        <v>9492</v>
      </c>
      <c r="N5">
        <v>26056.16</v>
      </c>
      <c r="O5">
        <v>15.12</v>
      </c>
      <c r="P5">
        <v>6034</v>
      </c>
      <c r="Q5">
        <v>1710</v>
      </c>
      <c r="R5">
        <v>4324</v>
      </c>
      <c r="S5">
        <v>1710</v>
      </c>
      <c r="T5">
        <v>5421.86</v>
      </c>
      <c r="U5">
        <v>1563</v>
      </c>
      <c r="V5">
        <v>5378.34</v>
      </c>
      <c r="W5">
        <v>147</v>
      </c>
      <c r="X5">
        <v>5932.2</v>
      </c>
      <c r="Y5">
        <v>438</v>
      </c>
      <c r="Z5">
        <v>17675.54</v>
      </c>
      <c r="AA5">
        <v>21252</v>
      </c>
      <c r="AB5">
        <v>48427.67</v>
      </c>
      <c r="AC5">
        <v>-5.5</v>
      </c>
      <c r="AD5">
        <v>14964</v>
      </c>
      <c r="AE5">
        <v>2735</v>
      </c>
      <c r="AF5">
        <v>12229</v>
      </c>
      <c r="AG5">
        <v>2603</v>
      </c>
      <c r="AH5">
        <v>7189.81</v>
      </c>
      <c r="AI5">
        <v>2367</v>
      </c>
      <c r="AJ5">
        <v>7223.07</v>
      </c>
      <c r="AK5">
        <v>236</v>
      </c>
      <c r="AL5">
        <v>6872.45</v>
      </c>
      <c r="AM5">
        <v>823</v>
      </c>
      <c r="AN5">
        <v>23966.22</v>
      </c>
      <c r="AO5">
        <v>12271</v>
      </c>
      <c r="AP5">
        <v>34629.599999999999</v>
      </c>
      <c r="AQ5">
        <v>-14.58</v>
      </c>
      <c r="AR5">
        <v>9837</v>
      </c>
      <c r="AS5">
        <v>2806</v>
      </c>
      <c r="AT5">
        <v>7031</v>
      </c>
      <c r="AU5">
        <v>2519</v>
      </c>
      <c r="AV5">
        <v>9595.4599999999991</v>
      </c>
      <c r="AW5">
        <v>2268</v>
      </c>
      <c r="AX5">
        <v>10108.299999999999</v>
      </c>
      <c r="AY5">
        <v>251</v>
      </c>
      <c r="AZ5">
        <v>6579.29</v>
      </c>
      <c r="BA5">
        <v>715</v>
      </c>
      <c r="BB5">
        <v>18741.810000000001</v>
      </c>
      <c r="BC5">
        <v>35217</v>
      </c>
      <c r="BD5">
        <v>6669.67</v>
      </c>
      <c r="BE5">
        <v>-2.4500000000000002</v>
      </c>
      <c r="BF5">
        <v>14062</v>
      </c>
      <c r="BG5">
        <v>8771</v>
      </c>
      <c r="BH5">
        <v>5291</v>
      </c>
      <c r="BI5">
        <v>8706</v>
      </c>
      <c r="BJ5">
        <v>1861.43</v>
      </c>
      <c r="BK5">
        <v>7783</v>
      </c>
      <c r="BL5">
        <v>1790.74</v>
      </c>
      <c r="BM5">
        <v>923</v>
      </c>
      <c r="BN5">
        <v>2790.37</v>
      </c>
      <c r="BO5">
        <v>1101</v>
      </c>
      <c r="BP5">
        <v>3328.5</v>
      </c>
      <c r="BQ5">
        <v>9498</v>
      </c>
      <c r="BR5">
        <v>6530.48</v>
      </c>
      <c r="BS5">
        <v>-11.16</v>
      </c>
      <c r="BT5">
        <v>3197</v>
      </c>
      <c r="BU5">
        <v>2187</v>
      </c>
      <c r="BV5">
        <v>1010</v>
      </c>
      <c r="BW5">
        <v>2180</v>
      </c>
      <c r="BX5">
        <v>1712.54</v>
      </c>
      <c r="BY5">
        <v>1937</v>
      </c>
      <c r="BZ5">
        <v>1656.53</v>
      </c>
      <c r="CA5">
        <v>243</v>
      </c>
      <c r="CB5">
        <v>2344.4299999999998</v>
      </c>
      <c r="CC5">
        <v>270</v>
      </c>
      <c r="CD5">
        <v>2604.92</v>
      </c>
      <c r="CE5">
        <v>60490</v>
      </c>
      <c r="CF5">
        <v>6414.7</v>
      </c>
      <c r="CG5">
        <v>-10.19</v>
      </c>
      <c r="CH5">
        <v>28312</v>
      </c>
      <c r="CI5">
        <v>16558</v>
      </c>
      <c r="CJ5">
        <v>11754</v>
      </c>
      <c r="CK5">
        <v>16312</v>
      </c>
      <c r="CL5">
        <v>1947.3</v>
      </c>
      <c r="CM5">
        <v>14429</v>
      </c>
      <c r="CN5">
        <v>1857.66</v>
      </c>
      <c r="CO5">
        <v>1883</v>
      </c>
      <c r="CP5">
        <v>3089.77</v>
      </c>
      <c r="CQ5">
        <v>2871</v>
      </c>
      <c r="CR5">
        <v>4710.96</v>
      </c>
      <c r="CS5">
        <v>41384</v>
      </c>
      <c r="CT5">
        <v>5476.12</v>
      </c>
      <c r="CU5">
        <v>-12.74</v>
      </c>
      <c r="CV5">
        <v>17575</v>
      </c>
      <c r="CW5">
        <v>12205</v>
      </c>
      <c r="CX5">
        <v>5370</v>
      </c>
      <c r="CY5">
        <v>11859</v>
      </c>
      <c r="CZ5">
        <v>1774.02</v>
      </c>
      <c r="DA5">
        <v>10588</v>
      </c>
      <c r="DB5">
        <v>1709.11</v>
      </c>
      <c r="DC5">
        <v>1271</v>
      </c>
      <c r="DD5">
        <v>2595.04</v>
      </c>
      <c r="DE5">
        <v>1511</v>
      </c>
      <c r="DF5">
        <v>3085.06</v>
      </c>
      <c r="DG5">
        <v>2098776</v>
      </c>
      <c r="DH5">
        <v>5969.98</v>
      </c>
      <c r="DI5">
        <v>-7.57</v>
      </c>
      <c r="DJ5">
        <v>991939</v>
      </c>
      <c r="DK5">
        <v>626019</v>
      </c>
      <c r="DL5">
        <v>365920</v>
      </c>
      <c r="DM5">
        <v>595717</v>
      </c>
      <c r="DN5">
        <v>1945.37</v>
      </c>
      <c r="DO5">
        <v>537465</v>
      </c>
      <c r="DP5">
        <v>1903.83</v>
      </c>
      <c r="DQ5">
        <v>58252</v>
      </c>
      <c r="DR5">
        <v>2435.6799999999998</v>
      </c>
      <c r="DS5">
        <v>72146</v>
      </c>
      <c r="DT5">
        <v>3016.62</v>
      </c>
      <c r="DU5">
        <v>566931</v>
      </c>
      <c r="DV5">
        <v>4183.68</v>
      </c>
      <c r="DW5">
        <v>-9.2899999999999991</v>
      </c>
      <c r="DX5">
        <v>275834</v>
      </c>
      <c r="DY5">
        <v>195657</v>
      </c>
      <c r="DZ5">
        <v>80177</v>
      </c>
      <c r="EA5">
        <v>193206</v>
      </c>
      <c r="EB5">
        <v>1635.44</v>
      </c>
      <c r="EC5">
        <v>174943</v>
      </c>
      <c r="ED5">
        <v>1611.67</v>
      </c>
      <c r="EE5">
        <v>18263</v>
      </c>
      <c r="EF5">
        <v>1904.53</v>
      </c>
      <c r="EG5">
        <v>22184</v>
      </c>
      <c r="EH5">
        <v>2313.4299999999998</v>
      </c>
      <c r="EI5">
        <v>110361</v>
      </c>
      <c r="EJ5">
        <v>8721.83</v>
      </c>
      <c r="EK5">
        <v>-10.47</v>
      </c>
      <c r="EL5">
        <v>58454</v>
      </c>
      <c r="EM5">
        <v>33474</v>
      </c>
      <c r="EN5">
        <v>24980</v>
      </c>
      <c r="EO5">
        <v>32851</v>
      </c>
      <c r="EP5">
        <v>3049.6</v>
      </c>
      <c r="EQ5">
        <v>27847</v>
      </c>
      <c r="ER5">
        <v>2847.5</v>
      </c>
      <c r="ES5">
        <v>5004</v>
      </c>
      <c r="ET5">
        <v>5040.29</v>
      </c>
      <c r="EU5">
        <v>4326</v>
      </c>
      <c r="EV5">
        <v>4357.37</v>
      </c>
      <c r="EW5">
        <v>138600</v>
      </c>
      <c r="EX5">
        <v>12530.26</v>
      </c>
      <c r="EY5">
        <v>-7.46</v>
      </c>
      <c r="EZ5">
        <v>80965</v>
      </c>
      <c r="FA5">
        <v>52952</v>
      </c>
      <c r="FB5">
        <v>28013</v>
      </c>
      <c r="FC5">
        <v>52989</v>
      </c>
      <c r="FD5">
        <v>5647.43</v>
      </c>
      <c r="FE5">
        <v>45061</v>
      </c>
      <c r="FF5">
        <v>5266.55</v>
      </c>
      <c r="FG5">
        <v>7928</v>
      </c>
      <c r="FH5">
        <v>9589.1200000000008</v>
      </c>
      <c r="FI5">
        <v>4994</v>
      </c>
      <c r="FJ5">
        <v>6040.37</v>
      </c>
      <c r="FK5">
        <v>391767</v>
      </c>
      <c r="FL5">
        <v>8549</v>
      </c>
      <c r="FM5">
        <v>-5.74</v>
      </c>
      <c r="FN5">
        <v>141955</v>
      </c>
      <c r="FO5">
        <v>69148</v>
      </c>
      <c r="FP5">
        <v>72807</v>
      </c>
      <c r="FQ5">
        <v>68850</v>
      </c>
      <c r="FR5">
        <v>1701.62</v>
      </c>
      <c r="FS5">
        <v>64430</v>
      </c>
      <c r="FT5">
        <v>1721.32</v>
      </c>
      <c r="FU5">
        <v>4420</v>
      </c>
      <c r="FV5">
        <v>1458.25</v>
      </c>
      <c r="FW5">
        <v>10318</v>
      </c>
      <c r="FX5">
        <v>3404.13</v>
      </c>
      <c r="FY5">
        <v>34164940</v>
      </c>
      <c r="FZ5">
        <v>16671910</v>
      </c>
      <c r="GA5">
        <v>17493040</v>
      </c>
      <c r="GB5">
        <v>14922630</v>
      </c>
      <c r="GC5">
        <v>13163280</v>
      </c>
      <c r="GD5">
        <v>2112200</v>
      </c>
      <c r="GE5">
        <v>2381640</v>
      </c>
      <c r="GF5">
        <v>6</v>
      </c>
      <c r="GG5">
        <v>7</v>
      </c>
      <c r="GH5">
        <v>40</v>
      </c>
      <c r="GI5">
        <v>7697830</v>
      </c>
      <c r="GJ5">
        <v>6581720</v>
      </c>
      <c r="GK5">
        <v>1056450</v>
      </c>
      <c r="GL5">
        <v>990410</v>
      </c>
      <c r="GM5">
        <v>6</v>
      </c>
      <c r="GN5">
        <v>6</v>
      </c>
      <c r="GO5">
        <v>7224810</v>
      </c>
      <c r="GP5">
        <v>6581560</v>
      </c>
      <c r="GQ5">
        <v>1055750</v>
      </c>
      <c r="GR5">
        <v>1391240</v>
      </c>
      <c r="GS5">
        <v>6</v>
      </c>
      <c r="GT5">
        <v>8</v>
      </c>
      <c r="GU5"/>
      <c r="GV5">
        <v>35543658</v>
      </c>
      <c r="GW5">
        <v>529069</v>
      </c>
      <c r="GX5">
        <v>146162</v>
      </c>
      <c r="GY5">
        <v>942387</v>
      </c>
      <c r="GZ5">
        <v>754578</v>
      </c>
      <c r="HA5">
        <v>8214885</v>
      </c>
      <c r="HB5">
        <v>13677687</v>
      </c>
      <c r="HC5">
        <v>1280242</v>
      </c>
      <c r="HD5">
        <v>1122283</v>
      </c>
      <c r="HE5">
        <v>4120897</v>
      </c>
      <c r="HF5">
        <v>4638415</v>
      </c>
      <c r="HG5">
        <v>36990</v>
      </c>
      <c r="HH5">
        <v>43980</v>
      </c>
      <c r="HI5">
        <v>36083</v>
      </c>
      <c r="HJ5" t="s">
        <v>112</v>
      </c>
      <c r="HK5">
        <v>757821</v>
      </c>
      <c r="HL5">
        <v>5702</v>
      </c>
      <c r="HM5">
        <v>2634</v>
      </c>
      <c r="HN5">
        <v>16503</v>
      </c>
      <c r="HO5">
        <v>6959</v>
      </c>
      <c r="HP5">
        <v>111551</v>
      </c>
      <c r="HQ5">
        <v>328848</v>
      </c>
      <c r="HR5">
        <v>18941</v>
      </c>
      <c r="HS5">
        <v>15592</v>
      </c>
      <c r="HT5">
        <v>82059</v>
      </c>
      <c r="HU5">
        <v>168307</v>
      </c>
      <c r="HV5">
        <v>377</v>
      </c>
      <c r="HW5">
        <v>306</v>
      </c>
      <c r="HX5">
        <v>42</v>
      </c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</row>
    <row r="6" spans="1:264" s="3" customFormat="1">
      <c r="A6" s="1">
        <v>2014</v>
      </c>
      <c r="B6" s="3">
        <v>54650</v>
      </c>
      <c r="C6" s="3">
        <v>14156</v>
      </c>
      <c r="D6" s="8">
        <v>62</v>
      </c>
      <c r="E6" s="8">
        <v>2</v>
      </c>
      <c r="F6" s="8">
        <v>10</v>
      </c>
      <c r="G6" s="8">
        <v>12</v>
      </c>
      <c r="H6" s="8">
        <v>9</v>
      </c>
      <c r="I6" s="8">
        <v>3</v>
      </c>
      <c r="J6" s="8">
        <v>11</v>
      </c>
      <c r="K6" s="8">
        <v>14</v>
      </c>
      <c r="L6" s="8">
        <v>1</v>
      </c>
      <c r="M6">
        <v>9731</v>
      </c>
      <c r="N6">
        <v>26307.11</v>
      </c>
      <c r="O6">
        <v>0.96</v>
      </c>
      <c r="P6">
        <v>6048</v>
      </c>
      <c r="Q6">
        <v>1582</v>
      </c>
      <c r="R6">
        <v>4466</v>
      </c>
      <c r="S6">
        <v>1525</v>
      </c>
      <c r="T6">
        <v>4768.16</v>
      </c>
      <c r="U6">
        <v>1390</v>
      </c>
      <c r="V6">
        <v>4712.34</v>
      </c>
      <c r="W6">
        <v>135</v>
      </c>
      <c r="X6">
        <v>5430.41</v>
      </c>
      <c r="Y6">
        <v>492</v>
      </c>
      <c r="Z6">
        <v>19790.830000000002</v>
      </c>
      <c r="AA6">
        <v>20476</v>
      </c>
      <c r="AB6">
        <v>46557.53</v>
      </c>
      <c r="AC6">
        <v>-3.86</v>
      </c>
      <c r="AD6">
        <v>14206</v>
      </c>
      <c r="AE6">
        <v>2595</v>
      </c>
      <c r="AF6">
        <v>11611</v>
      </c>
      <c r="AG6">
        <v>2462</v>
      </c>
      <c r="AH6">
        <v>6801.29</v>
      </c>
      <c r="AI6">
        <v>2273</v>
      </c>
      <c r="AJ6">
        <v>6883.08</v>
      </c>
      <c r="AK6">
        <v>189</v>
      </c>
      <c r="AL6">
        <v>5950.88</v>
      </c>
      <c r="AM6">
        <v>784</v>
      </c>
      <c r="AN6">
        <v>24685.14</v>
      </c>
      <c r="AO6">
        <v>11768</v>
      </c>
      <c r="AP6">
        <v>32613.7</v>
      </c>
      <c r="AQ6">
        <v>-5.82</v>
      </c>
      <c r="AR6">
        <v>9290</v>
      </c>
      <c r="AS6">
        <v>2384</v>
      </c>
      <c r="AT6">
        <v>6906</v>
      </c>
      <c r="AU6">
        <v>2166</v>
      </c>
      <c r="AV6">
        <v>8114.49</v>
      </c>
      <c r="AW6">
        <v>1999</v>
      </c>
      <c r="AX6">
        <v>8707.9599999999991</v>
      </c>
      <c r="AY6">
        <v>167</v>
      </c>
      <c r="AZ6">
        <v>4468.83</v>
      </c>
      <c r="BA6">
        <v>717</v>
      </c>
      <c r="BB6">
        <v>19186.509999999998</v>
      </c>
      <c r="BC6">
        <v>32842</v>
      </c>
      <c r="BD6">
        <v>6207.51</v>
      </c>
      <c r="BE6">
        <v>-6.93</v>
      </c>
      <c r="BF6">
        <v>13438</v>
      </c>
      <c r="BG6">
        <v>8391</v>
      </c>
      <c r="BH6">
        <v>5047</v>
      </c>
      <c r="BI6">
        <v>8310</v>
      </c>
      <c r="BJ6">
        <v>1772.53</v>
      </c>
      <c r="BK6">
        <v>7611</v>
      </c>
      <c r="BL6">
        <v>1744.07</v>
      </c>
      <c r="BM6">
        <v>699</v>
      </c>
      <c r="BN6">
        <v>2155.54</v>
      </c>
      <c r="BO6">
        <v>978</v>
      </c>
      <c r="BP6">
        <v>3015.91</v>
      </c>
      <c r="BQ6">
        <v>7739</v>
      </c>
      <c r="BR6">
        <v>5294.81</v>
      </c>
      <c r="BS6">
        <v>-18.920000000000002</v>
      </c>
      <c r="BT6">
        <v>2735</v>
      </c>
      <c r="BU6">
        <v>1892</v>
      </c>
      <c r="BV6">
        <v>843</v>
      </c>
      <c r="BW6">
        <v>1861</v>
      </c>
      <c r="BX6">
        <v>1456.84</v>
      </c>
      <c r="BY6">
        <v>1688</v>
      </c>
      <c r="BZ6">
        <v>1433.73</v>
      </c>
      <c r="CA6">
        <v>173</v>
      </c>
      <c r="CB6">
        <v>1728.79</v>
      </c>
      <c r="CC6">
        <v>216</v>
      </c>
      <c r="CD6">
        <v>2158.4899999999998</v>
      </c>
      <c r="CE6">
        <v>58688</v>
      </c>
      <c r="CF6">
        <v>6227.59</v>
      </c>
      <c r="CG6">
        <v>-2.92</v>
      </c>
      <c r="CH6">
        <v>26721</v>
      </c>
      <c r="CI6">
        <v>16380</v>
      </c>
      <c r="CJ6">
        <v>10341</v>
      </c>
      <c r="CK6">
        <v>15878</v>
      </c>
      <c r="CL6">
        <v>1895.94</v>
      </c>
      <c r="CM6">
        <v>14320</v>
      </c>
      <c r="CN6">
        <v>1840.13</v>
      </c>
      <c r="CO6">
        <v>1558</v>
      </c>
      <c r="CP6">
        <v>2628.65</v>
      </c>
      <c r="CQ6">
        <v>2360</v>
      </c>
      <c r="CR6">
        <v>3981.78</v>
      </c>
      <c r="CS6">
        <v>38280</v>
      </c>
      <c r="CT6">
        <v>5073.03</v>
      </c>
      <c r="CU6">
        <v>-7.36</v>
      </c>
      <c r="CV6">
        <v>16455</v>
      </c>
      <c r="CW6">
        <v>11422</v>
      </c>
      <c r="CX6">
        <v>5033</v>
      </c>
      <c r="CY6">
        <v>11127</v>
      </c>
      <c r="CZ6">
        <v>1666.19</v>
      </c>
      <c r="DA6">
        <v>9993</v>
      </c>
      <c r="DB6">
        <v>1611.83</v>
      </c>
      <c r="DC6">
        <v>1134</v>
      </c>
      <c r="DD6">
        <v>2370.9</v>
      </c>
      <c r="DE6">
        <v>1452</v>
      </c>
      <c r="DF6">
        <v>3035.75</v>
      </c>
      <c r="DG6">
        <v>2052925</v>
      </c>
      <c r="DH6">
        <v>5775.78</v>
      </c>
      <c r="DI6">
        <v>-3.25</v>
      </c>
      <c r="DJ6">
        <v>952516</v>
      </c>
      <c r="DK6">
        <v>607852</v>
      </c>
      <c r="DL6">
        <v>344664</v>
      </c>
      <c r="DM6">
        <v>578044</v>
      </c>
      <c r="DN6">
        <v>1867.02</v>
      </c>
      <c r="DO6">
        <v>526495</v>
      </c>
      <c r="DP6">
        <v>1839.85</v>
      </c>
      <c r="DQ6">
        <v>51549</v>
      </c>
      <c r="DR6">
        <v>2198.73</v>
      </c>
      <c r="DS6">
        <v>64978</v>
      </c>
      <c r="DT6">
        <v>2771.52</v>
      </c>
      <c r="DU6">
        <v>547570</v>
      </c>
      <c r="DV6">
        <v>4003.38</v>
      </c>
      <c r="DW6">
        <v>-4.3099999999999996</v>
      </c>
      <c r="DX6">
        <v>264292</v>
      </c>
      <c r="DY6">
        <v>189283</v>
      </c>
      <c r="DZ6">
        <v>75009</v>
      </c>
      <c r="EA6">
        <v>185272</v>
      </c>
      <c r="EB6">
        <v>1552.31</v>
      </c>
      <c r="EC6">
        <v>169045</v>
      </c>
      <c r="ED6">
        <v>1537.12</v>
      </c>
      <c r="EE6">
        <v>16227</v>
      </c>
      <c r="EF6">
        <v>1730.46</v>
      </c>
      <c r="EG6">
        <v>20596</v>
      </c>
      <c r="EH6">
        <v>2196.37</v>
      </c>
      <c r="EI6">
        <v>107589</v>
      </c>
      <c r="EJ6">
        <v>8403.7999999999993</v>
      </c>
      <c r="EK6">
        <v>-3.65</v>
      </c>
      <c r="EL6">
        <v>56314</v>
      </c>
      <c r="EM6">
        <v>32040</v>
      </c>
      <c r="EN6">
        <v>24274</v>
      </c>
      <c r="EO6">
        <v>30798</v>
      </c>
      <c r="EP6">
        <v>2826.46</v>
      </c>
      <c r="EQ6">
        <v>26437</v>
      </c>
      <c r="ER6">
        <v>2666.85</v>
      </c>
      <c r="ES6">
        <v>4361</v>
      </c>
      <c r="ET6">
        <v>4435.79</v>
      </c>
      <c r="EU6">
        <v>4133</v>
      </c>
      <c r="EV6">
        <v>4203.88</v>
      </c>
      <c r="EW6">
        <v>136028</v>
      </c>
      <c r="EX6">
        <v>12120.65</v>
      </c>
      <c r="EY6">
        <v>-3.27</v>
      </c>
      <c r="EZ6">
        <v>77453</v>
      </c>
      <c r="FA6">
        <v>52661</v>
      </c>
      <c r="FB6">
        <v>24792</v>
      </c>
      <c r="FC6">
        <v>52589</v>
      </c>
      <c r="FD6">
        <v>5533.06</v>
      </c>
      <c r="FE6">
        <v>44881</v>
      </c>
      <c r="FF6">
        <v>5170.08</v>
      </c>
      <c r="FG6">
        <v>7708</v>
      </c>
      <c r="FH6">
        <v>9358.91</v>
      </c>
      <c r="FI6">
        <v>4321</v>
      </c>
      <c r="FJ6">
        <v>5246.48</v>
      </c>
      <c r="FK6">
        <v>399707</v>
      </c>
      <c r="FL6">
        <v>8617.32</v>
      </c>
      <c r="FM6">
        <v>0.8</v>
      </c>
      <c r="FN6">
        <v>132880</v>
      </c>
      <c r="FO6">
        <v>66038</v>
      </c>
      <c r="FP6">
        <v>66842</v>
      </c>
      <c r="FQ6">
        <v>65555</v>
      </c>
      <c r="FR6">
        <v>1599.51</v>
      </c>
      <c r="FS6">
        <v>61988</v>
      </c>
      <c r="FT6">
        <v>1630.81</v>
      </c>
      <c r="FU6">
        <v>3567</v>
      </c>
      <c r="FV6">
        <v>1199.53</v>
      </c>
      <c r="FW6">
        <v>8632</v>
      </c>
      <c r="FX6">
        <v>2902.81</v>
      </c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>
        <v>35851774</v>
      </c>
      <c r="GW6">
        <v>527756</v>
      </c>
      <c r="GX6">
        <v>146447</v>
      </c>
      <c r="GY6">
        <v>943002</v>
      </c>
      <c r="GZ6">
        <v>753871</v>
      </c>
      <c r="HA6">
        <v>8263600</v>
      </c>
      <c r="HB6">
        <v>13792052</v>
      </c>
      <c r="HC6">
        <v>1293378</v>
      </c>
      <c r="HD6">
        <v>1133637</v>
      </c>
      <c r="HE6">
        <v>4196457</v>
      </c>
      <c r="HF6">
        <v>4683139</v>
      </c>
      <c r="HG6">
        <v>37428</v>
      </c>
      <c r="HH6">
        <v>44088</v>
      </c>
      <c r="HI6">
        <v>36919</v>
      </c>
      <c r="HJ6" t="s">
        <v>113</v>
      </c>
      <c r="HK6">
        <v>787662</v>
      </c>
      <c r="HL6">
        <v>6077</v>
      </c>
      <c r="HM6">
        <v>3045</v>
      </c>
      <c r="HN6">
        <v>17295</v>
      </c>
      <c r="HO6">
        <v>7630</v>
      </c>
      <c r="HP6">
        <v>119752</v>
      </c>
      <c r="HQ6">
        <v>345190</v>
      </c>
      <c r="HR6">
        <v>20449</v>
      </c>
      <c r="HS6">
        <v>16095</v>
      </c>
      <c r="HT6">
        <v>80426</v>
      </c>
      <c r="HU6">
        <v>170834</v>
      </c>
      <c r="HV6">
        <v>479</v>
      </c>
      <c r="HW6">
        <v>321</v>
      </c>
      <c r="HX6">
        <v>69</v>
      </c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</row>
    <row r="7" spans="1:264" s="3" customFormat="1">
      <c r="A7" s="1">
        <v>2015</v>
      </c>
      <c r="B7" s="3">
        <v>54445</v>
      </c>
      <c r="C7" s="3">
        <v>14332</v>
      </c>
      <c r="M7">
        <v>9696</v>
      </c>
      <c r="N7">
        <v>25905.74</v>
      </c>
      <c r="O7">
        <v>-1.53</v>
      </c>
      <c r="P7">
        <v>6026</v>
      </c>
      <c r="Q7">
        <v>1577</v>
      </c>
      <c r="R7">
        <v>4449</v>
      </c>
      <c r="S7">
        <v>1507</v>
      </c>
      <c r="T7">
        <v>4670.7</v>
      </c>
      <c r="U7">
        <v>1358</v>
      </c>
      <c r="V7">
        <v>4556.4399999999996</v>
      </c>
      <c r="W7">
        <v>149</v>
      </c>
      <c r="X7">
        <v>6054.45</v>
      </c>
      <c r="Y7">
        <v>647</v>
      </c>
      <c r="Z7">
        <v>26290.13</v>
      </c>
      <c r="AA7">
        <v>20784</v>
      </c>
      <c r="AB7">
        <v>47142.080000000002</v>
      </c>
      <c r="AC7">
        <v>1.26</v>
      </c>
      <c r="AD7">
        <v>14052</v>
      </c>
      <c r="AE7">
        <v>2717</v>
      </c>
      <c r="AF7">
        <v>11335</v>
      </c>
      <c r="AG7">
        <v>2626</v>
      </c>
      <c r="AH7">
        <v>7255.95</v>
      </c>
      <c r="AI7">
        <v>2459</v>
      </c>
      <c r="AJ7">
        <v>7411.76</v>
      </c>
      <c r="AK7">
        <v>167</v>
      </c>
      <c r="AL7">
        <v>5540.81</v>
      </c>
      <c r="AM7">
        <v>660</v>
      </c>
      <c r="AN7">
        <v>21897.81</v>
      </c>
      <c r="AO7">
        <v>12555</v>
      </c>
      <c r="AP7">
        <v>34006.879999999997</v>
      </c>
      <c r="AQ7">
        <v>4.2699999999999996</v>
      </c>
      <c r="AR7">
        <v>9834</v>
      </c>
      <c r="AS7">
        <v>2234</v>
      </c>
      <c r="AT7">
        <v>7600</v>
      </c>
      <c r="AU7">
        <v>2034</v>
      </c>
      <c r="AV7">
        <v>7429.59</v>
      </c>
      <c r="AW7">
        <v>1877</v>
      </c>
      <c r="AX7">
        <v>7960.81</v>
      </c>
      <c r="AY7">
        <v>157</v>
      </c>
      <c r="AZ7">
        <v>4132.67</v>
      </c>
      <c r="BA7">
        <v>710</v>
      </c>
      <c r="BB7">
        <v>18689.13</v>
      </c>
      <c r="BC7">
        <v>33545</v>
      </c>
      <c r="BD7">
        <v>6356.16</v>
      </c>
      <c r="BE7">
        <v>2.39</v>
      </c>
      <c r="BF7">
        <v>12383</v>
      </c>
      <c r="BG7">
        <v>8051</v>
      </c>
      <c r="BH7">
        <v>4332</v>
      </c>
      <c r="BI7">
        <v>8056</v>
      </c>
      <c r="BJ7">
        <v>1722.01</v>
      </c>
      <c r="BK7">
        <v>7299</v>
      </c>
      <c r="BL7">
        <v>1674.94</v>
      </c>
      <c r="BM7">
        <v>757</v>
      </c>
      <c r="BN7">
        <v>2362.08</v>
      </c>
      <c r="BO7">
        <v>881</v>
      </c>
      <c r="BP7">
        <v>2749</v>
      </c>
      <c r="BQ7">
        <v>6849</v>
      </c>
      <c r="BR7">
        <v>4676.78</v>
      </c>
      <c r="BS7">
        <v>-11.67</v>
      </c>
      <c r="BT7">
        <v>2365</v>
      </c>
      <c r="BU7">
        <v>1682</v>
      </c>
      <c r="BV7">
        <v>683</v>
      </c>
      <c r="BW7">
        <v>1635</v>
      </c>
      <c r="BX7">
        <v>1278.81</v>
      </c>
      <c r="BY7">
        <v>1491</v>
      </c>
      <c r="BZ7">
        <v>1262.9000000000001</v>
      </c>
      <c r="CA7">
        <v>144</v>
      </c>
      <c r="CB7">
        <v>1470.74</v>
      </c>
      <c r="CC7">
        <v>158</v>
      </c>
      <c r="CD7">
        <v>1613.73</v>
      </c>
      <c r="CE7">
        <v>53193</v>
      </c>
      <c r="CF7">
        <v>5640.82</v>
      </c>
      <c r="CG7">
        <v>-9.42</v>
      </c>
      <c r="CH7">
        <v>24784</v>
      </c>
      <c r="CI7">
        <v>15049</v>
      </c>
      <c r="CJ7">
        <v>9735</v>
      </c>
      <c r="CK7">
        <v>14468</v>
      </c>
      <c r="CL7">
        <v>1726.49</v>
      </c>
      <c r="CM7">
        <v>13199</v>
      </c>
      <c r="CN7">
        <v>1691.94</v>
      </c>
      <c r="CO7">
        <v>1269</v>
      </c>
      <c r="CP7">
        <v>2192.0500000000002</v>
      </c>
      <c r="CQ7">
        <v>2047</v>
      </c>
      <c r="CR7">
        <v>3535.96</v>
      </c>
      <c r="CS7">
        <v>41597</v>
      </c>
      <c r="CT7">
        <v>5517.79</v>
      </c>
      <c r="CU7">
        <v>8.77</v>
      </c>
      <c r="CV7">
        <v>15845</v>
      </c>
      <c r="CW7">
        <v>11384</v>
      </c>
      <c r="CX7">
        <v>4461</v>
      </c>
      <c r="CY7">
        <v>11025</v>
      </c>
      <c r="CZ7">
        <v>1651.55</v>
      </c>
      <c r="DA7">
        <v>9954</v>
      </c>
      <c r="DB7">
        <v>1604.72</v>
      </c>
      <c r="DC7">
        <v>1071</v>
      </c>
      <c r="DD7">
        <v>2266.14</v>
      </c>
      <c r="DE7">
        <v>1198</v>
      </c>
      <c r="DF7">
        <v>2534.86</v>
      </c>
      <c r="DG7">
        <v>2111021</v>
      </c>
      <c r="DH7">
        <v>5888.19</v>
      </c>
      <c r="DI7">
        <v>1.95</v>
      </c>
      <c r="DJ7">
        <v>945130</v>
      </c>
      <c r="DK7">
        <v>613102</v>
      </c>
      <c r="DL7">
        <v>332028</v>
      </c>
      <c r="DM7">
        <v>584092</v>
      </c>
      <c r="DN7">
        <v>1870.9</v>
      </c>
      <c r="DO7">
        <v>534583</v>
      </c>
      <c r="DP7">
        <v>1849.59</v>
      </c>
      <c r="DQ7">
        <v>49509</v>
      </c>
      <c r="DR7">
        <v>2136.7800000000002</v>
      </c>
      <c r="DS7">
        <v>61240</v>
      </c>
      <c r="DT7">
        <v>2643.08</v>
      </c>
      <c r="DU7">
        <v>550391</v>
      </c>
      <c r="DV7">
        <v>3990.64</v>
      </c>
      <c r="DW7">
        <v>-0.32</v>
      </c>
      <c r="DX7">
        <v>264707</v>
      </c>
      <c r="DY7">
        <v>189947</v>
      </c>
      <c r="DZ7">
        <v>74760</v>
      </c>
      <c r="EA7">
        <v>185175</v>
      </c>
      <c r="EB7">
        <v>1537.73</v>
      </c>
      <c r="EC7">
        <v>169732</v>
      </c>
      <c r="ED7">
        <v>1526.68</v>
      </c>
      <c r="EE7">
        <v>15443</v>
      </c>
      <c r="EF7">
        <v>1670.58</v>
      </c>
      <c r="EG7">
        <v>19863</v>
      </c>
      <c r="EH7">
        <v>2148.7199999999998</v>
      </c>
      <c r="EI7">
        <v>113643</v>
      </c>
      <c r="EJ7">
        <v>8786.5300000000007</v>
      </c>
      <c r="EK7">
        <v>4.55</v>
      </c>
      <c r="EL7">
        <v>56670</v>
      </c>
      <c r="EM7">
        <v>32708</v>
      </c>
      <c r="EN7">
        <v>23962</v>
      </c>
      <c r="EO7">
        <v>31236</v>
      </c>
      <c r="EP7">
        <v>2839.24</v>
      </c>
      <c r="EQ7">
        <v>26797</v>
      </c>
      <c r="ER7">
        <v>2673.34</v>
      </c>
      <c r="ES7">
        <v>4439</v>
      </c>
      <c r="ET7">
        <v>4539.97</v>
      </c>
      <c r="EU7">
        <v>4175</v>
      </c>
      <c r="EV7">
        <v>4269.96</v>
      </c>
      <c r="EW7">
        <v>144047</v>
      </c>
      <c r="EX7">
        <v>12706.62</v>
      </c>
      <c r="EY7">
        <v>4.83</v>
      </c>
      <c r="EZ7">
        <v>77236</v>
      </c>
      <c r="FA7">
        <v>52743</v>
      </c>
      <c r="FB7">
        <v>24493</v>
      </c>
      <c r="FC7">
        <v>52654</v>
      </c>
      <c r="FD7">
        <v>5496.84</v>
      </c>
      <c r="FE7">
        <v>45417</v>
      </c>
      <c r="FF7">
        <v>5185.26</v>
      </c>
      <c r="FG7">
        <v>7237</v>
      </c>
      <c r="FH7">
        <v>8824.64</v>
      </c>
      <c r="FI7">
        <v>4330</v>
      </c>
      <c r="FJ7">
        <v>5279.91</v>
      </c>
      <c r="FK7">
        <v>412078</v>
      </c>
      <c r="FL7">
        <v>8799.18</v>
      </c>
      <c r="FM7">
        <v>2.11</v>
      </c>
      <c r="FN7">
        <v>130226</v>
      </c>
      <c r="FO7">
        <v>68969</v>
      </c>
      <c r="FP7">
        <v>61257</v>
      </c>
      <c r="FQ7">
        <v>68131</v>
      </c>
      <c r="FR7">
        <v>1645.77</v>
      </c>
      <c r="FS7">
        <v>64504</v>
      </c>
      <c r="FT7">
        <v>1677.68</v>
      </c>
      <c r="FU7">
        <v>3627</v>
      </c>
      <c r="FV7">
        <v>1229.81</v>
      </c>
      <c r="FW7">
        <v>7409</v>
      </c>
      <c r="FX7">
        <v>2512.17</v>
      </c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Crime - Cleaned</vt:lpstr>
      <vt:lpstr>Population - Cleaned</vt:lpstr>
      <vt:lpstr>Police Review - Cleaned</vt:lpstr>
      <vt:lpstr>Crime and Population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Niecestro</dc:creator>
  <cp:lastModifiedBy>Aaron Niecestro</cp:lastModifiedBy>
  <dcterms:created xsi:type="dcterms:W3CDTF">2017-01-18T00:03:58Z</dcterms:created>
  <dcterms:modified xsi:type="dcterms:W3CDTF">2017-01-18T21:29:09Z</dcterms:modified>
</cp:coreProperties>
</file>