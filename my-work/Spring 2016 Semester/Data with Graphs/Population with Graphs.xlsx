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showInkAnnotation="0" autoCompressPictures="0"/>
  <bookViews>
    <workbookView xWindow="0" yWindow="0" windowWidth="25600" windowHeight="149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35" i="1" l="1"/>
  <c r="E134" i="1"/>
  <c r="E133" i="1"/>
  <c r="I96" i="1"/>
  <c r="I95" i="1"/>
  <c r="I94" i="1"/>
  <c r="E96" i="1"/>
  <c r="E95" i="1"/>
  <c r="E94" i="1"/>
  <c r="E88" i="1"/>
  <c r="E89" i="1"/>
  <c r="E87" i="1"/>
  <c r="E80" i="1"/>
  <c r="E81" i="1"/>
  <c r="E79" i="1"/>
  <c r="I74" i="1"/>
  <c r="I73" i="1"/>
  <c r="I72" i="1"/>
  <c r="E74" i="1"/>
  <c r="E73" i="1"/>
  <c r="E72" i="1"/>
  <c r="E67" i="1"/>
  <c r="E68" i="1"/>
  <c r="E66" i="1"/>
  <c r="E60" i="1"/>
  <c r="E61" i="1"/>
  <c r="E59" i="1"/>
  <c r="I54" i="1"/>
  <c r="I53" i="1"/>
  <c r="I52" i="1"/>
  <c r="E54" i="1"/>
  <c r="E53" i="1"/>
  <c r="E52" i="1"/>
  <c r="E45" i="1"/>
  <c r="E46" i="1"/>
  <c r="E47" i="1"/>
  <c r="E39" i="1"/>
  <c r="E40" i="1"/>
  <c r="E38" i="1"/>
  <c r="E33" i="1"/>
  <c r="E32" i="1"/>
  <c r="E31" i="1"/>
  <c r="E4" i="1"/>
  <c r="E5" i="1"/>
  <c r="E3" i="1"/>
</calcChain>
</file>

<file path=xl/sharedStrings.xml><?xml version="1.0" encoding="utf-8"?>
<sst xmlns="http://schemas.openxmlformats.org/spreadsheetml/2006/main" count="196" uniqueCount="65">
  <si>
    <t>Year</t>
  </si>
  <si>
    <t>CBSIP</t>
  </si>
  <si>
    <t>CBMD</t>
  </si>
  <si>
    <t>CB24</t>
  </si>
  <si>
    <t>CB75</t>
  </si>
  <si>
    <t>CBP24</t>
  </si>
  <si>
    <t>CBP75</t>
  </si>
  <si>
    <t>CMAG</t>
  </si>
  <si>
    <t>CMSI</t>
  </si>
  <si>
    <t>CMMD</t>
  </si>
  <si>
    <t>CM24</t>
  </si>
  <si>
    <t>CM75</t>
  </si>
  <si>
    <t>CMP24</t>
  </si>
  <si>
    <t>CMP75</t>
  </si>
  <si>
    <t>CFMD</t>
  </si>
  <si>
    <t>CFSI</t>
  </si>
  <si>
    <t>CF24</t>
  </si>
  <si>
    <t>CF75</t>
  </si>
  <si>
    <t>CFP24</t>
  </si>
  <si>
    <t>CFP75</t>
  </si>
  <si>
    <t>ETCB</t>
  </si>
  <si>
    <t>ETNBB</t>
  </si>
  <si>
    <t>ETPIB</t>
  </si>
  <si>
    <t>ETNOB</t>
  </si>
  <si>
    <t>EBRB</t>
  </si>
  <si>
    <t>ETQB</t>
  </si>
  <si>
    <t>EOB</t>
  </si>
  <si>
    <t>EMB</t>
  </si>
  <si>
    <t>ETSB</t>
  </si>
  <si>
    <t>EAlB</t>
  </si>
  <si>
    <t>ETBCB</t>
  </si>
  <si>
    <t>ETYB</t>
  </si>
  <si>
    <t>ETNTB</t>
  </si>
  <si>
    <t>ETNUB</t>
  </si>
  <si>
    <t>051C</t>
  </si>
  <si>
    <t>051NB</t>
  </si>
  <si>
    <t>051PI</t>
  </si>
  <si>
    <t>051NO</t>
  </si>
  <si>
    <t>051BR</t>
  </si>
  <si>
    <t>051Q</t>
  </si>
  <si>
    <t>051ON</t>
  </si>
  <si>
    <t>051M</t>
  </si>
  <si>
    <t>051S</t>
  </si>
  <si>
    <t>051Al</t>
  </si>
  <si>
    <t>051BC</t>
  </si>
  <si>
    <t>051Y</t>
  </si>
  <si>
    <t>051NT</t>
  </si>
  <si>
    <t>051NU</t>
  </si>
  <si>
    <t>TD</t>
  </si>
  <si>
    <t>TB</t>
  </si>
  <si>
    <t>TM</t>
  </si>
  <si>
    <t>TF</t>
  </si>
  <si>
    <t>CDSI</t>
  </si>
  <si>
    <t>CDMD</t>
  </si>
  <si>
    <t>CD24</t>
  </si>
  <si>
    <t>CD75</t>
  </si>
  <si>
    <t>CDP24</t>
  </si>
  <si>
    <t>CDP75</t>
  </si>
  <si>
    <t>Quarters</t>
  </si>
  <si>
    <t>2015-3</t>
  </si>
  <si>
    <t>2015-4</t>
  </si>
  <si>
    <t>2016-1</t>
  </si>
  <si>
    <t>2016-2</t>
  </si>
  <si>
    <t>2016-3</t>
  </si>
  <si>
    <t>CBSI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</si>
</sst>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8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8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Population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TB</c:v>
                </c:pt>
              </c:strCache>
            </c:strRef>
          </c:tx>
          <c:xVal>
            <c:numRef>
              <c:f>Sheet1!$A$2:$A$6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Sheet1!$B$2:$B$6</c:f>
              <c:numCache>
                <c:formatCode>General</c:formatCode>
                <c:ptCount val="5"/>
                <c:pt idx="1">
                  <c:v>3.339963E7</c:v>
                </c:pt>
                <c:pt idx="2">
                  <c:v>3.378414E7</c:v>
                </c:pt>
                <c:pt idx="3">
                  <c:v>3.416494E7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TM</c:v>
                </c:pt>
              </c:strCache>
            </c:strRef>
          </c:tx>
          <c:xVal>
            <c:numRef>
              <c:f>Sheet1!$A$2:$A$6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Sheet1!$C$2:$C$6</c:f>
              <c:numCache>
                <c:formatCode>General</c:formatCode>
                <c:ptCount val="5"/>
                <c:pt idx="1">
                  <c:v>1.627511E7</c:v>
                </c:pt>
                <c:pt idx="2">
                  <c:v>1.6475E7</c:v>
                </c:pt>
                <c:pt idx="3">
                  <c:v>1.667191E7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TF</c:v>
                </c:pt>
              </c:strCache>
            </c:strRef>
          </c:tx>
          <c:xVal>
            <c:numRef>
              <c:f>Sheet1!$A$2:$A$6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Sheet1!$D$2:$D$6</c:f>
              <c:numCache>
                <c:formatCode>General</c:formatCode>
                <c:ptCount val="5"/>
                <c:pt idx="1">
                  <c:v>1.712452E7</c:v>
                </c:pt>
                <c:pt idx="2">
                  <c:v>1.730914E7</c:v>
                </c:pt>
                <c:pt idx="3">
                  <c:v>1.749304E7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TD</c:v>
                </c:pt>
              </c:strCache>
            </c:strRef>
          </c:tx>
          <c:xVal>
            <c:numRef>
              <c:f>Sheet1!$A$2:$A$6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Sheet1!$E$2:$E$6</c:f>
              <c:numCache>
                <c:formatCode>General</c:formatCode>
                <c:ptCount val="5"/>
                <c:pt idx="1">
                  <c:v>849410.0</c:v>
                </c:pt>
                <c:pt idx="2">
                  <c:v>834140.0</c:v>
                </c:pt>
                <c:pt idx="3">
                  <c:v>821130.0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207800"/>
        <c:axId val="-2143137864"/>
      </c:scatterChart>
      <c:valAx>
        <c:axId val="2088207800"/>
        <c:scaling>
          <c:orientation val="minMax"/>
          <c:max val="2014.0"/>
          <c:min val="2012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43137864"/>
        <c:crosses val="autoZero"/>
        <c:crossBetween val="midCat"/>
        <c:majorUnit val="1.0"/>
      </c:valAx>
      <c:valAx>
        <c:axId val="-2143137864"/>
        <c:scaling>
          <c:orientation val="minMax"/>
          <c:max val="3.5E7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8820780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All</a:t>
            </a:r>
            <a:r>
              <a:rPr lang="en-US" baseline="0"/>
              <a:t> but Estimates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Sheet1!$B$8</c:f>
              <c:strCache>
                <c:ptCount val="1"/>
                <c:pt idx="0">
                  <c:v>CBSI</c:v>
                </c:pt>
              </c:strCache>
            </c:strRef>
          </c:tx>
          <c:xVal>
            <c:numRef>
              <c:f>Sheet1!$A$9:$A$13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Sheet1!$B$9:$B$13</c:f>
              <c:numCache>
                <c:formatCode>General</c:formatCode>
                <c:ptCount val="5"/>
                <c:pt idx="1">
                  <c:v>1.457353E7</c:v>
                </c:pt>
                <c:pt idx="2">
                  <c:v>1.474947E7</c:v>
                </c:pt>
                <c:pt idx="3">
                  <c:v>1.492263E7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Sheet1!$C$8</c:f>
              <c:strCache>
                <c:ptCount val="1"/>
                <c:pt idx="0">
                  <c:v>CBMD</c:v>
                </c:pt>
              </c:strCache>
            </c:strRef>
          </c:tx>
          <c:xVal>
            <c:numRef>
              <c:f>Sheet1!$A$9:$A$13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Sheet1!$C$9:$C$13</c:f>
              <c:numCache>
                <c:formatCode>General</c:formatCode>
                <c:ptCount val="5"/>
                <c:pt idx="1">
                  <c:v>1.294894E7</c:v>
                </c:pt>
                <c:pt idx="2">
                  <c:v>1.305337E7</c:v>
                </c:pt>
                <c:pt idx="3">
                  <c:v>1.316328E7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Sheet1!$D$8</c:f>
              <c:strCache>
                <c:ptCount val="1"/>
                <c:pt idx="0">
                  <c:v>CB24</c:v>
                </c:pt>
              </c:strCache>
            </c:strRef>
          </c:tx>
          <c:xVal>
            <c:numRef>
              <c:f>Sheet1!$A$9:$A$13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Sheet1!$D$9:$D$13</c:f>
              <c:numCache>
                <c:formatCode>General</c:formatCode>
                <c:ptCount val="5"/>
                <c:pt idx="1">
                  <c:v>2.08571E6</c:v>
                </c:pt>
                <c:pt idx="2">
                  <c:v>2.10386E6</c:v>
                </c:pt>
                <c:pt idx="3">
                  <c:v>2.1122E6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Sheet1!$E$8</c:f>
              <c:strCache>
                <c:ptCount val="1"/>
                <c:pt idx="0">
                  <c:v>CB75</c:v>
                </c:pt>
              </c:strCache>
            </c:strRef>
          </c:tx>
          <c:xVal>
            <c:numRef>
              <c:f>Sheet1!$A$9:$A$13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Sheet1!$E$9:$E$13</c:f>
              <c:numCache>
                <c:formatCode>General</c:formatCode>
                <c:ptCount val="5"/>
                <c:pt idx="1">
                  <c:v>2.26878E6</c:v>
                </c:pt>
                <c:pt idx="2">
                  <c:v>2.32487E6</c:v>
                </c:pt>
                <c:pt idx="3">
                  <c:v>2.38164E6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Sheet1!$F$8</c:f>
              <c:strCache>
                <c:ptCount val="1"/>
                <c:pt idx="0">
                  <c:v>CBP24</c:v>
                </c:pt>
              </c:strCache>
            </c:strRef>
          </c:tx>
          <c:xVal>
            <c:numRef>
              <c:f>Sheet1!$A$9:$A$13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Sheet1!$F$9:$F$13</c:f>
              <c:numCache>
                <c:formatCode>General</c:formatCode>
                <c:ptCount val="5"/>
                <c:pt idx="1">
                  <c:v>6.0</c:v>
                </c:pt>
                <c:pt idx="2">
                  <c:v>6.0</c:v>
                </c:pt>
                <c:pt idx="3">
                  <c:v>6.0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Sheet1!$G$8</c:f>
              <c:strCache>
                <c:ptCount val="1"/>
                <c:pt idx="0">
                  <c:v>CBP75</c:v>
                </c:pt>
              </c:strCache>
            </c:strRef>
          </c:tx>
          <c:xVal>
            <c:numRef>
              <c:f>Sheet1!$A$9:$A$13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Sheet1!$G$9:$G$13</c:f>
              <c:numCache>
                <c:formatCode>General</c:formatCode>
                <c:ptCount val="5"/>
                <c:pt idx="1">
                  <c:v>7.0</c:v>
                </c:pt>
                <c:pt idx="2">
                  <c:v>7.0</c:v>
                </c:pt>
                <c:pt idx="3">
                  <c:v>7.0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Sheet1!$H$8</c:f>
              <c:strCache>
                <c:ptCount val="1"/>
                <c:pt idx="0">
                  <c:v>CMAG</c:v>
                </c:pt>
              </c:strCache>
            </c:strRef>
          </c:tx>
          <c:xVal>
            <c:numRef>
              <c:f>Sheet1!$A$9:$A$13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Sheet1!$H$9:$H$13</c:f>
              <c:numCache>
                <c:formatCode>General</c:formatCode>
                <c:ptCount val="5"/>
                <c:pt idx="1">
                  <c:v>39.0</c:v>
                </c:pt>
                <c:pt idx="2">
                  <c:v>40.0</c:v>
                </c:pt>
                <c:pt idx="3">
                  <c:v>40.0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Sheet1!$I$8</c:f>
              <c:strCache>
                <c:ptCount val="1"/>
                <c:pt idx="0">
                  <c:v>CMSI</c:v>
                </c:pt>
              </c:strCache>
            </c:strRef>
          </c:tx>
          <c:xVal>
            <c:numRef>
              <c:f>Sheet1!$A$9:$A$13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Sheet1!$I$9:$I$13</c:f>
              <c:numCache>
                <c:formatCode>General</c:formatCode>
                <c:ptCount val="5"/>
                <c:pt idx="1">
                  <c:v>7.51113E6</c:v>
                </c:pt>
                <c:pt idx="2">
                  <c:v>7.60536E6</c:v>
                </c:pt>
                <c:pt idx="3">
                  <c:v>7.69783E6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Sheet1!$J$8</c:f>
              <c:strCache>
                <c:ptCount val="1"/>
                <c:pt idx="0">
                  <c:v>CMMD</c:v>
                </c:pt>
              </c:strCache>
            </c:strRef>
          </c:tx>
          <c:xVal>
            <c:numRef>
              <c:f>Sheet1!$A$9:$A$13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Sheet1!$J$9:$J$13</c:f>
              <c:numCache>
                <c:formatCode>General</c:formatCode>
                <c:ptCount val="5"/>
                <c:pt idx="1">
                  <c:v>6.47502E6</c:v>
                </c:pt>
                <c:pt idx="2">
                  <c:v>6.52718E6</c:v>
                </c:pt>
                <c:pt idx="3">
                  <c:v>6.58172E6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Sheet1!$K$8</c:f>
              <c:strCache>
                <c:ptCount val="1"/>
                <c:pt idx="0">
                  <c:v>CM24</c:v>
                </c:pt>
              </c:strCache>
            </c:strRef>
          </c:tx>
          <c:xVal>
            <c:numRef>
              <c:f>Sheet1!$A$9:$A$13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Sheet1!$K$9:$K$13</c:f>
              <c:numCache>
                <c:formatCode>General</c:formatCode>
                <c:ptCount val="5"/>
                <c:pt idx="1">
                  <c:v>1.03795E6</c:v>
                </c:pt>
                <c:pt idx="2">
                  <c:v>1.04969E6</c:v>
                </c:pt>
                <c:pt idx="3">
                  <c:v>1.05645E6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Sheet1!$L$8</c:f>
              <c:strCache>
                <c:ptCount val="1"/>
                <c:pt idx="0">
                  <c:v>CM75</c:v>
                </c:pt>
              </c:strCache>
            </c:strRef>
          </c:tx>
          <c:xVal>
            <c:numRef>
              <c:f>Sheet1!$A$9:$A$13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Sheet1!$L$9:$L$13</c:f>
              <c:numCache>
                <c:formatCode>General</c:formatCode>
                <c:ptCount val="5"/>
                <c:pt idx="1">
                  <c:v>930090.0</c:v>
                </c:pt>
                <c:pt idx="2">
                  <c:v>960300.0</c:v>
                </c:pt>
                <c:pt idx="3">
                  <c:v>990410.0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Sheet1!$M$8</c:f>
              <c:strCache>
                <c:ptCount val="1"/>
                <c:pt idx="0">
                  <c:v>CMP24</c:v>
                </c:pt>
              </c:strCache>
            </c:strRef>
          </c:tx>
          <c:xVal>
            <c:numRef>
              <c:f>Sheet1!$A$9:$A$13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Sheet1!$M$9:$M$13</c:f>
              <c:numCache>
                <c:formatCode>General</c:formatCode>
                <c:ptCount val="5"/>
                <c:pt idx="1">
                  <c:v>6.0</c:v>
                </c:pt>
                <c:pt idx="2">
                  <c:v>6.0</c:v>
                </c:pt>
                <c:pt idx="3">
                  <c:v>6.0</c:v>
                </c:pt>
              </c:numCache>
            </c:numRef>
          </c:yVal>
          <c:smooth val="0"/>
        </c:ser>
        <c:ser>
          <c:idx val="12"/>
          <c:order val="12"/>
          <c:tx>
            <c:strRef>
              <c:f>Sheet1!$N$8</c:f>
              <c:strCache>
                <c:ptCount val="1"/>
                <c:pt idx="0">
                  <c:v>CMP75</c:v>
                </c:pt>
              </c:strCache>
            </c:strRef>
          </c:tx>
          <c:xVal>
            <c:numRef>
              <c:f>Sheet1!$A$9:$A$13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Sheet1!$N$9:$N$13</c:f>
              <c:numCache>
                <c:formatCode>General</c:formatCode>
                <c:ptCount val="5"/>
                <c:pt idx="1">
                  <c:v>6.0</c:v>
                </c:pt>
                <c:pt idx="2">
                  <c:v>6.0</c:v>
                </c:pt>
                <c:pt idx="3">
                  <c:v>6.0</c:v>
                </c:pt>
              </c:numCache>
            </c:numRef>
          </c:yVal>
          <c:smooth val="0"/>
        </c:ser>
        <c:ser>
          <c:idx val="13"/>
          <c:order val="13"/>
          <c:tx>
            <c:strRef>
              <c:f>Sheet1!$O$8</c:f>
              <c:strCache>
                <c:ptCount val="1"/>
                <c:pt idx="0">
                  <c:v>CFSI</c:v>
                </c:pt>
              </c:strCache>
            </c:strRef>
          </c:tx>
          <c:xVal>
            <c:numRef>
              <c:f>Sheet1!$A$9:$A$13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Sheet1!$O$9:$O$13</c:f>
              <c:numCache>
                <c:formatCode>General</c:formatCode>
                <c:ptCount val="5"/>
                <c:pt idx="1">
                  <c:v>7.0624E6</c:v>
                </c:pt>
                <c:pt idx="2">
                  <c:v>7.14411E6</c:v>
                </c:pt>
                <c:pt idx="3">
                  <c:v>7.22481E6</c:v>
                </c:pt>
              </c:numCache>
            </c:numRef>
          </c:yVal>
          <c:smooth val="0"/>
        </c:ser>
        <c:ser>
          <c:idx val="14"/>
          <c:order val="14"/>
          <c:tx>
            <c:strRef>
              <c:f>Sheet1!$P$8</c:f>
              <c:strCache>
                <c:ptCount val="1"/>
                <c:pt idx="0">
                  <c:v>CFMD</c:v>
                </c:pt>
              </c:strCache>
            </c:strRef>
          </c:tx>
          <c:xVal>
            <c:numRef>
              <c:f>Sheet1!$A$9:$A$13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Sheet1!$P$9:$P$13</c:f>
              <c:numCache>
                <c:formatCode>General</c:formatCode>
                <c:ptCount val="5"/>
                <c:pt idx="1">
                  <c:v>6.47392E6</c:v>
                </c:pt>
                <c:pt idx="2">
                  <c:v>6.52619E6</c:v>
                </c:pt>
                <c:pt idx="3">
                  <c:v>6.58156E6</c:v>
                </c:pt>
              </c:numCache>
            </c:numRef>
          </c:yVal>
          <c:smooth val="0"/>
        </c:ser>
        <c:ser>
          <c:idx val="15"/>
          <c:order val="15"/>
          <c:tx>
            <c:strRef>
              <c:f>Sheet1!$Q$8</c:f>
              <c:strCache>
                <c:ptCount val="1"/>
                <c:pt idx="0">
                  <c:v>CF24</c:v>
                </c:pt>
              </c:strCache>
            </c:strRef>
          </c:tx>
          <c:xVal>
            <c:numRef>
              <c:f>Sheet1!$A$9:$A$13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Sheet1!$Q$9:$Q$13</c:f>
              <c:numCache>
                <c:formatCode>General</c:formatCode>
                <c:ptCount val="5"/>
                <c:pt idx="1">
                  <c:v>1.04776E6</c:v>
                </c:pt>
                <c:pt idx="2">
                  <c:v>1.05417E6</c:v>
                </c:pt>
                <c:pt idx="3">
                  <c:v>1.05575E6</c:v>
                </c:pt>
              </c:numCache>
            </c:numRef>
          </c:yVal>
          <c:smooth val="0"/>
        </c:ser>
        <c:ser>
          <c:idx val="16"/>
          <c:order val="16"/>
          <c:tx>
            <c:strRef>
              <c:f>Sheet1!$R$8</c:f>
              <c:strCache>
                <c:ptCount val="1"/>
                <c:pt idx="0">
                  <c:v>CF75</c:v>
                </c:pt>
              </c:strCache>
            </c:strRef>
          </c:tx>
          <c:xVal>
            <c:numRef>
              <c:f>Sheet1!$A$9:$A$13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Sheet1!$R$9:$R$13</c:f>
              <c:numCache>
                <c:formatCode>General</c:formatCode>
                <c:ptCount val="5"/>
                <c:pt idx="1">
                  <c:v>1.33869E6</c:v>
                </c:pt>
                <c:pt idx="2">
                  <c:v>1.36457E6</c:v>
                </c:pt>
                <c:pt idx="3">
                  <c:v>1.39124E6</c:v>
                </c:pt>
              </c:numCache>
            </c:numRef>
          </c:yVal>
          <c:smooth val="0"/>
        </c:ser>
        <c:ser>
          <c:idx val="17"/>
          <c:order val="17"/>
          <c:tx>
            <c:strRef>
              <c:f>Sheet1!$S$8</c:f>
              <c:strCache>
                <c:ptCount val="1"/>
                <c:pt idx="0">
                  <c:v>CFP24</c:v>
                </c:pt>
              </c:strCache>
            </c:strRef>
          </c:tx>
          <c:xVal>
            <c:numRef>
              <c:f>Sheet1!$A$9:$A$13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Sheet1!$S$9:$S$13</c:f>
              <c:numCache>
                <c:formatCode>General</c:formatCode>
                <c:ptCount val="5"/>
                <c:pt idx="1">
                  <c:v>6.0</c:v>
                </c:pt>
                <c:pt idx="2">
                  <c:v>6.0</c:v>
                </c:pt>
                <c:pt idx="3">
                  <c:v>6.0</c:v>
                </c:pt>
              </c:numCache>
            </c:numRef>
          </c:yVal>
          <c:smooth val="0"/>
        </c:ser>
        <c:ser>
          <c:idx val="18"/>
          <c:order val="18"/>
          <c:tx>
            <c:strRef>
              <c:f>Sheet1!$T$8</c:f>
              <c:strCache>
                <c:ptCount val="1"/>
                <c:pt idx="0">
                  <c:v>CFP75</c:v>
                </c:pt>
              </c:strCache>
            </c:strRef>
          </c:tx>
          <c:xVal>
            <c:numRef>
              <c:f>Sheet1!$A$9:$A$13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Sheet1!$T$9:$T$13</c:f>
              <c:numCache>
                <c:formatCode>General</c:formatCode>
                <c:ptCount val="5"/>
                <c:pt idx="1">
                  <c:v>8.0</c:v>
                </c:pt>
                <c:pt idx="2">
                  <c:v>8.0</c:v>
                </c:pt>
                <c:pt idx="3">
                  <c:v>8.0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9945672"/>
        <c:axId val="-2134757384"/>
      </c:scatterChart>
      <c:valAx>
        <c:axId val="-2139945672"/>
        <c:scaling>
          <c:orientation val="minMax"/>
          <c:max val="2014.0"/>
          <c:min val="2012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34757384"/>
        <c:crosses val="autoZero"/>
        <c:crossBetween val="midCat"/>
        <c:majorUnit val="1.0"/>
      </c:valAx>
      <c:valAx>
        <c:axId val="-21347573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3994567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Population</a:t>
            </a:r>
            <a:r>
              <a:rPr lang="en-US" baseline="0"/>
              <a:t> Estimation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Sheet1!$B$15</c:f>
              <c:strCache>
                <c:ptCount val="1"/>
                <c:pt idx="0">
                  <c:v>ETCB</c:v>
                </c:pt>
              </c:strCache>
            </c:strRef>
          </c:tx>
          <c:xVal>
            <c:numRef>
              <c:f>Sheet1!$A$16:$A$20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Sheet1!$B$16:$B$20</c:f>
              <c:numCache>
                <c:formatCode>General</c:formatCode>
                <c:ptCount val="5"/>
                <c:pt idx="0">
                  <c:v>3.434278E7</c:v>
                </c:pt>
                <c:pt idx="1">
                  <c:v>3.4751476E7</c:v>
                </c:pt>
                <c:pt idx="2">
                  <c:v>3.5155499E7</c:v>
                </c:pt>
                <c:pt idx="3">
                  <c:v>3.5543658E7</c:v>
                </c:pt>
                <c:pt idx="4">
                  <c:v>3.5851774E7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Sheet1!$C$15</c:f>
              <c:strCache>
                <c:ptCount val="1"/>
                <c:pt idx="0">
                  <c:v>ETNBB</c:v>
                </c:pt>
              </c:strCache>
            </c:strRef>
          </c:tx>
          <c:xVal>
            <c:numRef>
              <c:f>Sheet1!$A$16:$A$20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Sheet1!$C$16:$C$20</c:f>
              <c:numCache>
                <c:formatCode>General</c:formatCode>
                <c:ptCount val="5"/>
                <c:pt idx="0">
                  <c:v>525037.0</c:v>
                </c:pt>
                <c:pt idx="1">
                  <c:v>526895.0</c:v>
                </c:pt>
                <c:pt idx="2">
                  <c:v>528017.0</c:v>
                </c:pt>
                <c:pt idx="3">
                  <c:v>529069.0</c:v>
                </c:pt>
                <c:pt idx="4">
                  <c:v>527756.0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Sheet1!$D$15</c:f>
              <c:strCache>
                <c:ptCount val="1"/>
                <c:pt idx="0">
                  <c:v>ETPIB</c:v>
                </c:pt>
              </c:strCache>
            </c:strRef>
          </c:tx>
          <c:xVal>
            <c:numRef>
              <c:f>Sheet1!$A$16:$A$20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Sheet1!$D$16:$D$20</c:f>
              <c:numCache>
                <c:formatCode>General</c:formatCode>
                <c:ptCount val="5"/>
                <c:pt idx="0">
                  <c:v>144038.0</c:v>
                </c:pt>
                <c:pt idx="1">
                  <c:v>145259.0</c:v>
                </c:pt>
                <c:pt idx="2">
                  <c:v>145441.0</c:v>
                </c:pt>
                <c:pt idx="3">
                  <c:v>146162.0</c:v>
                </c:pt>
                <c:pt idx="4">
                  <c:v>146447.0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Sheet1!$E$15</c:f>
              <c:strCache>
                <c:ptCount val="1"/>
                <c:pt idx="0">
                  <c:v>ETNOB</c:v>
                </c:pt>
              </c:strCache>
            </c:strRef>
          </c:tx>
          <c:xVal>
            <c:numRef>
              <c:f>Sheet1!$A$16:$A$20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Sheet1!$E$16:$E$20</c:f>
              <c:numCache>
                <c:formatCode>General</c:formatCode>
                <c:ptCount val="5"/>
                <c:pt idx="0">
                  <c:v>944469.0</c:v>
                </c:pt>
                <c:pt idx="1">
                  <c:v>944835.0</c:v>
                </c:pt>
                <c:pt idx="2">
                  <c:v>942991.0</c:v>
                </c:pt>
                <c:pt idx="3">
                  <c:v>942387.0</c:v>
                </c:pt>
                <c:pt idx="4">
                  <c:v>943002.0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Sheet1!$F$15</c:f>
              <c:strCache>
                <c:ptCount val="1"/>
                <c:pt idx="0">
                  <c:v>EBRB</c:v>
                </c:pt>
              </c:strCache>
            </c:strRef>
          </c:tx>
          <c:xVal>
            <c:numRef>
              <c:f>Sheet1!$A$16:$A$20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Sheet1!$F$16:$F$20</c:f>
              <c:numCache>
                <c:formatCode>General</c:formatCode>
                <c:ptCount val="5"/>
                <c:pt idx="0">
                  <c:v>755530.0</c:v>
                </c:pt>
                <c:pt idx="1">
                  <c:v>756836.0</c:v>
                </c:pt>
                <c:pt idx="2">
                  <c:v>755718.0</c:v>
                </c:pt>
                <c:pt idx="3">
                  <c:v>754578.0</c:v>
                </c:pt>
                <c:pt idx="4">
                  <c:v>753871.0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Sheet1!$G$15</c:f>
              <c:strCache>
                <c:ptCount val="1"/>
                <c:pt idx="0">
                  <c:v>ETQB</c:v>
                </c:pt>
              </c:strCache>
            </c:strRef>
          </c:tx>
          <c:xVal>
            <c:numRef>
              <c:f>Sheet1!$A$16:$A$20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Sheet1!$G$16:$G$20</c:f>
              <c:numCache>
                <c:formatCode>General</c:formatCode>
                <c:ptCount val="5"/>
                <c:pt idx="0">
                  <c:v>8.007656E6</c:v>
                </c:pt>
                <c:pt idx="1">
                  <c:v>8.084768E6</c:v>
                </c:pt>
                <c:pt idx="2">
                  <c:v>8.154761E6</c:v>
                </c:pt>
                <c:pt idx="3">
                  <c:v>8.214885E6</c:v>
                </c:pt>
                <c:pt idx="4">
                  <c:v>8.2636E6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Sheet1!$H$15</c:f>
              <c:strCache>
                <c:ptCount val="1"/>
                <c:pt idx="0">
                  <c:v>EOB</c:v>
                </c:pt>
              </c:strCache>
            </c:strRef>
          </c:tx>
          <c:xVal>
            <c:numRef>
              <c:f>Sheet1!$A$16:$A$20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Sheet1!$H$16:$H$20</c:f>
              <c:numCache>
                <c:formatCode>General</c:formatCode>
                <c:ptCount val="5"/>
                <c:pt idx="0">
                  <c:v>1.3263544E7</c:v>
                </c:pt>
                <c:pt idx="1">
                  <c:v>1.3409558E7</c:v>
                </c:pt>
                <c:pt idx="2">
                  <c:v>1.3551004E7</c:v>
                </c:pt>
                <c:pt idx="3">
                  <c:v>1.3677687E7</c:v>
                </c:pt>
                <c:pt idx="4">
                  <c:v>1.3792052E7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Sheet1!$I$15</c:f>
              <c:strCache>
                <c:ptCount val="1"/>
                <c:pt idx="0">
                  <c:v>EMB</c:v>
                </c:pt>
              </c:strCache>
            </c:strRef>
          </c:tx>
          <c:xVal>
            <c:numRef>
              <c:f>Sheet1!$A$16:$A$20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Sheet1!$I$16:$I$20</c:f>
              <c:numCache>
                <c:formatCode>General</c:formatCode>
                <c:ptCount val="5"/>
                <c:pt idx="0">
                  <c:v>1.233728E6</c:v>
                </c:pt>
                <c:pt idx="1">
                  <c:v>1.250406E6</c:v>
                </c:pt>
                <c:pt idx="2">
                  <c:v>1.265342E6</c:v>
                </c:pt>
                <c:pt idx="3">
                  <c:v>1.280242E6</c:v>
                </c:pt>
                <c:pt idx="4">
                  <c:v>1.293378E6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Sheet1!$J$15</c:f>
              <c:strCache>
                <c:ptCount val="1"/>
                <c:pt idx="0">
                  <c:v>ETSB</c:v>
                </c:pt>
              </c:strCache>
            </c:strRef>
          </c:tx>
          <c:xVal>
            <c:numRef>
              <c:f>Sheet1!$A$16:$A$20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Sheet1!$J$16:$J$20</c:f>
              <c:numCache>
                <c:formatCode>General</c:formatCode>
                <c:ptCount val="5"/>
                <c:pt idx="0">
                  <c:v>1.066349E6</c:v>
                </c:pt>
                <c:pt idx="1">
                  <c:v>1.087223E6</c:v>
                </c:pt>
                <c:pt idx="2">
                  <c:v>1.106122E6</c:v>
                </c:pt>
                <c:pt idx="3">
                  <c:v>1.122283E6</c:v>
                </c:pt>
                <c:pt idx="4">
                  <c:v>1.133637E6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Sheet1!$K$15</c:f>
              <c:strCache>
                <c:ptCount val="1"/>
                <c:pt idx="0">
                  <c:v>EAlB</c:v>
                </c:pt>
              </c:strCache>
            </c:strRef>
          </c:tx>
          <c:xVal>
            <c:numRef>
              <c:f>Sheet1!$A$16:$A$20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Sheet1!$K$16:$K$20</c:f>
              <c:numCache>
                <c:formatCode>General</c:formatCode>
                <c:ptCount val="5"/>
                <c:pt idx="0">
                  <c:v>3.790191E6</c:v>
                </c:pt>
                <c:pt idx="1">
                  <c:v>3.888552E6</c:v>
                </c:pt>
                <c:pt idx="2">
                  <c:v>4.007748E6</c:v>
                </c:pt>
                <c:pt idx="3">
                  <c:v>4.120897E6</c:v>
                </c:pt>
                <c:pt idx="4">
                  <c:v>4.196457E6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Sheet1!$L$15</c:f>
              <c:strCache>
                <c:ptCount val="1"/>
                <c:pt idx="0">
                  <c:v>ETBCB</c:v>
                </c:pt>
              </c:strCache>
            </c:strRef>
          </c:tx>
          <c:xVal>
            <c:numRef>
              <c:f>Sheet1!$A$16:$A$20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Sheet1!$L$16:$L$20</c:f>
              <c:numCache>
                <c:formatCode>General</c:formatCode>
                <c:ptCount val="5"/>
                <c:pt idx="0">
                  <c:v>4.499139E6</c:v>
                </c:pt>
                <c:pt idx="1">
                  <c:v>4.542578E6</c:v>
                </c:pt>
                <c:pt idx="2">
                  <c:v>4.582607E6</c:v>
                </c:pt>
                <c:pt idx="3">
                  <c:v>4.638415E6</c:v>
                </c:pt>
                <c:pt idx="4">
                  <c:v>4.683139E6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Sheet1!$M$15</c:f>
              <c:strCache>
                <c:ptCount val="1"/>
                <c:pt idx="0">
                  <c:v>ETYB</c:v>
                </c:pt>
              </c:strCache>
            </c:strRef>
          </c:tx>
          <c:xVal>
            <c:numRef>
              <c:f>Sheet1!$A$16:$A$20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Sheet1!$M$16:$M$20</c:f>
              <c:numCache>
                <c:formatCode>General</c:formatCode>
                <c:ptCount val="5"/>
                <c:pt idx="0">
                  <c:v>35402.0</c:v>
                </c:pt>
                <c:pt idx="1">
                  <c:v>36189.0</c:v>
                </c:pt>
                <c:pt idx="2">
                  <c:v>36429.0</c:v>
                </c:pt>
                <c:pt idx="3">
                  <c:v>36990.0</c:v>
                </c:pt>
                <c:pt idx="4">
                  <c:v>37428.0</c:v>
                </c:pt>
              </c:numCache>
            </c:numRef>
          </c:yVal>
          <c:smooth val="0"/>
        </c:ser>
        <c:ser>
          <c:idx val="12"/>
          <c:order val="12"/>
          <c:tx>
            <c:strRef>
              <c:f>Sheet1!$N$15</c:f>
              <c:strCache>
                <c:ptCount val="1"/>
                <c:pt idx="0">
                  <c:v>ETNTB</c:v>
                </c:pt>
              </c:strCache>
            </c:strRef>
          </c:tx>
          <c:xVal>
            <c:numRef>
              <c:f>Sheet1!$A$16:$A$20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Sheet1!$N$16:$N$20</c:f>
              <c:numCache>
                <c:formatCode>General</c:formatCode>
                <c:ptCount val="5"/>
                <c:pt idx="0">
                  <c:v>43501.0</c:v>
                </c:pt>
                <c:pt idx="1">
                  <c:v>43648.0</c:v>
                </c:pt>
                <c:pt idx="2">
                  <c:v>43884.0</c:v>
                </c:pt>
                <c:pt idx="3">
                  <c:v>43980.0</c:v>
                </c:pt>
                <c:pt idx="4">
                  <c:v>44088.0</c:v>
                </c:pt>
              </c:numCache>
            </c:numRef>
          </c:yVal>
          <c:smooth val="0"/>
        </c:ser>
        <c:ser>
          <c:idx val="13"/>
          <c:order val="13"/>
          <c:tx>
            <c:strRef>
              <c:f>Sheet1!$O$15</c:f>
              <c:strCache>
                <c:ptCount val="1"/>
                <c:pt idx="0">
                  <c:v>ETNUB</c:v>
                </c:pt>
              </c:strCache>
            </c:strRef>
          </c:tx>
          <c:xVal>
            <c:numRef>
              <c:f>Sheet1!$A$16:$A$20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Sheet1!$O$16:$O$20</c:f>
              <c:numCache>
                <c:formatCode>General</c:formatCode>
                <c:ptCount val="5"/>
                <c:pt idx="0">
                  <c:v>34196.0</c:v>
                </c:pt>
                <c:pt idx="1">
                  <c:v>34729.0</c:v>
                </c:pt>
                <c:pt idx="2">
                  <c:v>35435.0</c:v>
                </c:pt>
                <c:pt idx="3">
                  <c:v>36083.0</c:v>
                </c:pt>
                <c:pt idx="4">
                  <c:v>36919.0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3268152"/>
        <c:axId val="-2135526792"/>
      </c:scatterChart>
      <c:valAx>
        <c:axId val="2083268152"/>
        <c:scaling>
          <c:orientation val="minMax"/>
          <c:max val="2015.0"/>
          <c:min val="2011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35526792"/>
        <c:crosses val="autoZero"/>
        <c:crossBetween val="midCat"/>
      </c:valAx>
      <c:valAx>
        <c:axId val="-2135526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8326815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Quarters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Sheet1!$B$22</c:f>
              <c:strCache>
                <c:ptCount val="1"/>
                <c:pt idx="0">
                  <c:v>051C</c:v>
                </c:pt>
              </c:strCache>
            </c:strRef>
          </c:tx>
          <c:xVal>
            <c:strRef>
              <c:f>Sheet1!$A$23:$A$27</c:f>
              <c:strCache>
                <c:ptCount val="5"/>
                <c:pt idx="0">
                  <c:v>2015-3</c:v>
                </c:pt>
                <c:pt idx="1">
                  <c:v>2015-4</c:v>
                </c:pt>
                <c:pt idx="2">
                  <c:v>2016-1</c:v>
                </c:pt>
                <c:pt idx="3">
                  <c:v>2016-2</c:v>
                </c:pt>
                <c:pt idx="4">
                  <c:v>2016-3</c:v>
                </c:pt>
              </c:strCache>
            </c:strRef>
          </c:xVal>
          <c:yVal>
            <c:numRef>
              <c:f>Sheet1!$B$23:$B$27</c:f>
              <c:numCache>
                <c:formatCode>General</c:formatCode>
                <c:ptCount val="5"/>
                <c:pt idx="0">
                  <c:v>749510.0</c:v>
                </c:pt>
                <c:pt idx="1">
                  <c:v>771572.0</c:v>
                </c:pt>
                <c:pt idx="2">
                  <c:v>745333.0</c:v>
                </c:pt>
                <c:pt idx="3">
                  <c:v>757821.0</c:v>
                </c:pt>
                <c:pt idx="4">
                  <c:v>787662.0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Sheet1!$C$22</c:f>
              <c:strCache>
                <c:ptCount val="1"/>
                <c:pt idx="0">
                  <c:v>051NB</c:v>
                </c:pt>
              </c:strCache>
            </c:strRef>
          </c:tx>
          <c:xVal>
            <c:strRef>
              <c:f>Sheet1!$A$23:$A$27</c:f>
              <c:strCache>
                <c:ptCount val="5"/>
                <c:pt idx="0">
                  <c:v>2015-3</c:v>
                </c:pt>
                <c:pt idx="1">
                  <c:v>2015-4</c:v>
                </c:pt>
                <c:pt idx="2">
                  <c:v>2016-1</c:v>
                </c:pt>
                <c:pt idx="3">
                  <c:v>2016-2</c:v>
                </c:pt>
                <c:pt idx="4">
                  <c:v>2016-3</c:v>
                </c:pt>
              </c:strCache>
            </c:strRef>
          </c:xVal>
          <c:yVal>
            <c:numRef>
              <c:f>Sheet1!$C$23:$C$27</c:f>
              <c:numCache>
                <c:formatCode>General</c:formatCode>
                <c:ptCount val="5"/>
                <c:pt idx="0">
                  <c:v>5220.0</c:v>
                </c:pt>
                <c:pt idx="1">
                  <c:v>5613.0</c:v>
                </c:pt>
                <c:pt idx="2">
                  <c:v>5647.0</c:v>
                </c:pt>
                <c:pt idx="3">
                  <c:v>5702.0</c:v>
                </c:pt>
                <c:pt idx="4">
                  <c:v>6077.0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Sheet1!$D$22</c:f>
              <c:strCache>
                <c:ptCount val="1"/>
                <c:pt idx="0">
                  <c:v>051PI</c:v>
                </c:pt>
              </c:strCache>
            </c:strRef>
          </c:tx>
          <c:xVal>
            <c:strRef>
              <c:f>Sheet1!$A$23:$A$27</c:f>
              <c:strCache>
                <c:ptCount val="5"/>
                <c:pt idx="0">
                  <c:v>2015-3</c:v>
                </c:pt>
                <c:pt idx="1">
                  <c:v>2015-4</c:v>
                </c:pt>
                <c:pt idx="2">
                  <c:v>2016-1</c:v>
                </c:pt>
                <c:pt idx="3">
                  <c:v>2016-2</c:v>
                </c:pt>
                <c:pt idx="4">
                  <c:v>2016-3</c:v>
                </c:pt>
              </c:strCache>
            </c:strRef>
          </c:xVal>
          <c:yVal>
            <c:numRef>
              <c:f>Sheet1!$D$23:$D$27</c:f>
              <c:numCache>
                <c:formatCode>General</c:formatCode>
                <c:ptCount val="5"/>
                <c:pt idx="0">
                  <c:v>2360.0</c:v>
                </c:pt>
                <c:pt idx="1">
                  <c:v>2539.0</c:v>
                </c:pt>
                <c:pt idx="2">
                  <c:v>2627.0</c:v>
                </c:pt>
                <c:pt idx="3">
                  <c:v>2634.0</c:v>
                </c:pt>
                <c:pt idx="4">
                  <c:v>3045.0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Sheet1!$E$22</c:f>
              <c:strCache>
                <c:ptCount val="1"/>
                <c:pt idx="0">
                  <c:v>051NO</c:v>
                </c:pt>
              </c:strCache>
            </c:strRef>
          </c:tx>
          <c:xVal>
            <c:strRef>
              <c:f>Sheet1!$A$23:$A$27</c:f>
              <c:strCache>
                <c:ptCount val="5"/>
                <c:pt idx="0">
                  <c:v>2015-3</c:v>
                </c:pt>
                <c:pt idx="1">
                  <c:v>2015-4</c:v>
                </c:pt>
                <c:pt idx="2">
                  <c:v>2016-1</c:v>
                </c:pt>
                <c:pt idx="3">
                  <c:v>2016-2</c:v>
                </c:pt>
                <c:pt idx="4">
                  <c:v>2016-3</c:v>
                </c:pt>
              </c:strCache>
            </c:strRef>
          </c:xVal>
          <c:yVal>
            <c:numRef>
              <c:f>Sheet1!$E$23:$E$27</c:f>
              <c:numCache>
                <c:formatCode>General</c:formatCode>
                <c:ptCount val="5"/>
                <c:pt idx="0">
                  <c:v>14500.0</c:v>
                </c:pt>
                <c:pt idx="1">
                  <c:v>15938.0</c:v>
                </c:pt>
                <c:pt idx="2">
                  <c:v>15853.0</c:v>
                </c:pt>
                <c:pt idx="3">
                  <c:v>16503.0</c:v>
                </c:pt>
                <c:pt idx="4">
                  <c:v>17295.0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Sheet1!$F$22</c:f>
              <c:strCache>
                <c:ptCount val="1"/>
                <c:pt idx="0">
                  <c:v>051BR</c:v>
                </c:pt>
              </c:strCache>
            </c:strRef>
          </c:tx>
          <c:xVal>
            <c:strRef>
              <c:f>Sheet1!$A$23:$A$27</c:f>
              <c:strCache>
                <c:ptCount val="5"/>
                <c:pt idx="0">
                  <c:v>2015-3</c:v>
                </c:pt>
                <c:pt idx="1">
                  <c:v>2015-4</c:v>
                </c:pt>
                <c:pt idx="2">
                  <c:v>2016-1</c:v>
                </c:pt>
                <c:pt idx="3">
                  <c:v>2016-2</c:v>
                </c:pt>
                <c:pt idx="4">
                  <c:v>2016-3</c:v>
                </c:pt>
              </c:strCache>
            </c:strRef>
          </c:xVal>
          <c:yVal>
            <c:numRef>
              <c:f>Sheet1!$F$23:$F$27</c:f>
              <c:numCache>
                <c:formatCode>General</c:formatCode>
                <c:ptCount val="5"/>
                <c:pt idx="0">
                  <c:v>6683.0</c:v>
                </c:pt>
                <c:pt idx="1">
                  <c:v>7045.0</c:v>
                </c:pt>
                <c:pt idx="2">
                  <c:v>7177.0</c:v>
                </c:pt>
                <c:pt idx="3">
                  <c:v>6959.0</c:v>
                </c:pt>
                <c:pt idx="4">
                  <c:v>7630.0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Sheet1!$G$22</c:f>
              <c:strCache>
                <c:ptCount val="1"/>
                <c:pt idx="0">
                  <c:v>051Q</c:v>
                </c:pt>
              </c:strCache>
            </c:strRef>
          </c:tx>
          <c:xVal>
            <c:strRef>
              <c:f>Sheet1!$A$23:$A$27</c:f>
              <c:strCache>
                <c:ptCount val="5"/>
                <c:pt idx="0">
                  <c:v>2015-3</c:v>
                </c:pt>
                <c:pt idx="1">
                  <c:v>2015-4</c:v>
                </c:pt>
                <c:pt idx="2">
                  <c:v>2016-1</c:v>
                </c:pt>
                <c:pt idx="3">
                  <c:v>2016-2</c:v>
                </c:pt>
                <c:pt idx="4">
                  <c:v>2016-3</c:v>
                </c:pt>
              </c:strCache>
            </c:strRef>
          </c:xVal>
          <c:yVal>
            <c:numRef>
              <c:f>Sheet1!$G$23:$G$27</c:f>
              <c:numCache>
                <c:formatCode>General</c:formatCode>
                <c:ptCount val="5"/>
                <c:pt idx="0">
                  <c:v>113675.0</c:v>
                </c:pt>
                <c:pt idx="1">
                  <c:v>116100.0</c:v>
                </c:pt>
                <c:pt idx="2">
                  <c:v>110686.0</c:v>
                </c:pt>
                <c:pt idx="3">
                  <c:v>111551.0</c:v>
                </c:pt>
                <c:pt idx="4">
                  <c:v>119752.0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Sheet1!$H$22</c:f>
              <c:strCache>
                <c:ptCount val="1"/>
                <c:pt idx="0">
                  <c:v>051ON</c:v>
                </c:pt>
              </c:strCache>
            </c:strRef>
          </c:tx>
          <c:xVal>
            <c:strRef>
              <c:f>Sheet1!$A$23:$A$27</c:f>
              <c:strCache>
                <c:ptCount val="5"/>
                <c:pt idx="0">
                  <c:v>2015-3</c:v>
                </c:pt>
                <c:pt idx="1">
                  <c:v>2015-4</c:v>
                </c:pt>
                <c:pt idx="2">
                  <c:v>2016-1</c:v>
                </c:pt>
                <c:pt idx="3">
                  <c:v>2016-2</c:v>
                </c:pt>
                <c:pt idx="4">
                  <c:v>2016-3</c:v>
                </c:pt>
              </c:strCache>
            </c:strRef>
          </c:xVal>
          <c:yVal>
            <c:numRef>
              <c:f>Sheet1!$H$23:$H$27</c:f>
              <c:numCache>
                <c:formatCode>General</c:formatCode>
                <c:ptCount val="5"/>
                <c:pt idx="0">
                  <c:v>311510.0</c:v>
                </c:pt>
                <c:pt idx="1">
                  <c:v>326762.0</c:v>
                </c:pt>
                <c:pt idx="2">
                  <c:v>316412.0</c:v>
                </c:pt>
                <c:pt idx="3">
                  <c:v>328848.0</c:v>
                </c:pt>
                <c:pt idx="4">
                  <c:v>345190.0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Sheet1!$I$22</c:f>
              <c:strCache>
                <c:ptCount val="1"/>
                <c:pt idx="0">
                  <c:v>051M</c:v>
                </c:pt>
              </c:strCache>
            </c:strRef>
          </c:tx>
          <c:xVal>
            <c:strRef>
              <c:f>Sheet1!$A$23:$A$27</c:f>
              <c:strCache>
                <c:ptCount val="5"/>
                <c:pt idx="0">
                  <c:v>2015-3</c:v>
                </c:pt>
                <c:pt idx="1">
                  <c:v>2015-4</c:v>
                </c:pt>
                <c:pt idx="2">
                  <c:v>2016-1</c:v>
                </c:pt>
                <c:pt idx="3">
                  <c:v>2016-2</c:v>
                </c:pt>
                <c:pt idx="4">
                  <c:v>2016-3</c:v>
                </c:pt>
              </c:strCache>
            </c:strRef>
          </c:xVal>
          <c:yVal>
            <c:numRef>
              <c:f>Sheet1!$I$23:$I$27</c:f>
              <c:numCache>
                <c:formatCode>General</c:formatCode>
                <c:ptCount val="5"/>
                <c:pt idx="0">
                  <c:v>15593.0</c:v>
                </c:pt>
                <c:pt idx="1">
                  <c:v>16805.0</c:v>
                </c:pt>
                <c:pt idx="2">
                  <c:v>18001.0</c:v>
                </c:pt>
                <c:pt idx="3">
                  <c:v>18941.0</c:v>
                </c:pt>
                <c:pt idx="4">
                  <c:v>20449.0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Sheet1!$J$22</c:f>
              <c:strCache>
                <c:ptCount val="1"/>
                <c:pt idx="0">
                  <c:v>051S</c:v>
                </c:pt>
              </c:strCache>
            </c:strRef>
          </c:tx>
          <c:xVal>
            <c:strRef>
              <c:f>Sheet1!$A$23:$A$27</c:f>
              <c:strCache>
                <c:ptCount val="5"/>
                <c:pt idx="0">
                  <c:v>2015-3</c:v>
                </c:pt>
                <c:pt idx="1">
                  <c:v>2015-4</c:v>
                </c:pt>
                <c:pt idx="2">
                  <c:v>2016-1</c:v>
                </c:pt>
                <c:pt idx="3">
                  <c:v>2016-2</c:v>
                </c:pt>
                <c:pt idx="4">
                  <c:v>2016-3</c:v>
                </c:pt>
              </c:strCache>
            </c:strRef>
          </c:xVal>
          <c:yVal>
            <c:numRef>
              <c:f>Sheet1!$J$23:$J$27</c:f>
              <c:numCache>
                <c:formatCode>General</c:formatCode>
                <c:ptCount val="5"/>
                <c:pt idx="0">
                  <c:v>14898.0</c:v>
                </c:pt>
                <c:pt idx="1">
                  <c:v>15333.0</c:v>
                </c:pt>
                <c:pt idx="2">
                  <c:v>15387.0</c:v>
                </c:pt>
                <c:pt idx="3">
                  <c:v>15592.0</c:v>
                </c:pt>
                <c:pt idx="4">
                  <c:v>16095.0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Sheet1!$K$22</c:f>
              <c:strCache>
                <c:ptCount val="1"/>
                <c:pt idx="0">
                  <c:v>051Al</c:v>
                </c:pt>
              </c:strCache>
            </c:strRef>
          </c:tx>
          <c:xVal>
            <c:strRef>
              <c:f>Sheet1!$A$23:$A$27</c:f>
              <c:strCache>
                <c:ptCount val="5"/>
                <c:pt idx="0">
                  <c:v>2015-3</c:v>
                </c:pt>
                <c:pt idx="1">
                  <c:v>2015-4</c:v>
                </c:pt>
                <c:pt idx="2">
                  <c:v>2016-1</c:v>
                </c:pt>
                <c:pt idx="3">
                  <c:v>2016-2</c:v>
                </c:pt>
                <c:pt idx="4">
                  <c:v>2016-3</c:v>
                </c:pt>
              </c:strCache>
            </c:strRef>
          </c:xVal>
          <c:yVal>
            <c:numRef>
              <c:f>Sheet1!$K$23:$K$27</c:f>
              <c:numCache>
                <c:formatCode>General</c:formatCode>
                <c:ptCount val="5"/>
                <c:pt idx="0">
                  <c:v>90242.0</c:v>
                </c:pt>
                <c:pt idx="1">
                  <c:v>87580.0</c:v>
                </c:pt>
                <c:pt idx="2">
                  <c:v>84039.0</c:v>
                </c:pt>
                <c:pt idx="3">
                  <c:v>82059.0</c:v>
                </c:pt>
                <c:pt idx="4">
                  <c:v>80426.0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Sheet1!$L$22</c:f>
              <c:strCache>
                <c:ptCount val="1"/>
                <c:pt idx="0">
                  <c:v>051BC</c:v>
                </c:pt>
              </c:strCache>
            </c:strRef>
          </c:tx>
          <c:xVal>
            <c:strRef>
              <c:f>Sheet1!$A$23:$A$27</c:f>
              <c:strCache>
                <c:ptCount val="5"/>
                <c:pt idx="0">
                  <c:v>2015-3</c:v>
                </c:pt>
                <c:pt idx="1">
                  <c:v>2015-4</c:v>
                </c:pt>
                <c:pt idx="2">
                  <c:v>2016-1</c:v>
                </c:pt>
                <c:pt idx="3">
                  <c:v>2016-2</c:v>
                </c:pt>
                <c:pt idx="4">
                  <c:v>2016-3</c:v>
                </c:pt>
              </c:strCache>
            </c:strRef>
          </c:xVal>
          <c:yVal>
            <c:numRef>
              <c:f>Sheet1!$L$23:$L$27</c:f>
              <c:numCache>
                <c:formatCode>General</c:formatCode>
                <c:ptCount val="5"/>
                <c:pt idx="0">
                  <c:v>174101.0</c:v>
                </c:pt>
                <c:pt idx="1">
                  <c:v>177049.0</c:v>
                </c:pt>
                <c:pt idx="2">
                  <c:v>168738.0</c:v>
                </c:pt>
                <c:pt idx="3">
                  <c:v>168307.0</c:v>
                </c:pt>
                <c:pt idx="4">
                  <c:v>170834.0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Sheet1!$M$22</c:f>
              <c:strCache>
                <c:ptCount val="1"/>
                <c:pt idx="0">
                  <c:v>051Y</c:v>
                </c:pt>
              </c:strCache>
            </c:strRef>
          </c:tx>
          <c:xVal>
            <c:strRef>
              <c:f>Sheet1!$A$23:$A$27</c:f>
              <c:strCache>
                <c:ptCount val="5"/>
                <c:pt idx="0">
                  <c:v>2015-3</c:v>
                </c:pt>
                <c:pt idx="1">
                  <c:v>2015-4</c:v>
                </c:pt>
                <c:pt idx="2">
                  <c:v>2016-1</c:v>
                </c:pt>
                <c:pt idx="3">
                  <c:v>2016-2</c:v>
                </c:pt>
                <c:pt idx="4">
                  <c:v>2016-3</c:v>
                </c:pt>
              </c:strCache>
            </c:strRef>
          </c:xVal>
          <c:yVal>
            <c:numRef>
              <c:f>Sheet1!$M$23:$M$27</c:f>
              <c:numCache>
                <c:formatCode>General</c:formatCode>
                <c:ptCount val="5"/>
                <c:pt idx="0">
                  <c:v>365.0</c:v>
                </c:pt>
                <c:pt idx="1">
                  <c:v>382.0</c:v>
                </c:pt>
                <c:pt idx="2">
                  <c:v>345.0</c:v>
                </c:pt>
                <c:pt idx="3">
                  <c:v>377.0</c:v>
                </c:pt>
                <c:pt idx="4">
                  <c:v>479.0</c:v>
                </c:pt>
              </c:numCache>
            </c:numRef>
          </c:yVal>
          <c:smooth val="0"/>
        </c:ser>
        <c:ser>
          <c:idx val="12"/>
          <c:order val="12"/>
          <c:tx>
            <c:strRef>
              <c:f>Sheet1!$N$22</c:f>
              <c:strCache>
                <c:ptCount val="1"/>
                <c:pt idx="0">
                  <c:v>051NT</c:v>
                </c:pt>
              </c:strCache>
            </c:strRef>
          </c:tx>
          <c:xVal>
            <c:strRef>
              <c:f>Sheet1!$A$23:$A$27</c:f>
              <c:strCache>
                <c:ptCount val="5"/>
                <c:pt idx="0">
                  <c:v>2015-3</c:v>
                </c:pt>
                <c:pt idx="1">
                  <c:v>2015-4</c:v>
                </c:pt>
                <c:pt idx="2">
                  <c:v>2016-1</c:v>
                </c:pt>
                <c:pt idx="3">
                  <c:v>2016-2</c:v>
                </c:pt>
                <c:pt idx="4">
                  <c:v>2016-3</c:v>
                </c:pt>
              </c:strCache>
            </c:strRef>
          </c:xVal>
          <c:yVal>
            <c:numRef>
              <c:f>Sheet1!$N$23:$N$27</c:f>
              <c:numCache>
                <c:formatCode>General</c:formatCode>
                <c:ptCount val="5"/>
                <c:pt idx="0">
                  <c:v>320.0</c:v>
                </c:pt>
                <c:pt idx="1">
                  <c:v>322.0</c:v>
                </c:pt>
                <c:pt idx="2">
                  <c:v>323.0</c:v>
                </c:pt>
                <c:pt idx="3">
                  <c:v>306.0</c:v>
                </c:pt>
                <c:pt idx="4">
                  <c:v>321.0</c:v>
                </c:pt>
              </c:numCache>
            </c:numRef>
          </c:yVal>
          <c:smooth val="0"/>
        </c:ser>
        <c:ser>
          <c:idx val="13"/>
          <c:order val="13"/>
          <c:tx>
            <c:strRef>
              <c:f>Sheet1!$O$22</c:f>
              <c:strCache>
                <c:ptCount val="1"/>
                <c:pt idx="0">
                  <c:v>051NU</c:v>
                </c:pt>
              </c:strCache>
            </c:strRef>
          </c:tx>
          <c:xVal>
            <c:strRef>
              <c:f>Sheet1!$A$23:$A$27</c:f>
              <c:strCache>
                <c:ptCount val="5"/>
                <c:pt idx="0">
                  <c:v>2015-3</c:v>
                </c:pt>
                <c:pt idx="1">
                  <c:v>2015-4</c:v>
                </c:pt>
                <c:pt idx="2">
                  <c:v>2016-1</c:v>
                </c:pt>
                <c:pt idx="3">
                  <c:v>2016-2</c:v>
                </c:pt>
                <c:pt idx="4">
                  <c:v>2016-3</c:v>
                </c:pt>
              </c:strCache>
            </c:strRef>
          </c:xVal>
          <c:yVal>
            <c:numRef>
              <c:f>Sheet1!$O$23:$O$27</c:f>
              <c:numCache>
                <c:formatCode>General</c:formatCode>
                <c:ptCount val="5"/>
                <c:pt idx="0">
                  <c:v>43.0</c:v>
                </c:pt>
                <c:pt idx="1">
                  <c:v>104.0</c:v>
                </c:pt>
                <c:pt idx="2">
                  <c:v>98.0</c:v>
                </c:pt>
                <c:pt idx="3">
                  <c:v>42.0</c:v>
                </c:pt>
                <c:pt idx="4">
                  <c:v>69.0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5657784"/>
        <c:axId val="-2132723112"/>
      </c:scatterChart>
      <c:valAx>
        <c:axId val="-2135657784"/>
        <c:scaling>
          <c:orientation val="minMax"/>
          <c:max val="5.0"/>
          <c:min val="1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-2132723112"/>
        <c:crosses val="autoZero"/>
        <c:crossBetween val="midCat"/>
      </c:valAx>
      <c:valAx>
        <c:axId val="-2132723112"/>
        <c:scaling>
          <c:orientation val="minMax"/>
          <c:max val="800000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3565778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Estimated and Real</a:t>
            </a:r>
            <a:r>
              <a:rPr lang="en-US" baseline="0"/>
              <a:t> Population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Sheet1!$B$29</c:f>
              <c:strCache>
                <c:ptCount val="1"/>
                <c:pt idx="0">
                  <c:v>TB</c:v>
                </c:pt>
              </c:strCache>
            </c:strRef>
          </c:tx>
          <c:xVal>
            <c:numRef>
              <c:f>Sheet1!$A$30:$A$34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Sheet1!$B$30:$B$34</c:f>
              <c:numCache>
                <c:formatCode>General</c:formatCode>
                <c:ptCount val="5"/>
                <c:pt idx="1">
                  <c:v>3.339963E7</c:v>
                </c:pt>
                <c:pt idx="2">
                  <c:v>3.378414E7</c:v>
                </c:pt>
                <c:pt idx="3">
                  <c:v>3.416494E7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Sheet1!$C$29</c:f>
              <c:strCache>
                <c:ptCount val="1"/>
                <c:pt idx="0">
                  <c:v>TM</c:v>
                </c:pt>
              </c:strCache>
            </c:strRef>
          </c:tx>
          <c:xVal>
            <c:numRef>
              <c:f>Sheet1!$A$30:$A$34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Sheet1!$C$30:$C$34</c:f>
              <c:numCache>
                <c:formatCode>General</c:formatCode>
                <c:ptCount val="5"/>
                <c:pt idx="1">
                  <c:v>1.627511E7</c:v>
                </c:pt>
                <c:pt idx="2">
                  <c:v>1.6475E7</c:v>
                </c:pt>
                <c:pt idx="3">
                  <c:v>1.667191E7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Sheet1!$D$29</c:f>
              <c:strCache>
                <c:ptCount val="1"/>
                <c:pt idx="0">
                  <c:v>TF</c:v>
                </c:pt>
              </c:strCache>
            </c:strRef>
          </c:tx>
          <c:xVal>
            <c:numRef>
              <c:f>Sheet1!$A$30:$A$34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Sheet1!$D$30:$D$34</c:f>
              <c:numCache>
                <c:formatCode>General</c:formatCode>
                <c:ptCount val="5"/>
                <c:pt idx="1">
                  <c:v>1.712452E7</c:v>
                </c:pt>
                <c:pt idx="2">
                  <c:v>1.730914E7</c:v>
                </c:pt>
                <c:pt idx="3">
                  <c:v>1.749304E7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Sheet1!$E$29</c:f>
              <c:strCache>
                <c:ptCount val="1"/>
                <c:pt idx="0">
                  <c:v>TD</c:v>
                </c:pt>
              </c:strCache>
            </c:strRef>
          </c:tx>
          <c:xVal>
            <c:numRef>
              <c:f>Sheet1!$A$30:$A$34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Sheet1!$E$30:$E$34</c:f>
              <c:numCache>
                <c:formatCode>General</c:formatCode>
                <c:ptCount val="5"/>
                <c:pt idx="1">
                  <c:v>849410.0</c:v>
                </c:pt>
                <c:pt idx="2">
                  <c:v>834140.0</c:v>
                </c:pt>
                <c:pt idx="3">
                  <c:v>821130.0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Sheet1!$F$29</c:f>
              <c:strCache>
                <c:ptCount val="1"/>
                <c:pt idx="0">
                  <c:v>ETCB</c:v>
                </c:pt>
              </c:strCache>
            </c:strRef>
          </c:tx>
          <c:xVal>
            <c:numRef>
              <c:f>Sheet1!$A$30:$A$34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Sheet1!$F$30:$F$34</c:f>
              <c:numCache>
                <c:formatCode>General</c:formatCode>
                <c:ptCount val="5"/>
                <c:pt idx="0">
                  <c:v>3.434278E7</c:v>
                </c:pt>
                <c:pt idx="1">
                  <c:v>3.4751476E7</c:v>
                </c:pt>
                <c:pt idx="2">
                  <c:v>3.5155499E7</c:v>
                </c:pt>
                <c:pt idx="3">
                  <c:v>3.5543658E7</c:v>
                </c:pt>
                <c:pt idx="4">
                  <c:v>3.5851774E7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Sheet1!$G$29</c:f>
              <c:strCache>
                <c:ptCount val="1"/>
                <c:pt idx="0">
                  <c:v>ETNBB</c:v>
                </c:pt>
              </c:strCache>
            </c:strRef>
          </c:tx>
          <c:xVal>
            <c:numRef>
              <c:f>Sheet1!$A$30:$A$34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Sheet1!$G$30:$G$34</c:f>
              <c:numCache>
                <c:formatCode>General</c:formatCode>
                <c:ptCount val="5"/>
                <c:pt idx="0">
                  <c:v>525037.0</c:v>
                </c:pt>
                <c:pt idx="1">
                  <c:v>526895.0</c:v>
                </c:pt>
                <c:pt idx="2">
                  <c:v>528017.0</c:v>
                </c:pt>
                <c:pt idx="3">
                  <c:v>529069.0</c:v>
                </c:pt>
                <c:pt idx="4">
                  <c:v>527756.0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Sheet1!$H$29</c:f>
              <c:strCache>
                <c:ptCount val="1"/>
                <c:pt idx="0">
                  <c:v>ETPIB</c:v>
                </c:pt>
              </c:strCache>
            </c:strRef>
          </c:tx>
          <c:xVal>
            <c:numRef>
              <c:f>Sheet1!$A$30:$A$34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Sheet1!$H$30:$H$34</c:f>
              <c:numCache>
                <c:formatCode>General</c:formatCode>
                <c:ptCount val="5"/>
                <c:pt idx="0">
                  <c:v>144038.0</c:v>
                </c:pt>
                <c:pt idx="1">
                  <c:v>145259.0</c:v>
                </c:pt>
                <c:pt idx="2">
                  <c:v>145441.0</c:v>
                </c:pt>
                <c:pt idx="3">
                  <c:v>146162.0</c:v>
                </c:pt>
                <c:pt idx="4">
                  <c:v>146447.0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Sheet1!$I$29</c:f>
              <c:strCache>
                <c:ptCount val="1"/>
                <c:pt idx="0">
                  <c:v>ETNOB</c:v>
                </c:pt>
              </c:strCache>
            </c:strRef>
          </c:tx>
          <c:xVal>
            <c:numRef>
              <c:f>Sheet1!$A$30:$A$34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Sheet1!$I$30:$I$34</c:f>
              <c:numCache>
                <c:formatCode>General</c:formatCode>
                <c:ptCount val="5"/>
                <c:pt idx="0">
                  <c:v>944469.0</c:v>
                </c:pt>
                <c:pt idx="1">
                  <c:v>944835.0</c:v>
                </c:pt>
                <c:pt idx="2">
                  <c:v>942991.0</c:v>
                </c:pt>
                <c:pt idx="3">
                  <c:v>942387.0</c:v>
                </c:pt>
                <c:pt idx="4">
                  <c:v>943002.0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Sheet1!$J$29</c:f>
              <c:strCache>
                <c:ptCount val="1"/>
                <c:pt idx="0">
                  <c:v>EBRB</c:v>
                </c:pt>
              </c:strCache>
            </c:strRef>
          </c:tx>
          <c:xVal>
            <c:numRef>
              <c:f>Sheet1!$A$30:$A$34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Sheet1!$J$30:$J$34</c:f>
              <c:numCache>
                <c:formatCode>General</c:formatCode>
                <c:ptCount val="5"/>
                <c:pt idx="0">
                  <c:v>755530.0</c:v>
                </c:pt>
                <c:pt idx="1">
                  <c:v>756836.0</c:v>
                </c:pt>
                <c:pt idx="2">
                  <c:v>755718.0</c:v>
                </c:pt>
                <c:pt idx="3">
                  <c:v>754578.0</c:v>
                </c:pt>
                <c:pt idx="4">
                  <c:v>753871.0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Sheet1!$K$29</c:f>
              <c:strCache>
                <c:ptCount val="1"/>
                <c:pt idx="0">
                  <c:v>ETQB</c:v>
                </c:pt>
              </c:strCache>
            </c:strRef>
          </c:tx>
          <c:xVal>
            <c:numRef>
              <c:f>Sheet1!$A$30:$A$34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Sheet1!$K$30:$K$34</c:f>
              <c:numCache>
                <c:formatCode>General</c:formatCode>
                <c:ptCount val="5"/>
                <c:pt idx="0">
                  <c:v>8.007656E6</c:v>
                </c:pt>
                <c:pt idx="1">
                  <c:v>8.084768E6</c:v>
                </c:pt>
                <c:pt idx="2">
                  <c:v>8.154761E6</c:v>
                </c:pt>
                <c:pt idx="3">
                  <c:v>8.214885E6</c:v>
                </c:pt>
                <c:pt idx="4">
                  <c:v>8.2636E6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Sheet1!$L$29</c:f>
              <c:strCache>
                <c:ptCount val="1"/>
                <c:pt idx="0">
                  <c:v>EOB</c:v>
                </c:pt>
              </c:strCache>
            </c:strRef>
          </c:tx>
          <c:xVal>
            <c:numRef>
              <c:f>Sheet1!$A$30:$A$34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Sheet1!$L$30:$L$34</c:f>
              <c:numCache>
                <c:formatCode>General</c:formatCode>
                <c:ptCount val="5"/>
                <c:pt idx="0">
                  <c:v>1.3263544E7</c:v>
                </c:pt>
                <c:pt idx="1">
                  <c:v>1.3409558E7</c:v>
                </c:pt>
                <c:pt idx="2">
                  <c:v>1.3551004E7</c:v>
                </c:pt>
                <c:pt idx="3">
                  <c:v>1.3677687E7</c:v>
                </c:pt>
                <c:pt idx="4">
                  <c:v>1.3792052E7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Sheet1!$M$29</c:f>
              <c:strCache>
                <c:ptCount val="1"/>
                <c:pt idx="0">
                  <c:v>EMB</c:v>
                </c:pt>
              </c:strCache>
            </c:strRef>
          </c:tx>
          <c:xVal>
            <c:numRef>
              <c:f>Sheet1!$A$30:$A$34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Sheet1!$M$30:$M$34</c:f>
              <c:numCache>
                <c:formatCode>General</c:formatCode>
                <c:ptCount val="5"/>
                <c:pt idx="0">
                  <c:v>1.233728E6</c:v>
                </c:pt>
                <c:pt idx="1">
                  <c:v>1.250406E6</c:v>
                </c:pt>
                <c:pt idx="2">
                  <c:v>1.265342E6</c:v>
                </c:pt>
                <c:pt idx="3">
                  <c:v>1.280242E6</c:v>
                </c:pt>
                <c:pt idx="4">
                  <c:v>1.293378E6</c:v>
                </c:pt>
              </c:numCache>
            </c:numRef>
          </c:yVal>
          <c:smooth val="0"/>
        </c:ser>
        <c:ser>
          <c:idx val="12"/>
          <c:order val="12"/>
          <c:tx>
            <c:strRef>
              <c:f>Sheet1!$N$29</c:f>
              <c:strCache>
                <c:ptCount val="1"/>
                <c:pt idx="0">
                  <c:v>ETSB</c:v>
                </c:pt>
              </c:strCache>
            </c:strRef>
          </c:tx>
          <c:xVal>
            <c:numRef>
              <c:f>Sheet1!$A$30:$A$34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Sheet1!$N$30:$N$34</c:f>
              <c:numCache>
                <c:formatCode>General</c:formatCode>
                <c:ptCount val="5"/>
                <c:pt idx="0">
                  <c:v>1.066349E6</c:v>
                </c:pt>
                <c:pt idx="1">
                  <c:v>1.087223E6</c:v>
                </c:pt>
                <c:pt idx="2">
                  <c:v>1.106122E6</c:v>
                </c:pt>
                <c:pt idx="3">
                  <c:v>1.122283E6</c:v>
                </c:pt>
                <c:pt idx="4">
                  <c:v>1.133637E6</c:v>
                </c:pt>
              </c:numCache>
            </c:numRef>
          </c:yVal>
          <c:smooth val="0"/>
        </c:ser>
        <c:ser>
          <c:idx val="13"/>
          <c:order val="13"/>
          <c:tx>
            <c:strRef>
              <c:f>Sheet1!$O$29</c:f>
              <c:strCache>
                <c:ptCount val="1"/>
                <c:pt idx="0">
                  <c:v>EAlB</c:v>
                </c:pt>
              </c:strCache>
            </c:strRef>
          </c:tx>
          <c:xVal>
            <c:numRef>
              <c:f>Sheet1!$A$30:$A$34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Sheet1!$O$30:$O$34</c:f>
              <c:numCache>
                <c:formatCode>General</c:formatCode>
                <c:ptCount val="5"/>
                <c:pt idx="0">
                  <c:v>3.790191E6</c:v>
                </c:pt>
                <c:pt idx="1">
                  <c:v>3.888552E6</c:v>
                </c:pt>
                <c:pt idx="2">
                  <c:v>4.007748E6</c:v>
                </c:pt>
                <c:pt idx="3">
                  <c:v>4.120897E6</c:v>
                </c:pt>
                <c:pt idx="4">
                  <c:v>4.196457E6</c:v>
                </c:pt>
              </c:numCache>
            </c:numRef>
          </c:yVal>
          <c:smooth val="0"/>
        </c:ser>
        <c:ser>
          <c:idx val="14"/>
          <c:order val="14"/>
          <c:tx>
            <c:strRef>
              <c:f>Sheet1!$P$29</c:f>
              <c:strCache>
                <c:ptCount val="1"/>
                <c:pt idx="0">
                  <c:v>ETBCB</c:v>
                </c:pt>
              </c:strCache>
            </c:strRef>
          </c:tx>
          <c:xVal>
            <c:numRef>
              <c:f>Sheet1!$A$30:$A$34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Sheet1!$P$30:$P$34</c:f>
              <c:numCache>
                <c:formatCode>General</c:formatCode>
                <c:ptCount val="5"/>
                <c:pt idx="0">
                  <c:v>4.499139E6</c:v>
                </c:pt>
                <c:pt idx="1">
                  <c:v>4.542578E6</c:v>
                </c:pt>
                <c:pt idx="2">
                  <c:v>4.582607E6</c:v>
                </c:pt>
                <c:pt idx="3">
                  <c:v>4.638415E6</c:v>
                </c:pt>
                <c:pt idx="4">
                  <c:v>4.683139E6</c:v>
                </c:pt>
              </c:numCache>
            </c:numRef>
          </c:yVal>
          <c:smooth val="0"/>
        </c:ser>
        <c:ser>
          <c:idx val="15"/>
          <c:order val="15"/>
          <c:tx>
            <c:strRef>
              <c:f>Sheet1!$Q$29</c:f>
              <c:strCache>
                <c:ptCount val="1"/>
                <c:pt idx="0">
                  <c:v>ETYB</c:v>
                </c:pt>
              </c:strCache>
            </c:strRef>
          </c:tx>
          <c:xVal>
            <c:numRef>
              <c:f>Sheet1!$A$30:$A$34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Sheet1!$Q$30:$Q$34</c:f>
              <c:numCache>
                <c:formatCode>General</c:formatCode>
                <c:ptCount val="5"/>
                <c:pt idx="0">
                  <c:v>35402.0</c:v>
                </c:pt>
                <c:pt idx="1">
                  <c:v>36189.0</c:v>
                </c:pt>
                <c:pt idx="2">
                  <c:v>36429.0</c:v>
                </c:pt>
                <c:pt idx="3">
                  <c:v>36990.0</c:v>
                </c:pt>
                <c:pt idx="4">
                  <c:v>37428.0</c:v>
                </c:pt>
              </c:numCache>
            </c:numRef>
          </c:yVal>
          <c:smooth val="0"/>
        </c:ser>
        <c:ser>
          <c:idx val="16"/>
          <c:order val="16"/>
          <c:tx>
            <c:strRef>
              <c:f>Sheet1!$R$29</c:f>
              <c:strCache>
                <c:ptCount val="1"/>
                <c:pt idx="0">
                  <c:v>ETNTB</c:v>
                </c:pt>
              </c:strCache>
            </c:strRef>
          </c:tx>
          <c:xVal>
            <c:numRef>
              <c:f>Sheet1!$A$30:$A$34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Sheet1!$R$30:$R$34</c:f>
              <c:numCache>
                <c:formatCode>General</c:formatCode>
                <c:ptCount val="5"/>
                <c:pt idx="0">
                  <c:v>43501.0</c:v>
                </c:pt>
                <c:pt idx="1">
                  <c:v>43648.0</c:v>
                </c:pt>
                <c:pt idx="2">
                  <c:v>43884.0</c:v>
                </c:pt>
                <c:pt idx="3">
                  <c:v>43980.0</c:v>
                </c:pt>
                <c:pt idx="4">
                  <c:v>44088.0</c:v>
                </c:pt>
              </c:numCache>
            </c:numRef>
          </c:yVal>
          <c:smooth val="0"/>
        </c:ser>
        <c:ser>
          <c:idx val="17"/>
          <c:order val="17"/>
          <c:tx>
            <c:strRef>
              <c:f>Sheet1!$S$29</c:f>
              <c:strCache>
                <c:ptCount val="1"/>
                <c:pt idx="0">
                  <c:v>ETNUB</c:v>
                </c:pt>
              </c:strCache>
            </c:strRef>
          </c:tx>
          <c:xVal>
            <c:numRef>
              <c:f>Sheet1!$A$30:$A$34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Sheet1!$S$30:$S$34</c:f>
              <c:numCache>
                <c:formatCode>General</c:formatCode>
                <c:ptCount val="5"/>
                <c:pt idx="0">
                  <c:v>34196.0</c:v>
                </c:pt>
                <c:pt idx="1">
                  <c:v>34729.0</c:v>
                </c:pt>
                <c:pt idx="2">
                  <c:v>35435.0</c:v>
                </c:pt>
                <c:pt idx="3">
                  <c:v>36083.0</c:v>
                </c:pt>
                <c:pt idx="4">
                  <c:v>36919.0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4276984"/>
        <c:axId val="-2136856984"/>
      </c:scatterChart>
      <c:valAx>
        <c:axId val="-2134276984"/>
        <c:scaling>
          <c:orientation val="minMax"/>
          <c:max val="2015.0"/>
          <c:min val="2012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36856984"/>
        <c:crosses val="autoZero"/>
        <c:crossBetween val="midCat"/>
        <c:majorUnit val="1.0"/>
      </c:valAx>
      <c:valAx>
        <c:axId val="-21368569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3427698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>
                <a:effectLst/>
              </a:rPr>
              <a:t>Single, Taxfilers and Dependants 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Sheet1!$B$36</c:f>
              <c:strCache>
                <c:ptCount val="1"/>
                <c:pt idx="0">
                  <c:v>CBSIP</c:v>
                </c:pt>
              </c:strCache>
            </c:strRef>
          </c:tx>
          <c:xVal>
            <c:numRef>
              <c:f>Sheet1!$A$37:$A$41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Sheet1!$B$37:$B$41</c:f>
              <c:numCache>
                <c:formatCode>General</c:formatCode>
                <c:ptCount val="5"/>
                <c:pt idx="1">
                  <c:v>1.457353E7</c:v>
                </c:pt>
                <c:pt idx="2">
                  <c:v>1.474947E7</c:v>
                </c:pt>
                <c:pt idx="3">
                  <c:v>1.492263E7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Sheet1!$C$36</c:f>
              <c:strCache>
                <c:ptCount val="1"/>
                <c:pt idx="0">
                  <c:v>CMSI</c:v>
                </c:pt>
              </c:strCache>
            </c:strRef>
          </c:tx>
          <c:xVal>
            <c:numRef>
              <c:f>Sheet1!$A$37:$A$41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Sheet1!$C$37:$C$41</c:f>
              <c:numCache>
                <c:formatCode>General</c:formatCode>
                <c:ptCount val="5"/>
                <c:pt idx="1">
                  <c:v>7.51113E6</c:v>
                </c:pt>
                <c:pt idx="2">
                  <c:v>7.60536E6</c:v>
                </c:pt>
                <c:pt idx="3">
                  <c:v>7.69783E6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Sheet1!$D$36</c:f>
              <c:strCache>
                <c:ptCount val="1"/>
                <c:pt idx="0">
                  <c:v>CFSI</c:v>
                </c:pt>
              </c:strCache>
            </c:strRef>
          </c:tx>
          <c:xVal>
            <c:numRef>
              <c:f>Sheet1!$A$37:$A$41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Sheet1!$D$37:$D$41</c:f>
              <c:numCache>
                <c:formatCode>General</c:formatCode>
                <c:ptCount val="5"/>
                <c:pt idx="1">
                  <c:v>7.0624E6</c:v>
                </c:pt>
                <c:pt idx="2">
                  <c:v>7.14411E6</c:v>
                </c:pt>
                <c:pt idx="3">
                  <c:v>7.22481E6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Sheet1!$E$36</c:f>
              <c:strCache>
                <c:ptCount val="1"/>
                <c:pt idx="0">
                  <c:v>CDSI</c:v>
                </c:pt>
              </c:strCache>
            </c:strRef>
          </c:tx>
          <c:xVal>
            <c:numRef>
              <c:f>Sheet1!$A$37:$A$41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Sheet1!$E$37:$E$41</c:f>
              <c:numCache>
                <c:formatCode>General</c:formatCode>
                <c:ptCount val="5"/>
                <c:pt idx="1">
                  <c:v>448730.0</c:v>
                </c:pt>
                <c:pt idx="2">
                  <c:v>461250.0</c:v>
                </c:pt>
                <c:pt idx="3">
                  <c:v>473020.0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9664344"/>
        <c:axId val="2090242632"/>
      </c:scatterChart>
      <c:valAx>
        <c:axId val="-2139664344"/>
        <c:scaling>
          <c:orientation val="minMax"/>
          <c:max val="2014.0"/>
          <c:min val="2012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90242632"/>
        <c:crosses val="autoZero"/>
        <c:crossBetween val="midCat"/>
        <c:majorUnit val="1.0"/>
      </c:valAx>
      <c:valAx>
        <c:axId val="20902426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3966434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>
                <a:effectLst/>
              </a:rPr>
              <a:t>Married, Taxfilers and Dependants 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Sheet1!$B$43</c:f>
              <c:strCache>
                <c:ptCount val="1"/>
                <c:pt idx="0">
                  <c:v>CBMD</c:v>
                </c:pt>
              </c:strCache>
            </c:strRef>
          </c:tx>
          <c:xVal>
            <c:numRef>
              <c:f>Sheet1!$A$44:$A$48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Sheet1!$B$44:$B$48</c:f>
              <c:numCache>
                <c:formatCode>General</c:formatCode>
                <c:ptCount val="5"/>
                <c:pt idx="1">
                  <c:v>1.294894E7</c:v>
                </c:pt>
                <c:pt idx="2">
                  <c:v>1.305337E7</c:v>
                </c:pt>
                <c:pt idx="3">
                  <c:v>1.316328E7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Sheet1!$C$43</c:f>
              <c:strCache>
                <c:ptCount val="1"/>
                <c:pt idx="0">
                  <c:v>CMMD</c:v>
                </c:pt>
              </c:strCache>
            </c:strRef>
          </c:tx>
          <c:xVal>
            <c:numRef>
              <c:f>Sheet1!$A$44:$A$48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Sheet1!$C$44:$C$48</c:f>
              <c:numCache>
                <c:formatCode>General</c:formatCode>
                <c:ptCount val="5"/>
                <c:pt idx="1">
                  <c:v>6.47502E6</c:v>
                </c:pt>
                <c:pt idx="2">
                  <c:v>6.52718E6</c:v>
                </c:pt>
                <c:pt idx="3">
                  <c:v>6.58172E6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Sheet1!$D$43</c:f>
              <c:strCache>
                <c:ptCount val="1"/>
                <c:pt idx="0">
                  <c:v>CFMD</c:v>
                </c:pt>
              </c:strCache>
            </c:strRef>
          </c:tx>
          <c:xVal>
            <c:numRef>
              <c:f>Sheet1!$A$44:$A$48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Sheet1!$D$44:$D$48</c:f>
              <c:numCache>
                <c:formatCode>General</c:formatCode>
                <c:ptCount val="5"/>
                <c:pt idx="1">
                  <c:v>6.47392E6</c:v>
                </c:pt>
                <c:pt idx="2">
                  <c:v>6.52619E6</c:v>
                </c:pt>
                <c:pt idx="3">
                  <c:v>6.58156E6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Sheet1!$E$43</c:f>
              <c:strCache>
                <c:ptCount val="1"/>
                <c:pt idx="0">
                  <c:v>CDMD</c:v>
                </c:pt>
              </c:strCache>
            </c:strRef>
          </c:tx>
          <c:xVal>
            <c:numRef>
              <c:f>Sheet1!$A$44:$A$48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Sheet1!$E$44:$E$48</c:f>
              <c:numCache>
                <c:formatCode>General</c:formatCode>
                <c:ptCount val="5"/>
                <c:pt idx="1">
                  <c:v>1100.0</c:v>
                </c:pt>
                <c:pt idx="2">
                  <c:v>990.0</c:v>
                </c:pt>
                <c:pt idx="3">
                  <c:v>160.0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29070632"/>
        <c:axId val="-2136993384"/>
      </c:scatterChart>
      <c:valAx>
        <c:axId val="-2129070632"/>
        <c:scaling>
          <c:orientation val="minMax"/>
          <c:max val="2014.0"/>
          <c:min val="2012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36993384"/>
        <c:crosses val="autoZero"/>
        <c:crossBetween val="midCat"/>
        <c:majorUnit val="1.0"/>
      </c:valAx>
      <c:valAx>
        <c:axId val="-21369933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2907063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Single, Married, Taxfilers and Dependants </a:t>
            </a:r>
            <a:endParaRPr lang="en-US">
              <a:effectLst/>
            </a:endParaRP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Sheet1!$B$50</c:f>
              <c:strCache>
                <c:ptCount val="1"/>
                <c:pt idx="0">
                  <c:v>CBSIP</c:v>
                </c:pt>
              </c:strCache>
            </c:strRef>
          </c:tx>
          <c:xVal>
            <c:numRef>
              <c:f>Sheet1!$A$51:$A$54</c:f>
              <c:numCache>
                <c:formatCode>General</c:formatCode>
                <c:ptCount val="4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</c:numCache>
            </c:numRef>
          </c:xVal>
          <c:yVal>
            <c:numRef>
              <c:f>Sheet1!$B$51:$B$54</c:f>
              <c:numCache>
                <c:formatCode>General</c:formatCode>
                <c:ptCount val="4"/>
                <c:pt idx="1">
                  <c:v>1.457353E7</c:v>
                </c:pt>
                <c:pt idx="2">
                  <c:v>1.474947E7</c:v>
                </c:pt>
                <c:pt idx="3">
                  <c:v>1.492263E7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Sheet1!$C$50</c:f>
              <c:strCache>
                <c:ptCount val="1"/>
                <c:pt idx="0">
                  <c:v>CMSI</c:v>
                </c:pt>
              </c:strCache>
            </c:strRef>
          </c:tx>
          <c:xVal>
            <c:numRef>
              <c:f>Sheet1!$A$51:$A$54</c:f>
              <c:numCache>
                <c:formatCode>General</c:formatCode>
                <c:ptCount val="4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</c:numCache>
            </c:numRef>
          </c:xVal>
          <c:yVal>
            <c:numRef>
              <c:f>Sheet1!$C$51:$C$54</c:f>
              <c:numCache>
                <c:formatCode>General</c:formatCode>
                <c:ptCount val="4"/>
                <c:pt idx="1">
                  <c:v>7.51113E6</c:v>
                </c:pt>
                <c:pt idx="2">
                  <c:v>7.60536E6</c:v>
                </c:pt>
                <c:pt idx="3">
                  <c:v>7.69783E6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Sheet1!$D$50</c:f>
              <c:strCache>
                <c:ptCount val="1"/>
                <c:pt idx="0">
                  <c:v>CFSI</c:v>
                </c:pt>
              </c:strCache>
            </c:strRef>
          </c:tx>
          <c:xVal>
            <c:numRef>
              <c:f>Sheet1!$A$51:$A$54</c:f>
              <c:numCache>
                <c:formatCode>General</c:formatCode>
                <c:ptCount val="4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</c:numCache>
            </c:numRef>
          </c:xVal>
          <c:yVal>
            <c:numRef>
              <c:f>Sheet1!$D$51:$D$54</c:f>
              <c:numCache>
                <c:formatCode>General</c:formatCode>
                <c:ptCount val="4"/>
                <c:pt idx="1">
                  <c:v>7.0624E6</c:v>
                </c:pt>
                <c:pt idx="2">
                  <c:v>7.14411E6</c:v>
                </c:pt>
                <c:pt idx="3">
                  <c:v>7.22481E6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Sheet1!$E$50</c:f>
              <c:strCache>
                <c:ptCount val="1"/>
                <c:pt idx="0">
                  <c:v>CDSI</c:v>
                </c:pt>
              </c:strCache>
            </c:strRef>
          </c:tx>
          <c:xVal>
            <c:numRef>
              <c:f>Sheet1!$A$51:$A$54</c:f>
              <c:numCache>
                <c:formatCode>General</c:formatCode>
                <c:ptCount val="4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</c:numCache>
            </c:numRef>
          </c:xVal>
          <c:yVal>
            <c:numRef>
              <c:f>Sheet1!$E$51:$E$54</c:f>
              <c:numCache>
                <c:formatCode>General</c:formatCode>
                <c:ptCount val="4"/>
                <c:pt idx="1">
                  <c:v>448730.0</c:v>
                </c:pt>
                <c:pt idx="2">
                  <c:v>461250.0</c:v>
                </c:pt>
                <c:pt idx="3">
                  <c:v>473020.0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Sheet1!$F$50</c:f>
              <c:strCache>
                <c:ptCount val="1"/>
                <c:pt idx="0">
                  <c:v>CBMD</c:v>
                </c:pt>
              </c:strCache>
            </c:strRef>
          </c:tx>
          <c:xVal>
            <c:numRef>
              <c:f>Sheet1!$A$51:$A$54</c:f>
              <c:numCache>
                <c:formatCode>General</c:formatCode>
                <c:ptCount val="4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</c:numCache>
            </c:numRef>
          </c:xVal>
          <c:yVal>
            <c:numRef>
              <c:f>Sheet1!$F$51:$F$54</c:f>
              <c:numCache>
                <c:formatCode>General</c:formatCode>
                <c:ptCount val="4"/>
                <c:pt idx="1">
                  <c:v>1.294894E7</c:v>
                </c:pt>
                <c:pt idx="2">
                  <c:v>1.305337E7</c:v>
                </c:pt>
                <c:pt idx="3">
                  <c:v>1.316328E7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Sheet1!$G$50</c:f>
              <c:strCache>
                <c:ptCount val="1"/>
                <c:pt idx="0">
                  <c:v>CMMD</c:v>
                </c:pt>
              </c:strCache>
            </c:strRef>
          </c:tx>
          <c:xVal>
            <c:numRef>
              <c:f>Sheet1!$A$51:$A$54</c:f>
              <c:numCache>
                <c:formatCode>General</c:formatCode>
                <c:ptCount val="4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</c:numCache>
            </c:numRef>
          </c:xVal>
          <c:yVal>
            <c:numRef>
              <c:f>Sheet1!$G$51:$G$54</c:f>
              <c:numCache>
                <c:formatCode>General</c:formatCode>
                <c:ptCount val="4"/>
                <c:pt idx="1">
                  <c:v>6.47502E6</c:v>
                </c:pt>
                <c:pt idx="2">
                  <c:v>6.52718E6</c:v>
                </c:pt>
                <c:pt idx="3">
                  <c:v>6.58172E6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Sheet1!$H$50</c:f>
              <c:strCache>
                <c:ptCount val="1"/>
                <c:pt idx="0">
                  <c:v>CFMD</c:v>
                </c:pt>
              </c:strCache>
            </c:strRef>
          </c:tx>
          <c:xVal>
            <c:numRef>
              <c:f>Sheet1!$A$51:$A$54</c:f>
              <c:numCache>
                <c:formatCode>General</c:formatCode>
                <c:ptCount val="4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</c:numCache>
            </c:numRef>
          </c:xVal>
          <c:yVal>
            <c:numRef>
              <c:f>Sheet1!$H$51:$H$54</c:f>
              <c:numCache>
                <c:formatCode>General</c:formatCode>
                <c:ptCount val="4"/>
                <c:pt idx="1">
                  <c:v>6.47392E6</c:v>
                </c:pt>
                <c:pt idx="2">
                  <c:v>6.52619E6</c:v>
                </c:pt>
                <c:pt idx="3">
                  <c:v>6.58156E6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Sheet1!$I$50</c:f>
              <c:strCache>
                <c:ptCount val="1"/>
                <c:pt idx="0">
                  <c:v>CDMD</c:v>
                </c:pt>
              </c:strCache>
            </c:strRef>
          </c:tx>
          <c:xVal>
            <c:numRef>
              <c:f>Sheet1!$A$51:$A$54</c:f>
              <c:numCache>
                <c:formatCode>General</c:formatCode>
                <c:ptCount val="4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</c:numCache>
            </c:numRef>
          </c:xVal>
          <c:yVal>
            <c:numRef>
              <c:f>Sheet1!$I$51:$I$54</c:f>
              <c:numCache>
                <c:formatCode>General</c:formatCode>
                <c:ptCount val="4"/>
                <c:pt idx="1">
                  <c:v>1100.0</c:v>
                </c:pt>
                <c:pt idx="2">
                  <c:v>990.0</c:v>
                </c:pt>
                <c:pt idx="3">
                  <c:v>160.0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29088280"/>
        <c:axId val="-2134729960"/>
      </c:scatterChart>
      <c:valAx>
        <c:axId val="-2129088280"/>
        <c:scaling>
          <c:orientation val="minMax"/>
          <c:max val="2014.0"/>
          <c:min val="2012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34729960"/>
        <c:crosses val="autoZero"/>
        <c:crossBetween val="midCat"/>
        <c:majorUnit val="1.0"/>
      </c:valAx>
      <c:valAx>
        <c:axId val="-21347299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2908828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>
                <a:effectLst/>
              </a:rPr>
              <a:t>Taxfilers and dependants aged 20 to 24 years 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Sheet1!$B$57</c:f>
              <c:strCache>
                <c:ptCount val="1"/>
                <c:pt idx="0">
                  <c:v>CB24</c:v>
                </c:pt>
              </c:strCache>
            </c:strRef>
          </c:tx>
          <c:xVal>
            <c:numRef>
              <c:f>Sheet1!$A$58:$A$61</c:f>
              <c:numCache>
                <c:formatCode>General</c:formatCode>
                <c:ptCount val="4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</c:numCache>
            </c:numRef>
          </c:xVal>
          <c:yVal>
            <c:numRef>
              <c:f>Sheet1!$B$58:$B$61</c:f>
              <c:numCache>
                <c:formatCode>General</c:formatCode>
                <c:ptCount val="4"/>
                <c:pt idx="1">
                  <c:v>2.08571E6</c:v>
                </c:pt>
                <c:pt idx="2">
                  <c:v>2.10386E6</c:v>
                </c:pt>
                <c:pt idx="3">
                  <c:v>2.1122E6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Sheet1!$C$57</c:f>
              <c:strCache>
                <c:ptCount val="1"/>
                <c:pt idx="0">
                  <c:v>CM24</c:v>
                </c:pt>
              </c:strCache>
            </c:strRef>
          </c:tx>
          <c:xVal>
            <c:numRef>
              <c:f>Sheet1!$A$58:$A$61</c:f>
              <c:numCache>
                <c:formatCode>General</c:formatCode>
                <c:ptCount val="4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</c:numCache>
            </c:numRef>
          </c:xVal>
          <c:yVal>
            <c:numRef>
              <c:f>Sheet1!$C$58:$C$61</c:f>
              <c:numCache>
                <c:formatCode>General</c:formatCode>
                <c:ptCount val="4"/>
                <c:pt idx="1">
                  <c:v>1.03795E6</c:v>
                </c:pt>
                <c:pt idx="2">
                  <c:v>1.04969E6</c:v>
                </c:pt>
                <c:pt idx="3">
                  <c:v>1.05645E6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Sheet1!$D$57</c:f>
              <c:strCache>
                <c:ptCount val="1"/>
                <c:pt idx="0">
                  <c:v>CF24</c:v>
                </c:pt>
              </c:strCache>
            </c:strRef>
          </c:tx>
          <c:xVal>
            <c:numRef>
              <c:f>Sheet1!$A$58:$A$61</c:f>
              <c:numCache>
                <c:formatCode>General</c:formatCode>
                <c:ptCount val="4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</c:numCache>
            </c:numRef>
          </c:xVal>
          <c:yVal>
            <c:numRef>
              <c:f>Sheet1!$D$58:$D$61</c:f>
              <c:numCache>
                <c:formatCode>General</c:formatCode>
                <c:ptCount val="4"/>
                <c:pt idx="1">
                  <c:v>1.04776E6</c:v>
                </c:pt>
                <c:pt idx="2">
                  <c:v>1.05417E6</c:v>
                </c:pt>
                <c:pt idx="3">
                  <c:v>1.05575E6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Sheet1!$E$57</c:f>
              <c:strCache>
                <c:ptCount val="1"/>
                <c:pt idx="0">
                  <c:v>CD24</c:v>
                </c:pt>
              </c:strCache>
            </c:strRef>
          </c:tx>
          <c:xVal>
            <c:numRef>
              <c:f>Sheet1!$A$58:$A$61</c:f>
              <c:numCache>
                <c:formatCode>General</c:formatCode>
                <c:ptCount val="4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</c:numCache>
            </c:numRef>
          </c:xVal>
          <c:yVal>
            <c:numRef>
              <c:f>Sheet1!$E$58:$E$61</c:f>
              <c:numCache>
                <c:formatCode>General</c:formatCode>
                <c:ptCount val="4"/>
                <c:pt idx="1">
                  <c:v>-9810.0</c:v>
                </c:pt>
                <c:pt idx="2">
                  <c:v>-4480.0</c:v>
                </c:pt>
                <c:pt idx="3">
                  <c:v>700.0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23792696"/>
        <c:axId val="-2124063016"/>
      </c:scatterChart>
      <c:valAx>
        <c:axId val="-2123792696"/>
        <c:scaling>
          <c:orientation val="minMax"/>
          <c:max val="2014.0"/>
          <c:min val="2012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24063016"/>
        <c:crosses val="autoZero"/>
        <c:crossBetween val="midCat"/>
        <c:majorUnit val="1.0"/>
      </c:valAx>
      <c:valAx>
        <c:axId val="-2124063016"/>
        <c:scaling>
          <c:orientation val="minMax"/>
          <c:max val="2.5E6"/>
          <c:min val="-100000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2379269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>
                <a:effectLst/>
              </a:rPr>
              <a:t>Taxfilers and dependants aged 75 years and over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Sheet1!$B$64</c:f>
              <c:strCache>
                <c:ptCount val="1"/>
                <c:pt idx="0">
                  <c:v>CB75</c:v>
                </c:pt>
              </c:strCache>
            </c:strRef>
          </c:tx>
          <c:xVal>
            <c:numRef>
              <c:f>Sheet1!$A$65:$A$68</c:f>
              <c:numCache>
                <c:formatCode>General</c:formatCode>
                <c:ptCount val="4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</c:numCache>
            </c:numRef>
          </c:xVal>
          <c:yVal>
            <c:numRef>
              <c:f>Sheet1!$B$65:$B$68</c:f>
              <c:numCache>
                <c:formatCode>General</c:formatCode>
                <c:ptCount val="4"/>
                <c:pt idx="1">
                  <c:v>2.26878E6</c:v>
                </c:pt>
                <c:pt idx="2">
                  <c:v>2.32487E6</c:v>
                </c:pt>
                <c:pt idx="3">
                  <c:v>2.38164E6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Sheet1!$C$64</c:f>
              <c:strCache>
                <c:ptCount val="1"/>
                <c:pt idx="0">
                  <c:v>CM75</c:v>
                </c:pt>
              </c:strCache>
            </c:strRef>
          </c:tx>
          <c:xVal>
            <c:numRef>
              <c:f>Sheet1!$A$65:$A$68</c:f>
              <c:numCache>
                <c:formatCode>General</c:formatCode>
                <c:ptCount val="4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</c:numCache>
            </c:numRef>
          </c:xVal>
          <c:yVal>
            <c:numRef>
              <c:f>Sheet1!$C$65:$C$68</c:f>
              <c:numCache>
                <c:formatCode>General</c:formatCode>
                <c:ptCount val="4"/>
                <c:pt idx="1">
                  <c:v>930090.0</c:v>
                </c:pt>
                <c:pt idx="2">
                  <c:v>960300.0</c:v>
                </c:pt>
                <c:pt idx="3">
                  <c:v>990410.0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Sheet1!$D$64</c:f>
              <c:strCache>
                <c:ptCount val="1"/>
                <c:pt idx="0">
                  <c:v>CF75</c:v>
                </c:pt>
              </c:strCache>
            </c:strRef>
          </c:tx>
          <c:xVal>
            <c:numRef>
              <c:f>Sheet1!$A$65:$A$68</c:f>
              <c:numCache>
                <c:formatCode>General</c:formatCode>
                <c:ptCount val="4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</c:numCache>
            </c:numRef>
          </c:xVal>
          <c:yVal>
            <c:numRef>
              <c:f>Sheet1!$D$65:$D$68</c:f>
              <c:numCache>
                <c:formatCode>General</c:formatCode>
                <c:ptCount val="4"/>
                <c:pt idx="1">
                  <c:v>1.33869E6</c:v>
                </c:pt>
                <c:pt idx="2">
                  <c:v>1.36457E6</c:v>
                </c:pt>
                <c:pt idx="3">
                  <c:v>1.39124E6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Sheet1!$E$64</c:f>
              <c:strCache>
                <c:ptCount val="1"/>
                <c:pt idx="0">
                  <c:v>CD75</c:v>
                </c:pt>
              </c:strCache>
            </c:strRef>
          </c:tx>
          <c:xVal>
            <c:numRef>
              <c:f>Sheet1!$A$65:$A$68</c:f>
              <c:numCache>
                <c:formatCode>General</c:formatCode>
                <c:ptCount val="4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</c:numCache>
            </c:numRef>
          </c:xVal>
          <c:yVal>
            <c:numRef>
              <c:f>Sheet1!$E$65:$E$68</c:f>
              <c:numCache>
                <c:formatCode>General</c:formatCode>
                <c:ptCount val="4"/>
                <c:pt idx="1">
                  <c:v>-408600.0</c:v>
                </c:pt>
                <c:pt idx="2">
                  <c:v>-404270.0</c:v>
                </c:pt>
                <c:pt idx="3">
                  <c:v>-400830.0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22898152"/>
        <c:axId val="-2122899576"/>
      </c:scatterChart>
      <c:valAx>
        <c:axId val="-2122898152"/>
        <c:scaling>
          <c:orientation val="minMax"/>
          <c:max val="2014.0"/>
          <c:min val="2012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22899576"/>
        <c:crosses val="autoZero"/>
        <c:crossBetween val="midCat"/>
        <c:majorUnit val="1.0"/>
      </c:valAx>
      <c:valAx>
        <c:axId val="-2122899576"/>
        <c:scaling>
          <c:orientation val="minMax"/>
          <c:max val="3.0E6"/>
          <c:min val="-500000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2289815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Taxfilers and dependants aged 20 to 24 years  and 75 years and over</a:t>
            </a:r>
            <a:endParaRPr lang="en-US">
              <a:effectLst/>
            </a:endParaRP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Sheet1!$B$70</c:f>
              <c:strCache>
                <c:ptCount val="1"/>
                <c:pt idx="0">
                  <c:v>CB24</c:v>
                </c:pt>
              </c:strCache>
            </c:strRef>
          </c:tx>
          <c:xVal>
            <c:numRef>
              <c:f>Sheet1!$A$71:$A$74</c:f>
              <c:numCache>
                <c:formatCode>General</c:formatCode>
                <c:ptCount val="4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</c:numCache>
            </c:numRef>
          </c:xVal>
          <c:yVal>
            <c:numRef>
              <c:f>Sheet1!$B$71:$B$74</c:f>
              <c:numCache>
                <c:formatCode>General</c:formatCode>
                <c:ptCount val="4"/>
                <c:pt idx="1">
                  <c:v>2.08571E6</c:v>
                </c:pt>
                <c:pt idx="2">
                  <c:v>2.10386E6</c:v>
                </c:pt>
                <c:pt idx="3">
                  <c:v>2.1122E6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Sheet1!$C$70</c:f>
              <c:strCache>
                <c:ptCount val="1"/>
                <c:pt idx="0">
                  <c:v>CM24</c:v>
                </c:pt>
              </c:strCache>
            </c:strRef>
          </c:tx>
          <c:xVal>
            <c:numRef>
              <c:f>Sheet1!$A$71:$A$74</c:f>
              <c:numCache>
                <c:formatCode>General</c:formatCode>
                <c:ptCount val="4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</c:numCache>
            </c:numRef>
          </c:xVal>
          <c:yVal>
            <c:numRef>
              <c:f>Sheet1!$C$71:$C$74</c:f>
              <c:numCache>
                <c:formatCode>General</c:formatCode>
                <c:ptCount val="4"/>
                <c:pt idx="1">
                  <c:v>1.03795E6</c:v>
                </c:pt>
                <c:pt idx="2">
                  <c:v>1.04969E6</c:v>
                </c:pt>
                <c:pt idx="3">
                  <c:v>1.05645E6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Sheet1!$D$70</c:f>
              <c:strCache>
                <c:ptCount val="1"/>
                <c:pt idx="0">
                  <c:v>CF24</c:v>
                </c:pt>
              </c:strCache>
            </c:strRef>
          </c:tx>
          <c:xVal>
            <c:numRef>
              <c:f>Sheet1!$A$71:$A$74</c:f>
              <c:numCache>
                <c:formatCode>General</c:formatCode>
                <c:ptCount val="4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</c:numCache>
            </c:numRef>
          </c:xVal>
          <c:yVal>
            <c:numRef>
              <c:f>Sheet1!$D$71:$D$74</c:f>
              <c:numCache>
                <c:formatCode>General</c:formatCode>
                <c:ptCount val="4"/>
                <c:pt idx="1">
                  <c:v>1.04776E6</c:v>
                </c:pt>
                <c:pt idx="2">
                  <c:v>1.05417E6</c:v>
                </c:pt>
                <c:pt idx="3">
                  <c:v>1.05575E6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Sheet1!$E$70</c:f>
              <c:strCache>
                <c:ptCount val="1"/>
                <c:pt idx="0">
                  <c:v>CD24</c:v>
                </c:pt>
              </c:strCache>
            </c:strRef>
          </c:tx>
          <c:xVal>
            <c:numRef>
              <c:f>Sheet1!$A$71:$A$74</c:f>
              <c:numCache>
                <c:formatCode>General</c:formatCode>
                <c:ptCount val="4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</c:numCache>
            </c:numRef>
          </c:xVal>
          <c:yVal>
            <c:numRef>
              <c:f>Sheet1!$E$71:$E$74</c:f>
              <c:numCache>
                <c:formatCode>General</c:formatCode>
                <c:ptCount val="4"/>
                <c:pt idx="1">
                  <c:v>-9810.0</c:v>
                </c:pt>
                <c:pt idx="2">
                  <c:v>-4480.0</c:v>
                </c:pt>
                <c:pt idx="3">
                  <c:v>700.0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Sheet1!$F$70</c:f>
              <c:strCache>
                <c:ptCount val="1"/>
                <c:pt idx="0">
                  <c:v>CB75</c:v>
                </c:pt>
              </c:strCache>
            </c:strRef>
          </c:tx>
          <c:xVal>
            <c:numRef>
              <c:f>Sheet1!$A$71:$A$74</c:f>
              <c:numCache>
                <c:formatCode>General</c:formatCode>
                <c:ptCount val="4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</c:numCache>
            </c:numRef>
          </c:xVal>
          <c:yVal>
            <c:numRef>
              <c:f>Sheet1!$F$71:$F$74</c:f>
              <c:numCache>
                <c:formatCode>General</c:formatCode>
                <c:ptCount val="4"/>
                <c:pt idx="1">
                  <c:v>2.26878E6</c:v>
                </c:pt>
                <c:pt idx="2">
                  <c:v>2.32487E6</c:v>
                </c:pt>
                <c:pt idx="3">
                  <c:v>2.38164E6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Sheet1!$G$70</c:f>
              <c:strCache>
                <c:ptCount val="1"/>
                <c:pt idx="0">
                  <c:v>CM75</c:v>
                </c:pt>
              </c:strCache>
            </c:strRef>
          </c:tx>
          <c:xVal>
            <c:numRef>
              <c:f>Sheet1!$A$71:$A$74</c:f>
              <c:numCache>
                <c:formatCode>General</c:formatCode>
                <c:ptCount val="4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</c:numCache>
            </c:numRef>
          </c:xVal>
          <c:yVal>
            <c:numRef>
              <c:f>Sheet1!$G$71:$G$74</c:f>
              <c:numCache>
                <c:formatCode>General</c:formatCode>
                <c:ptCount val="4"/>
                <c:pt idx="1">
                  <c:v>930090.0</c:v>
                </c:pt>
                <c:pt idx="2">
                  <c:v>960300.0</c:v>
                </c:pt>
                <c:pt idx="3">
                  <c:v>990410.0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Sheet1!$H$70</c:f>
              <c:strCache>
                <c:ptCount val="1"/>
                <c:pt idx="0">
                  <c:v>CF75</c:v>
                </c:pt>
              </c:strCache>
            </c:strRef>
          </c:tx>
          <c:xVal>
            <c:numRef>
              <c:f>Sheet1!$A$71:$A$74</c:f>
              <c:numCache>
                <c:formatCode>General</c:formatCode>
                <c:ptCount val="4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</c:numCache>
            </c:numRef>
          </c:xVal>
          <c:yVal>
            <c:numRef>
              <c:f>Sheet1!$H$71:$H$74</c:f>
              <c:numCache>
                <c:formatCode>General</c:formatCode>
                <c:ptCount val="4"/>
                <c:pt idx="1">
                  <c:v>1.33869E6</c:v>
                </c:pt>
                <c:pt idx="2">
                  <c:v>1.36457E6</c:v>
                </c:pt>
                <c:pt idx="3">
                  <c:v>1.39124E6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Sheet1!$I$70</c:f>
              <c:strCache>
                <c:ptCount val="1"/>
                <c:pt idx="0">
                  <c:v>CD75</c:v>
                </c:pt>
              </c:strCache>
            </c:strRef>
          </c:tx>
          <c:xVal>
            <c:numRef>
              <c:f>Sheet1!$A$71:$A$74</c:f>
              <c:numCache>
                <c:formatCode>General</c:formatCode>
                <c:ptCount val="4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</c:numCache>
            </c:numRef>
          </c:xVal>
          <c:yVal>
            <c:numRef>
              <c:f>Sheet1!$I$71:$I$74</c:f>
              <c:numCache>
                <c:formatCode>General</c:formatCode>
                <c:ptCount val="4"/>
                <c:pt idx="1">
                  <c:v>-408600.0</c:v>
                </c:pt>
                <c:pt idx="2">
                  <c:v>-404270.0</c:v>
                </c:pt>
                <c:pt idx="3">
                  <c:v>-400830.0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3018648"/>
        <c:axId val="-2129722920"/>
      </c:scatterChart>
      <c:valAx>
        <c:axId val="-2133018648"/>
        <c:scaling>
          <c:orientation val="minMax"/>
          <c:max val="2014.0"/>
          <c:min val="2012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29722920"/>
        <c:crosses val="autoZero"/>
        <c:crossBetween val="midCat"/>
        <c:majorUnit val="1.0"/>
      </c:valAx>
      <c:valAx>
        <c:axId val="-2129722920"/>
        <c:scaling>
          <c:orientation val="minMax"/>
          <c:max val="2.5E6"/>
          <c:min val="-500000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3301864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>
                <a:effectLst/>
              </a:rPr>
              <a:t>Percentage of taxfilers and dependants aged 20 to 24 years 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Sheet1!$B$77</c:f>
              <c:strCache>
                <c:ptCount val="1"/>
                <c:pt idx="0">
                  <c:v>CBP24</c:v>
                </c:pt>
              </c:strCache>
            </c:strRef>
          </c:tx>
          <c:xVal>
            <c:numRef>
              <c:f>Sheet1!$A$78:$A$81</c:f>
              <c:numCache>
                <c:formatCode>General</c:formatCode>
                <c:ptCount val="4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</c:numCache>
            </c:numRef>
          </c:xVal>
          <c:yVal>
            <c:numRef>
              <c:f>Sheet1!$B$78:$B$81</c:f>
              <c:numCache>
                <c:formatCode>General</c:formatCode>
                <c:ptCount val="4"/>
                <c:pt idx="1">
                  <c:v>6.0</c:v>
                </c:pt>
                <c:pt idx="2">
                  <c:v>6.0</c:v>
                </c:pt>
                <c:pt idx="3">
                  <c:v>6.0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Sheet1!$C$77</c:f>
              <c:strCache>
                <c:ptCount val="1"/>
                <c:pt idx="0">
                  <c:v>CMP24</c:v>
                </c:pt>
              </c:strCache>
            </c:strRef>
          </c:tx>
          <c:xVal>
            <c:numRef>
              <c:f>Sheet1!$A$78:$A$81</c:f>
              <c:numCache>
                <c:formatCode>General</c:formatCode>
                <c:ptCount val="4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</c:numCache>
            </c:numRef>
          </c:xVal>
          <c:yVal>
            <c:numRef>
              <c:f>Sheet1!$C$78:$C$81</c:f>
              <c:numCache>
                <c:formatCode>General</c:formatCode>
                <c:ptCount val="4"/>
                <c:pt idx="1">
                  <c:v>6.0</c:v>
                </c:pt>
                <c:pt idx="2">
                  <c:v>6.0</c:v>
                </c:pt>
                <c:pt idx="3">
                  <c:v>6.0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Sheet1!$D$77</c:f>
              <c:strCache>
                <c:ptCount val="1"/>
                <c:pt idx="0">
                  <c:v>CFP24</c:v>
                </c:pt>
              </c:strCache>
            </c:strRef>
          </c:tx>
          <c:xVal>
            <c:numRef>
              <c:f>Sheet1!$A$78:$A$81</c:f>
              <c:numCache>
                <c:formatCode>General</c:formatCode>
                <c:ptCount val="4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</c:numCache>
            </c:numRef>
          </c:xVal>
          <c:yVal>
            <c:numRef>
              <c:f>Sheet1!$D$78:$D$81</c:f>
              <c:numCache>
                <c:formatCode>General</c:formatCode>
                <c:ptCount val="4"/>
                <c:pt idx="1">
                  <c:v>6.0</c:v>
                </c:pt>
                <c:pt idx="2">
                  <c:v>6.0</c:v>
                </c:pt>
                <c:pt idx="3">
                  <c:v>6.0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Sheet1!$E$77</c:f>
              <c:strCache>
                <c:ptCount val="1"/>
                <c:pt idx="0">
                  <c:v>CDP24</c:v>
                </c:pt>
              </c:strCache>
            </c:strRef>
          </c:tx>
          <c:xVal>
            <c:numRef>
              <c:f>Sheet1!$A$78:$A$81</c:f>
              <c:numCache>
                <c:formatCode>General</c:formatCode>
                <c:ptCount val="4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</c:numCache>
            </c:numRef>
          </c:xVal>
          <c:yVal>
            <c:numRef>
              <c:f>Sheet1!$E$78:$E$81</c:f>
              <c:numCache>
                <c:formatCode>General</c:formatCode>
                <c:ptCount val="4"/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9947848"/>
        <c:axId val="-2136939624"/>
      </c:scatterChart>
      <c:valAx>
        <c:axId val="-2139947848"/>
        <c:scaling>
          <c:orientation val="minMax"/>
          <c:max val="2014.0"/>
          <c:min val="2012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36939624"/>
        <c:crosses val="autoZero"/>
        <c:crossBetween val="midCat"/>
        <c:majorUnit val="1.0"/>
      </c:valAx>
      <c:valAx>
        <c:axId val="-21369396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3994784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>
                <a:effectLst/>
              </a:rPr>
              <a:t>Percentage of taxfilers and dependants aged 75 years and over 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Sheet1!$B$85</c:f>
              <c:strCache>
                <c:ptCount val="1"/>
                <c:pt idx="0">
                  <c:v>CBP75</c:v>
                </c:pt>
              </c:strCache>
            </c:strRef>
          </c:tx>
          <c:xVal>
            <c:numRef>
              <c:f>Sheet1!$A$86:$A$90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Sheet1!$B$86:$B$90</c:f>
              <c:numCache>
                <c:formatCode>General</c:formatCode>
                <c:ptCount val="5"/>
                <c:pt idx="1">
                  <c:v>7.0</c:v>
                </c:pt>
                <c:pt idx="2">
                  <c:v>7.0</c:v>
                </c:pt>
                <c:pt idx="3">
                  <c:v>7.0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Sheet1!$C$85</c:f>
              <c:strCache>
                <c:ptCount val="1"/>
                <c:pt idx="0">
                  <c:v>CMP75</c:v>
                </c:pt>
              </c:strCache>
            </c:strRef>
          </c:tx>
          <c:xVal>
            <c:numRef>
              <c:f>Sheet1!$A$86:$A$90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Sheet1!$C$86:$C$90</c:f>
              <c:numCache>
                <c:formatCode>General</c:formatCode>
                <c:ptCount val="5"/>
                <c:pt idx="1">
                  <c:v>6.0</c:v>
                </c:pt>
                <c:pt idx="2">
                  <c:v>6.0</c:v>
                </c:pt>
                <c:pt idx="3">
                  <c:v>6.0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Sheet1!$D$85</c:f>
              <c:strCache>
                <c:ptCount val="1"/>
                <c:pt idx="0">
                  <c:v>CFP75</c:v>
                </c:pt>
              </c:strCache>
            </c:strRef>
          </c:tx>
          <c:xVal>
            <c:numRef>
              <c:f>Sheet1!$A$86:$A$90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Sheet1!$D$86:$D$90</c:f>
              <c:numCache>
                <c:formatCode>General</c:formatCode>
                <c:ptCount val="5"/>
                <c:pt idx="1">
                  <c:v>8.0</c:v>
                </c:pt>
                <c:pt idx="2">
                  <c:v>8.0</c:v>
                </c:pt>
                <c:pt idx="3">
                  <c:v>8.0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Sheet1!$E$85</c:f>
              <c:strCache>
                <c:ptCount val="1"/>
                <c:pt idx="0">
                  <c:v>CDP75</c:v>
                </c:pt>
              </c:strCache>
            </c:strRef>
          </c:tx>
          <c:xVal>
            <c:numRef>
              <c:f>Sheet1!$A$86:$A$90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Sheet1!$E$86:$E$90</c:f>
              <c:numCache>
                <c:formatCode>General</c:formatCode>
                <c:ptCount val="5"/>
                <c:pt idx="1">
                  <c:v>-2.0</c:v>
                </c:pt>
                <c:pt idx="2">
                  <c:v>-2.0</c:v>
                </c:pt>
                <c:pt idx="3">
                  <c:v>-2.0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2561128"/>
        <c:axId val="-2135422984"/>
      </c:scatterChart>
      <c:valAx>
        <c:axId val="2092561128"/>
        <c:scaling>
          <c:orientation val="minMax"/>
          <c:max val="2014.0"/>
          <c:min val="2012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35422984"/>
        <c:crosses val="autoZero"/>
        <c:crossBetween val="midCat"/>
        <c:majorUnit val="1.0"/>
      </c:valAx>
      <c:valAx>
        <c:axId val="-2135422984"/>
        <c:scaling>
          <c:orientation val="minMax"/>
          <c:max val="8.0"/>
          <c:min val="-2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9256112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Percentage of taxfilers and dependants aged 20 to 24 years and 75 years and over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Sheet1!$B$92</c:f>
              <c:strCache>
                <c:ptCount val="1"/>
                <c:pt idx="0">
                  <c:v>CBP24</c:v>
                </c:pt>
              </c:strCache>
            </c:strRef>
          </c:tx>
          <c:xVal>
            <c:numRef>
              <c:f>Sheet1!$A$93:$A$96</c:f>
              <c:numCache>
                <c:formatCode>General</c:formatCode>
                <c:ptCount val="4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</c:numCache>
            </c:numRef>
          </c:xVal>
          <c:yVal>
            <c:numRef>
              <c:f>Sheet1!$B$93:$B$96</c:f>
              <c:numCache>
                <c:formatCode>General</c:formatCode>
                <c:ptCount val="4"/>
                <c:pt idx="1">
                  <c:v>6.0</c:v>
                </c:pt>
                <c:pt idx="2">
                  <c:v>6.0</c:v>
                </c:pt>
                <c:pt idx="3">
                  <c:v>6.0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Sheet1!$C$92</c:f>
              <c:strCache>
                <c:ptCount val="1"/>
                <c:pt idx="0">
                  <c:v>CMP24</c:v>
                </c:pt>
              </c:strCache>
            </c:strRef>
          </c:tx>
          <c:xVal>
            <c:numRef>
              <c:f>Sheet1!$A$93:$A$96</c:f>
              <c:numCache>
                <c:formatCode>General</c:formatCode>
                <c:ptCount val="4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</c:numCache>
            </c:numRef>
          </c:xVal>
          <c:yVal>
            <c:numRef>
              <c:f>Sheet1!$C$93:$C$96</c:f>
              <c:numCache>
                <c:formatCode>General</c:formatCode>
                <c:ptCount val="4"/>
                <c:pt idx="1">
                  <c:v>6.0</c:v>
                </c:pt>
                <c:pt idx="2">
                  <c:v>6.0</c:v>
                </c:pt>
                <c:pt idx="3">
                  <c:v>6.0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Sheet1!$D$92</c:f>
              <c:strCache>
                <c:ptCount val="1"/>
                <c:pt idx="0">
                  <c:v>CFP24</c:v>
                </c:pt>
              </c:strCache>
            </c:strRef>
          </c:tx>
          <c:xVal>
            <c:numRef>
              <c:f>Sheet1!$A$93:$A$96</c:f>
              <c:numCache>
                <c:formatCode>General</c:formatCode>
                <c:ptCount val="4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</c:numCache>
            </c:numRef>
          </c:xVal>
          <c:yVal>
            <c:numRef>
              <c:f>Sheet1!$D$93:$D$96</c:f>
              <c:numCache>
                <c:formatCode>General</c:formatCode>
                <c:ptCount val="4"/>
                <c:pt idx="1">
                  <c:v>6.0</c:v>
                </c:pt>
                <c:pt idx="2">
                  <c:v>6.0</c:v>
                </c:pt>
                <c:pt idx="3">
                  <c:v>6.0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Sheet1!$E$92</c:f>
              <c:strCache>
                <c:ptCount val="1"/>
                <c:pt idx="0">
                  <c:v>CDP24</c:v>
                </c:pt>
              </c:strCache>
            </c:strRef>
          </c:tx>
          <c:xVal>
            <c:numRef>
              <c:f>Sheet1!$A$93:$A$96</c:f>
              <c:numCache>
                <c:formatCode>General</c:formatCode>
                <c:ptCount val="4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</c:numCache>
            </c:numRef>
          </c:xVal>
          <c:yVal>
            <c:numRef>
              <c:f>Sheet1!$E$93:$E$96</c:f>
              <c:numCache>
                <c:formatCode>General</c:formatCode>
                <c:ptCount val="4"/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Sheet1!$F$92</c:f>
              <c:strCache>
                <c:ptCount val="1"/>
                <c:pt idx="0">
                  <c:v>CBP75</c:v>
                </c:pt>
              </c:strCache>
            </c:strRef>
          </c:tx>
          <c:xVal>
            <c:numRef>
              <c:f>Sheet1!$A$93:$A$96</c:f>
              <c:numCache>
                <c:formatCode>General</c:formatCode>
                <c:ptCount val="4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</c:numCache>
            </c:numRef>
          </c:xVal>
          <c:yVal>
            <c:numRef>
              <c:f>Sheet1!$F$93:$F$96</c:f>
              <c:numCache>
                <c:formatCode>General</c:formatCode>
                <c:ptCount val="4"/>
                <c:pt idx="1">
                  <c:v>7.0</c:v>
                </c:pt>
                <c:pt idx="2">
                  <c:v>7.0</c:v>
                </c:pt>
                <c:pt idx="3">
                  <c:v>7.0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Sheet1!$G$92</c:f>
              <c:strCache>
                <c:ptCount val="1"/>
                <c:pt idx="0">
                  <c:v>CMP75</c:v>
                </c:pt>
              </c:strCache>
            </c:strRef>
          </c:tx>
          <c:xVal>
            <c:numRef>
              <c:f>Sheet1!$A$93:$A$96</c:f>
              <c:numCache>
                <c:formatCode>General</c:formatCode>
                <c:ptCount val="4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</c:numCache>
            </c:numRef>
          </c:xVal>
          <c:yVal>
            <c:numRef>
              <c:f>Sheet1!$G$93:$G$96</c:f>
              <c:numCache>
                <c:formatCode>General</c:formatCode>
                <c:ptCount val="4"/>
                <c:pt idx="1">
                  <c:v>6.0</c:v>
                </c:pt>
                <c:pt idx="2">
                  <c:v>6.0</c:v>
                </c:pt>
                <c:pt idx="3">
                  <c:v>6.0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Sheet1!$H$92</c:f>
              <c:strCache>
                <c:ptCount val="1"/>
                <c:pt idx="0">
                  <c:v>CFP75</c:v>
                </c:pt>
              </c:strCache>
            </c:strRef>
          </c:tx>
          <c:xVal>
            <c:numRef>
              <c:f>Sheet1!$A$93:$A$96</c:f>
              <c:numCache>
                <c:formatCode>General</c:formatCode>
                <c:ptCount val="4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</c:numCache>
            </c:numRef>
          </c:xVal>
          <c:yVal>
            <c:numRef>
              <c:f>Sheet1!$H$93:$H$96</c:f>
              <c:numCache>
                <c:formatCode>General</c:formatCode>
                <c:ptCount val="4"/>
                <c:pt idx="1">
                  <c:v>8.0</c:v>
                </c:pt>
                <c:pt idx="2">
                  <c:v>8.0</c:v>
                </c:pt>
                <c:pt idx="3">
                  <c:v>8.0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Sheet1!$I$92</c:f>
              <c:strCache>
                <c:ptCount val="1"/>
                <c:pt idx="0">
                  <c:v>CDP75</c:v>
                </c:pt>
              </c:strCache>
            </c:strRef>
          </c:tx>
          <c:xVal>
            <c:numRef>
              <c:f>Sheet1!$A$93:$A$96</c:f>
              <c:numCache>
                <c:formatCode>General</c:formatCode>
                <c:ptCount val="4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</c:numCache>
            </c:numRef>
          </c:xVal>
          <c:yVal>
            <c:numRef>
              <c:f>Sheet1!$I$93:$I$96</c:f>
              <c:numCache>
                <c:formatCode>General</c:formatCode>
                <c:ptCount val="4"/>
                <c:pt idx="1">
                  <c:v>-2.0</c:v>
                </c:pt>
                <c:pt idx="2">
                  <c:v>-2.0</c:v>
                </c:pt>
                <c:pt idx="3">
                  <c:v>-2.0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06055432"/>
        <c:axId val="-2106058552"/>
      </c:scatterChart>
      <c:valAx>
        <c:axId val="-2106055432"/>
        <c:scaling>
          <c:orientation val="minMax"/>
          <c:max val="2014.0"/>
          <c:min val="2012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06058552"/>
        <c:crosses val="autoZero"/>
        <c:crossBetween val="midCat"/>
        <c:majorUnit val="1.0"/>
      </c:valAx>
      <c:valAx>
        <c:axId val="-2106058552"/>
        <c:scaling>
          <c:orientation val="minMax"/>
          <c:max val="8.0"/>
          <c:min val="-2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06055432"/>
        <c:crosses val="autoZero"/>
        <c:crossBetween val="midCat"/>
        <c:majorUnit val="1.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Sheet1!$B$99</c:f>
              <c:strCache>
                <c:ptCount val="1"/>
                <c:pt idx="0">
                  <c:v>CMAG</c:v>
                </c:pt>
              </c:strCache>
            </c:strRef>
          </c:tx>
          <c:xVal>
            <c:numRef>
              <c:f>Sheet1!$A$100:$A$104</c:f>
              <c:numCache>
                <c:formatCode>General</c:formatCode>
                <c:ptCount val="5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</c:numCache>
            </c:numRef>
          </c:xVal>
          <c:yVal>
            <c:numRef>
              <c:f>Sheet1!$B$100:$B$104</c:f>
              <c:numCache>
                <c:formatCode>General</c:formatCode>
                <c:ptCount val="5"/>
                <c:pt idx="1">
                  <c:v>39.0</c:v>
                </c:pt>
                <c:pt idx="2">
                  <c:v>40.0</c:v>
                </c:pt>
                <c:pt idx="3">
                  <c:v>40.0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05852600"/>
        <c:axId val="-2107937096"/>
      </c:scatterChart>
      <c:valAx>
        <c:axId val="-2105852600"/>
        <c:scaling>
          <c:orientation val="minMax"/>
          <c:max val="2014.0"/>
          <c:min val="2012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07937096"/>
        <c:crosses val="autoZero"/>
        <c:crossBetween val="midCat"/>
        <c:majorUnit val="1.0"/>
      </c:valAx>
      <c:valAx>
        <c:axId val="-21079370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Age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0585260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812800</xdr:colOff>
      <xdr:row>7</xdr:row>
      <xdr:rowOff>6350</xdr:rowOff>
    </xdr:from>
    <xdr:to>
      <xdr:col>26</xdr:col>
      <xdr:colOff>431800</xdr:colOff>
      <xdr:row>21</xdr:row>
      <xdr:rowOff>82550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0</xdr:colOff>
      <xdr:row>7</xdr:row>
      <xdr:rowOff>6350</xdr:rowOff>
    </xdr:from>
    <xdr:to>
      <xdr:col>32</xdr:col>
      <xdr:colOff>444500</xdr:colOff>
      <xdr:row>21</xdr:row>
      <xdr:rowOff>82550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12700</xdr:colOff>
      <xdr:row>7</xdr:row>
      <xdr:rowOff>19050</xdr:rowOff>
    </xdr:from>
    <xdr:to>
      <xdr:col>38</xdr:col>
      <xdr:colOff>457200</xdr:colOff>
      <xdr:row>21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38100</xdr:colOff>
      <xdr:row>28</xdr:row>
      <xdr:rowOff>6350</xdr:rowOff>
    </xdr:from>
    <xdr:to>
      <xdr:col>32</xdr:col>
      <xdr:colOff>482600</xdr:colOff>
      <xdr:row>42</xdr:row>
      <xdr:rowOff>82550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812800</xdr:colOff>
      <xdr:row>28</xdr:row>
      <xdr:rowOff>6350</xdr:rowOff>
    </xdr:from>
    <xdr:to>
      <xdr:col>26</xdr:col>
      <xdr:colOff>431800</xdr:colOff>
      <xdr:row>42</xdr:row>
      <xdr:rowOff>82550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12700</xdr:colOff>
      <xdr:row>35</xdr:row>
      <xdr:rowOff>31750</xdr:rowOff>
    </xdr:from>
    <xdr:to>
      <xdr:col>15</xdr:col>
      <xdr:colOff>457200</xdr:colOff>
      <xdr:row>49</xdr:row>
      <xdr:rowOff>107950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12700</xdr:colOff>
      <xdr:row>50</xdr:row>
      <xdr:rowOff>158750</xdr:rowOff>
    </xdr:from>
    <xdr:to>
      <xdr:col>15</xdr:col>
      <xdr:colOff>457200</xdr:colOff>
      <xdr:row>65</xdr:row>
      <xdr:rowOff>44450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812800</xdr:colOff>
      <xdr:row>51</xdr:row>
      <xdr:rowOff>6350</xdr:rowOff>
    </xdr:from>
    <xdr:to>
      <xdr:col>21</xdr:col>
      <xdr:colOff>431800</xdr:colOff>
      <xdr:row>65</xdr:row>
      <xdr:rowOff>82550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25400</xdr:colOff>
      <xdr:row>66</xdr:row>
      <xdr:rowOff>31750</xdr:rowOff>
    </xdr:from>
    <xdr:to>
      <xdr:col>15</xdr:col>
      <xdr:colOff>469900</xdr:colOff>
      <xdr:row>80</xdr:row>
      <xdr:rowOff>107950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25400</xdr:colOff>
      <xdr:row>66</xdr:row>
      <xdr:rowOff>31750</xdr:rowOff>
    </xdr:from>
    <xdr:to>
      <xdr:col>21</xdr:col>
      <xdr:colOff>469900</xdr:colOff>
      <xdr:row>80</xdr:row>
      <xdr:rowOff>107950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0</xdr:colOff>
      <xdr:row>82</xdr:row>
      <xdr:rowOff>6350</xdr:rowOff>
    </xdr:from>
    <xdr:to>
      <xdr:col>15</xdr:col>
      <xdr:colOff>444500</xdr:colOff>
      <xdr:row>96</xdr:row>
      <xdr:rowOff>82550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12700</xdr:colOff>
      <xdr:row>81</xdr:row>
      <xdr:rowOff>184150</xdr:rowOff>
    </xdr:from>
    <xdr:to>
      <xdr:col>21</xdr:col>
      <xdr:colOff>457200</xdr:colOff>
      <xdr:row>96</xdr:row>
      <xdr:rowOff>69850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812800</xdr:colOff>
      <xdr:row>97</xdr:row>
      <xdr:rowOff>184150</xdr:rowOff>
    </xdr:from>
    <xdr:to>
      <xdr:col>15</xdr:col>
      <xdr:colOff>431800</xdr:colOff>
      <xdr:row>112</xdr:row>
      <xdr:rowOff>69850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25400</xdr:colOff>
      <xdr:row>98</xdr:row>
      <xdr:rowOff>19050</xdr:rowOff>
    </xdr:from>
    <xdr:to>
      <xdr:col>21</xdr:col>
      <xdr:colOff>469900</xdr:colOff>
      <xdr:row>112</xdr:row>
      <xdr:rowOff>95250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787400</xdr:colOff>
      <xdr:row>113</xdr:row>
      <xdr:rowOff>19050</xdr:rowOff>
    </xdr:from>
    <xdr:to>
      <xdr:col>15</xdr:col>
      <xdr:colOff>406400</xdr:colOff>
      <xdr:row>127</xdr:row>
      <xdr:rowOff>95250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36"/>
  <sheetViews>
    <sheetView tabSelected="1" topLeftCell="A114" workbookViewId="0">
      <selection activeCell="C125" sqref="C125"/>
    </sheetView>
  </sheetViews>
  <sheetFormatPr baseColWidth="10" defaultRowHeight="15" x14ac:dyDescent="0"/>
  <sheetData>
    <row r="1" spans="1:20">
      <c r="A1" s="1" t="s">
        <v>0</v>
      </c>
      <c r="B1" s="2" t="s">
        <v>49</v>
      </c>
      <c r="C1" s="2" t="s">
        <v>50</v>
      </c>
      <c r="D1" s="2" t="s">
        <v>51</v>
      </c>
      <c r="E1" s="2" t="s">
        <v>48</v>
      </c>
    </row>
    <row r="2" spans="1:20">
      <c r="A2" s="1">
        <v>2011</v>
      </c>
      <c r="B2" s="3"/>
      <c r="C2" s="3"/>
      <c r="D2" s="3"/>
    </row>
    <row r="3" spans="1:20">
      <c r="A3" s="1">
        <v>2012</v>
      </c>
      <c r="B3" s="3">
        <v>33399630</v>
      </c>
      <c r="C3" s="3">
        <v>16275110</v>
      </c>
      <c r="D3" s="3">
        <v>17124520</v>
      </c>
      <c r="E3">
        <f>D3-C3</f>
        <v>849410</v>
      </c>
    </row>
    <row r="4" spans="1:20">
      <c r="A4" s="1">
        <v>2013</v>
      </c>
      <c r="B4" s="3">
        <v>33784140</v>
      </c>
      <c r="C4" s="3">
        <v>16475000</v>
      </c>
      <c r="D4" s="3">
        <v>17309140</v>
      </c>
      <c r="E4">
        <f t="shared" ref="E4:E5" si="0">D4-C4</f>
        <v>834140</v>
      </c>
    </row>
    <row r="5" spans="1:20">
      <c r="A5" s="1">
        <v>2014</v>
      </c>
      <c r="B5" s="3">
        <v>34164940</v>
      </c>
      <c r="C5" s="3">
        <v>16671910</v>
      </c>
      <c r="D5" s="3">
        <v>17493040</v>
      </c>
      <c r="E5">
        <f t="shared" si="0"/>
        <v>821130</v>
      </c>
    </row>
    <row r="6" spans="1:20">
      <c r="A6" s="1">
        <v>2015</v>
      </c>
      <c r="B6" s="3"/>
      <c r="C6" s="3"/>
      <c r="D6" s="3"/>
    </row>
    <row r="8" spans="1:20">
      <c r="A8" s="1" t="s">
        <v>0</v>
      </c>
      <c r="B8" s="2" t="s">
        <v>64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7</v>
      </c>
      <c r="I8" s="2" t="s">
        <v>8</v>
      </c>
      <c r="J8" s="2" t="s">
        <v>9</v>
      </c>
      <c r="K8" s="2" t="s">
        <v>10</v>
      </c>
      <c r="L8" s="2" t="s">
        <v>11</v>
      </c>
      <c r="M8" s="2" t="s">
        <v>12</v>
      </c>
      <c r="N8" s="2" t="s">
        <v>13</v>
      </c>
      <c r="O8" s="2" t="s">
        <v>15</v>
      </c>
      <c r="P8" s="2" t="s">
        <v>14</v>
      </c>
      <c r="Q8" s="2" t="s">
        <v>16</v>
      </c>
      <c r="R8" s="2" t="s">
        <v>17</v>
      </c>
      <c r="S8" s="2" t="s">
        <v>18</v>
      </c>
      <c r="T8" s="2" t="s">
        <v>19</v>
      </c>
    </row>
    <row r="9" spans="1:20">
      <c r="A9" s="1">
        <v>2011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>
      <c r="A10" s="1">
        <v>2012</v>
      </c>
      <c r="B10" s="3">
        <v>14573530</v>
      </c>
      <c r="C10" s="3">
        <v>12948940</v>
      </c>
      <c r="D10" s="3">
        <v>2085710</v>
      </c>
      <c r="E10" s="3">
        <v>2268780</v>
      </c>
      <c r="F10" s="3">
        <v>6</v>
      </c>
      <c r="G10" s="3">
        <v>7</v>
      </c>
      <c r="H10" s="3">
        <v>39</v>
      </c>
      <c r="I10" s="3">
        <v>7511130</v>
      </c>
      <c r="J10" s="3">
        <v>6475020</v>
      </c>
      <c r="K10" s="3">
        <v>1037950</v>
      </c>
      <c r="L10" s="3">
        <v>930090</v>
      </c>
      <c r="M10" s="3">
        <v>6</v>
      </c>
      <c r="N10" s="3">
        <v>6</v>
      </c>
      <c r="O10" s="3">
        <v>7062400</v>
      </c>
      <c r="P10" s="3">
        <v>6473920</v>
      </c>
      <c r="Q10" s="3">
        <v>1047760</v>
      </c>
      <c r="R10" s="3">
        <v>1338690</v>
      </c>
      <c r="S10" s="3">
        <v>6</v>
      </c>
      <c r="T10" s="3">
        <v>8</v>
      </c>
    </row>
    <row r="11" spans="1:20">
      <c r="A11" s="1">
        <v>2013</v>
      </c>
      <c r="B11" s="3">
        <v>14749470</v>
      </c>
      <c r="C11" s="3">
        <v>13053370</v>
      </c>
      <c r="D11" s="3">
        <v>2103860</v>
      </c>
      <c r="E11" s="3">
        <v>2324870</v>
      </c>
      <c r="F11" s="3">
        <v>6</v>
      </c>
      <c r="G11" s="3">
        <v>7</v>
      </c>
      <c r="H11" s="3">
        <v>40</v>
      </c>
      <c r="I11" s="3">
        <v>7605360</v>
      </c>
      <c r="J11" s="3">
        <v>6527180</v>
      </c>
      <c r="K11" s="3">
        <v>1049690</v>
      </c>
      <c r="L11" s="3">
        <v>960300</v>
      </c>
      <c r="M11" s="3">
        <v>6</v>
      </c>
      <c r="N11" s="3">
        <v>6</v>
      </c>
      <c r="O11" s="3">
        <v>7144110</v>
      </c>
      <c r="P11" s="3">
        <v>6526190</v>
      </c>
      <c r="Q11" s="3">
        <v>1054170</v>
      </c>
      <c r="R11" s="3">
        <v>1364570</v>
      </c>
      <c r="S11" s="3">
        <v>6</v>
      </c>
      <c r="T11" s="3">
        <v>8</v>
      </c>
    </row>
    <row r="12" spans="1:20">
      <c r="A12" s="1">
        <v>2014</v>
      </c>
      <c r="B12" s="3">
        <v>14922630</v>
      </c>
      <c r="C12" s="3">
        <v>13163280</v>
      </c>
      <c r="D12" s="3">
        <v>2112200</v>
      </c>
      <c r="E12" s="3">
        <v>2381640</v>
      </c>
      <c r="F12" s="3">
        <v>6</v>
      </c>
      <c r="G12" s="3">
        <v>7</v>
      </c>
      <c r="H12" s="3">
        <v>40</v>
      </c>
      <c r="I12" s="3">
        <v>7697830</v>
      </c>
      <c r="J12" s="3">
        <v>6581720</v>
      </c>
      <c r="K12" s="3">
        <v>1056450</v>
      </c>
      <c r="L12" s="3">
        <v>990410</v>
      </c>
      <c r="M12" s="3">
        <v>6</v>
      </c>
      <c r="N12" s="3">
        <v>6</v>
      </c>
      <c r="O12" s="3">
        <v>7224810</v>
      </c>
      <c r="P12" s="3">
        <v>6581560</v>
      </c>
      <c r="Q12" s="3">
        <v>1055750</v>
      </c>
      <c r="R12" s="3">
        <v>1391240</v>
      </c>
      <c r="S12" s="3">
        <v>6</v>
      </c>
      <c r="T12" s="3">
        <v>8</v>
      </c>
    </row>
    <row r="13" spans="1:20">
      <c r="A13" s="1">
        <v>2015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>
      <c r="A14" s="1"/>
    </row>
    <row r="15" spans="1:20">
      <c r="A15" s="1" t="s">
        <v>0</v>
      </c>
      <c r="B15" s="2" t="s">
        <v>20</v>
      </c>
      <c r="C15" s="2" t="s">
        <v>21</v>
      </c>
      <c r="D15" s="2" t="s">
        <v>22</v>
      </c>
      <c r="E15" s="2" t="s">
        <v>23</v>
      </c>
      <c r="F15" s="2" t="s">
        <v>24</v>
      </c>
      <c r="G15" s="2" t="s">
        <v>25</v>
      </c>
      <c r="H15" s="2" t="s">
        <v>26</v>
      </c>
      <c r="I15" s="2" t="s">
        <v>27</v>
      </c>
      <c r="J15" s="2" t="s">
        <v>28</v>
      </c>
      <c r="K15" s="2" t="s">
        <v>29</v>
      </c>
      <c r="L15" s="2" t="s">
        <v>30</v>
      </c>
      <c r="M15" s="2" t="s">
        <v>31</v>
      </c>
      <c r="N15" s="2" t="s">
        <v>32</v>
      </c>
      <c r="O15" s="2" t="s">
        <v>33</v>
      </c>
    </row>
    <row r="16" spans="1:20">
      <c r="A16" s="1">
        <v>2011</v>
      </c>
      <c r="B16" s="3">
        <v>34342780</v>
      </c>
      <c r="C16" s="3">
        <v>525037</v>
      </c>
      <c r="D16" s="3">
        <v>144038</v>
      </c>
      <c r="E16" s="3">
        <v>944469</v>
      </c>
      <c r="F16" s="3">
        <v>755530</v>
      </c>
      <c r="G16" s="3">
        <v>8007656</v>
      </c>
      <c r="H16" s="3">
        <v>13263544</v>
      </c>
      <c r="I16" s="3">
        <v>1233728</v>
      </c>
      <c r="J16" s="3">
        <v>1066349</v>
      </c>
      <c r="K16" s="3">
        <v>3790191</v>
      </c>
      <c r="L16" s="3">
        <v>4499139</v>
      </c>
      <c r="M16" s="3">
        <v>35402</v>
      </c>
      <c r="N16" s="3">
        <v>43501</v>
      </c>
      <c r="O16" s="3">
        <v>34196</v>
      </c>
    </row>
    <row r="17" spans="1:19">
      <c r="A17" s="1">
        <v>2012</v>
      </c>
      <c r="B17" s="3">
        <v>34751476</v>
      </c>
      <c r="C17" s="3">
        <v>526895</v>
      </c>
      <c r="D17" s="3">
        <v>145259</v>
      </c>
      <c r="E17" s="3">
        <v>944835</v>
      </c>
      <c r="F17" s="3">
        <v>756836</v>
      </c>
      <c r="G17" s="3">
        <v>8084768</v>
      </c>
      <c r="H17" s="3">
        <v>13409558</v>
      </c>
      <c r="I17" s="3">
        <v>1250406</v>
      </c>
      <c r="J17" s="3">
        <v>1087223</v>
      </c>
      <c r="K17" s="3">
        <v>3888552</v>
      </c>
      <c r="L17" s="3">
        <v>4542578</v>
      </c>
      <c r="M17" s="3">
        <v>36189</v>
      </c>
      <c r="N17" s="3">
        <v>43648</v>
      </c>
      <c r="O17" s="3">
        <v>34729</v>
      </c>
    </row>
    <row r="18" spans="1:19">
      <c r="A18" s="1">
        <v>2013</v>
      </c>
      <c r="B18" s="3">
        <v>35155499</v>
      </c>
      <c r="C18" s="3">
        <v>528017</v>
      </c>
      <c r="D18" s="3">
        <v>145441</v>
      </c>
      <c r="E18" s="3">
        <v>942991</v>
      </c>
      <c r="F18" s="3">
        <v>755718</v>
      </c>
      <c r="G18" s="3">
        <v>8154761</v>
      </c>
      <c r="H18" s="3">
        <v>13551004</v>
      </c>
      <c r="I18" s="3">
        <v>1265342</v>
      </c>
      <c r="J18" s="3">
        <v>1106122</v>
      </c>
      <c r="K18" s="3">
        <v>4007748</v>
      </c>
      <c r="L18" s="3">
        <v>4582607</v>
      </c>
      <c r="M18" s="3">
        <v>36429</v>
      </c>
      <c r="N18" s="3">
        <v>43884</v>
      </c>
      <c r="O18" s="3">
        <v>35435</v>
      </c>
    </row>
    <row r="19" spans="1:19">
      <c r="A19" s="1">
        <v>2014</v>
      </c>
      <c r="B19" s="3">
        <v>35543658</v>
      </c>
      <c r="C19" s="3">
        <v>529069</v>
      </c>
      <c r="D19" s="3">
        <v>146162</v>
      </c>
      <c r="E19" s="3">
        <v>942387</v>
      </c>
      <c r="F19" s="3">
        <v>754578</v>
      </c>
      <c r="G19" s="3">
        <v>8214885</v>
      </c>
      <c r="H19" s="3">
        <v>13677687</v>
      </c>
      <c r="I19" s="3">
        <v>1280242</v>
      </c>
      <c r="J19" s="3">
        <v>1122283</v>
      </c>
      <c r="K19" s="3">
        <v>4120897</v>
      </c>
      <c r="L19" s="3">
        <v>4638415</v>
      </c>
      <c r="M19" s="3">
        <v>36990</v>
      </c>
      <c r="N19" s="3">
        <v>43980</v>
      </c>
      <c r="O19" s="3">
        <v>36083</v>
      </c>
    </row>
    <row r="20" spans="1:19">
      <c r="A20" s="1">
        <v>2015</v>
      </c>
      <c r="B20" s="3">
        <v>35851774</v>
      </c>
      <c r="C20" s="3">
        <v>527756</v>
      </c>
      <c r="D20" s="3">
        <v>146447</v>
      </c>
      <c r="E20" s="3">
        <v>943002</v>
      </c>
      <c r="F20" s="3">
        <v>753871</v>
      </c>
      <c r="G20" s="3">
        <v>8263600</v>
      </c>
      <c r="H20" s="3">
        <v>13792052</v>
      </c>
      <c r="I20" s="3">
        <v>1293378</v>
      </c>
      <c r="J20" s="3">
        <v>1133637</v>
      </c>
      <c r="K20" s="3">
        <v>4196457</v>
      </c>
      <c r="L20" s="3">
        <v>4683139</v>
      </c>
      <c r="M20" s="3">
        <v>37428</v>
      </c>
      <c r="N20" s="3">
        <v>44088</v>
      </c>
      <c r="O20" s="3">
        <v>36919</v>
      </c>
    </row>
    <row r="22" spans="1:19">
      <c r="A22" s="2" t="s">
        <v>58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38</v>
      </c>
      <c r="G22" s="2" t="s">
        <v>39</v>
      </c>
      <c r="H22" s="2" t="s">
        <v>40</v>
      </c>
      <c r="I22" s="2" t="s">
        <v>41</v>
      </c>
      <c r="J22" s="2" t="s">
        <v>42</v>
      </c>
      <c r="K22" s="2" t="s">
        <v>43</v>
      </c>
      <c r="L22" s="2" t="s">
        <v>44</v>
      </c>
      <c r="M22" s="2" t="s">
        <v>45</v>
      </c>
      <c r="N22" s="2" t="s">
        <v>46</v>
      </c>
      <c r="O22" s="2" t="s">
        <v>47</v>
      </c>
    </row>
    <row r="23" spans="1:19">
      <c r="A23" s="3" t="s">
        <v>59</v>
      </c>
      <c r="B23" s="3">
        <v>749510</v>
      </c>
      <c r="C23" s="3">
        <v>5220</v>
      </c>
      <c r="D23" s="3">
        <v>2360</v>
      </c>
      <c r="E23" s="3">
        <v>14500</v>
      </c>
      <c r="F23" s="3">
        <v>6683</v>
      </c>
      <c r="G23" s="3">
        <v>113675</v>
      </c>
      <c r="H23" s="3">
        <v>311510</v>
      </c>
      <c r="I23" s="3">
        <v>15593</v>
      </c>
      <c r="J23" s="3">
        <v>14898</v>
      </c>
      <c r="K23" s="3">
        <v>90242</v>
      </c>
      <c r="L23" s="3">
        <v>174101</v>
      </c>
      <c r="M23" s="3">
        <v>365</v>
      </c>
      <c r="N23" s="3">
        <v>320</v>
      </c>
      <c r="O23" s="3">
        <v>43</v>
      </c>
    </row>
    <row r="24" spans="1:19">
      <c r="A24" s="3" t="s">
        <v>60</v>
      </c>
      <c r="B24" s="3">
        <v>771572</v>
      </c>
      <c r="C24" s="3">
        <v>5613</v>
      </c>
      <c r="D24" s="3">
        <v>2539</v>
      </c>
      <c r="E24" s="3">
        <v>15938</v>
      </c>
      <c r="F24" s="3">
        <v>7045</v>
      </c>
      <c r="G24" s="3">
        <v>116100</v>
      </c>
      <c r="H24" s="3">
        <v>326762</v>
      </c>
      <c r="I24" s="3">
        <v>16805</v>
      </c>
      <c r="J24" s="3">
        <v>15333</v>
      </c>
      <c r="K24" s="3">
        <v>87580</v>
      </c>
      <c r="L24" s="3">
        <v>177049</v>
      </c>
      <c r="M24" s="3">
        <v>382</v>
      </c>
      <c r="N24" s="3">
        <v>322</v>
      </c>
      <c r="O24" s="3">
        <v>104</v>
      </c>
    </row>
    <row r="25" spans="1:19">
      <c r="A25" s="3" t="s">
        <v>61</v>
      </c>
      <c r="B25" s="3">
        <v>745333</v>
      </c>
      <c r="C25" s="3">
        <v>5647</v>
      </c>
      <c r="D25" s="3">
        <v>2627</v>
      </c>
      <c r="E25" s="3">
        <v>15853</v>
      </c>
      <c r="F25" s="3">
        <v>7177</v>
      </c>
      <c r="G25" s="3">
        <v>110686</v>
      </c>
      <c r="H25" s="3">
        <v>316412</v>
      </c>
      <c r="I25" s="3">
        <v>18001</v>
      </c>
      <c r="J25" s="3">
        <v>15387</v>
      </c>
      <c r="K25" s="3">
        <v>84039</v>
      </c>
      <c r="L25" s="3">
        <v>168738</v>
      </c>
      <c r="M25" s="3">
        <v>345</v>
      </c>
      <c r="N25" s="3">
        <v>323</v>
      </c>
      <c r="O25" s="3">
        <v>98</v>
      </c>
    </row>
    <row r="26" spans="1:19">
      <c r="A26" s="3" t="s">
        <v>62</v>
      </c>
      <c r="B26" s="3">
        <v>757821</v>
      </c>
      <c r="C26" s="3">
        <v>5702</v>
      </c>
      <c r="D26" s="3">
        <v>2634</v>
      </c>
      <c r="E26" s="3">
        <v>16503</v>
      </c>
      <c r="F26" s="3">
        <v>6959</v>
      </c>
      <c r="G26" s="3">
        <v>111551</v>
      </c>
      <c r="H26" s="3">
        <v>328848</v>
      </c>
      <c r="I26" s="3">
        <v>18941</v>
      </c>
      <c r="J26" s="3">
        <v>15592</v>
      </c>
      <c r="K26" s="3">
        <v>82059</v>
      </c>
      <c r="L26" s="3">
        <v>168307</v>
      </c>
      <c r="M26" s="3">
        <v>377</v>
      </c>
      <c r="N26" s="3">
        <v>306</v>
      </c>
      <c r="O26" s="3">
        <v>42</v>
      </c>
    </row>
    <row r="27" spans="1:19">
      <c r="A27" s="3" t="s">
        <v>63</v>
      </c>
      <c r="B27" s="3">
        <v>787662</v>
      </c>
      <c r="C27" s="3">
        <v>6077</v>
      </c>
      <c r="D27" s="3">
        <v>3045</v>
      </c>
      <c r="E27" s="3">
        <v>17295</v>
      </c>
      <c r="F27" s="3">
        <v>7630</v>
      </c>
      <c r="G27" s="3">
        <v>119752</v>
      </c>
      <c r="H27" s="3">
        <v>345190</v>
      </c>
      <c r="I27" s="3">
        <v>20449</v>
      </c>
      <c r="J27" s="3">
        <v>16095</v>
      </c>
      <c r="K27" s="3">
        <v>80426</v>
      </c>
      <c r="L27" s="3">
        <v>170834</v>
      </c>
      <c r="M27" s="3">
        <v>479</v>
      </c>
      <c r="N27" s="3">
        <v>321</v>
      </c>
      <c r="O27" s="3">
        <v>69</v>
      </c>
    </row>
    <row r="29" spans="1:19">
      <c r="A29" s="2" t="s">
        <v>0</v>
      </c>
      <c r="B29" s="2" t="s">
        <v>49</v>
      </c>
      <c r="C29" s="2" t="s">
        <v>50</v>
      </c>
      <c r="D29" s="2" t="s">
        <v>51</v>
      </c>
      <c r="E29" s="2" t="s">
        <v>48</v>
      </c>
      <c r="F29" s="2" t="s">
        <v>20</v>
      </c>
      <c r="G29" s="2" t="s">
        <v>21</v>
      </c>
      <c r="H29" s="2" t="s">
        <v>22</v>
      </c>
      <c r="I29" s="2" t="s">
        <v>23</v>
      </c>
      <c r="J29" s="2" t="s">
        <v>24</v>
      </c>
      <c r="K29" s="2" t="s">
        <v>25</v>
      </c>
      <c r="L29" s="2" t="s">
        <v>26</v>
      </c>
      <c r="M29" s="2" t="s">
        <v>27</v>
      </c>
      <c r="N29" s="2" t="s">
        <v>28</v>
      </c>
      <c r="O29" s="2" t="s">
        <v>29</v>
      </c>
      <c r="P29" s="2" t="s">
        <v>30</v>
      </c>
      <c r="Q29" s="2" t="s">
        <v>31</v>
      </c>
      <c r="R29" s="2" t="s">
        <v>32</v>
      </c>
      <c r="S29" s="2" t="s">
        <v>33</v>
      </c>
    </row>
    <row r="30" spans="1:19">
      <c r="A30" s="2">
        <v>2011</v>
      </c>
      <c r="B30" s="3"/>
      <c r="C30" s="3"/>
      <c r="D30" s="3"/>
      <c r="F30" s="3">
        <v>34342780</v>
      </c>
      <c r="G30" s="3">
        <v>525037</v>
      </c>
      <c r="H30" s="3">
        <v>144038</v>
      </c>
      <c r="I30" s="3">
        <v>944469</v>
      </c>
      <c r="J30" s="3">
        <v>755530</v>
      </c>
      <c r="K30" s="3">
        <v>8007656</v>
      </c>
      <c r="L30" s="3">
        <v>13263544</v>
      </c>
      <c r="M30" s="3">
        <v>1233728</v>
      </c>
      <c r="N30" s="3">
        <v>1066349</v>
      </c>
      <c r="O30" s="3">
        <v>3790191</v>
      </c>
      <c r="P30" s="3">
        <v>4499139</v>
      </c>
      <c r="Q30" s="3">
        <v>35402</v>
      </c>
      <c r="R30" s="3">
        <v>43501</v>
      </c>
      <c r="S30" s="3">
        <v>34196</v>
      </c>
    </row>
    <row r="31" spans="1:19">
      <c r="A31" s="2">
        <v>2012</v>
      </c>
      <c r="B31" s="3">
        <v>33399630</v>
      </c>
      <c r="C31" s="3">
        <v>16275110</v>
      </c>
      <c r="D31" s="3">
        <v>17124520</v>
      </c>
      <c r="E31">
        <f>D31-C31</f>
        <v>849410</v>
      </c>
      <c r="F31" s="3">
        <v>34751476</v>
      </c>
      <c r="G31" s="3">
        <v>526895</v>
      </c>
      <c r="H31" s="3">
        <v>145259</v>
      </c>
      <c r="I31" s="3">
        <v>944835</v>
      </c>
      <c r="J31" s="3">
        <v>756836</v>
      </c>
      <c r="K31" s="3">
        <v>8084768</v>
      </c>
      <c r="L31" s="3">
        <v>13409558</v>
      </c>
      <c r="M31" s="3">
        <v>1250406</v>
      </c>
      <c r="N31" s="3">
        <v>1087223</v>
      </c>
      <c r="O31" s="3">
        <v>3888552</v>
      </c>
      <c r="P31" s="3">
        <v>4542578</v>
      </c>
      <c r="Q31" s="3">
        <v>36189</v>
      </c>
      <c r="R31" s="3">
        <v>43648</v>
      </c>
      <c r="S31" s="3">
        <v>34729</v>
      </c>
    </row>
    <row r="32" spans="1:19">
      <c r="A32" s="2">
        <v>2013</v>
      </c>
      <c r="B32" s="3">
        <v>33784140</v>
      </c>
      <c r="C32" s="3">
        <v>16475000</v>
      </c>
      <c r="D32" s="3">
        <v>17309140</v>
      </c>
      <c r="E32">
        <f t="shared" ref="E32:E33" si="1">D32-C32</f>
        <v>834140</v>
      </c>
      <c r="F32" s="3">
        <v>35155499</v>
      </c>
      <c r="G32" s="3">
        <v>528017</v>
      </c>
      <c r="H32" s="3">
        <v>145441</v>
      </c>
      <c r="I32" s="3">
        <v>942991</v>
      </c>
      <c r="J32" s="3">
        <v>755718</v>
      </c>
      <c r="K32" s="3">
        <v>8154761</v>
      </c>
      <c r="L32" s="3">
        <v>13551004</v>
      </c>
      <c r="M32" s="3">
        <v>1265342</v>
      </c>
      <c r="N32" s="3">
        <v>1106122</v>
      </c>
      <c r="O32" s="3">
        <v>4007748</v>
      </c>
      <c r="P32" s="3">
        <v>4582607</v>
      </c>
      <c r="Q32" s="3">
        <v>36429</v>
      </c>
      <c r="R32" s="3">
        <v>43884</v>
      </c>
      <c r="S32" s="3">
        <v>35435</v>
      </c>
    </row>
    <row r="33" spans="1:19">
      <c r="A33" s="2">
        <v>2014</v>
      </c>
      <c r="B33" s="3">
        <v>34164940</v>
      </c>
      <c r="C33" s="3">
        <v>16671910</v>
      </c>
      <c r="D33" s="3">
        <v>17493040</v>
      </c>
      <c r="E33">
        <f t="shared" si="1"/>
        <v>821130</v>
      </c>
      <c r="F33" s="3">
        <v>35543658</v>
      </c>
      <c r="G33" s="3">
        <v>529069</v>
      </c>
      <c r="H33" s="3">
        <v>146162</v>
      </c>
      <c r="I33" s="3">
        <v>942387</v>
      </c>
      <c r="J33" s="3">
        <v>754578</v>
      </c>
      <c r="K33" s="3">
        <v>8214885</v>
      </c>
      <c r="L33" s="3">
        <v>13677687</v>
      </c>
      <c r="M33" s="3">
        <v>1280242</v>
      </c>
      <c r="N33" s="3">
        <v>1122283</v>
      </c>
      <c r="O33" s="3">
        <v>4120897</v>
      </c>
      <c r="P33" s="3">
        <v>4638415</v>
      </c>
      <c r="Q33" s="3">
        <v>36990</v>
      </c>
      <c r="R33" s="3">
        <v>43980</v>
      </c>
      <c r="S33" s="3">
        <v>36083</v>
      </c>
    </row>
    <row r="34" spans="1:19">
      <c r="A34" s="2">
        <v>2015</v>
      </c>
      <c r="B34" s="3"/>
      <c r="C34" s="3"/>
      <c r="D34" s="3"/>
      <c r="F34" s="3">
        <v>35851774</v>
      </c>
      <c r="G34" s="3">
        <v>527756</v>
      </c>
      <c r="H34" s="3">
        <v>146447</v>
      </c>
      <c r="I34" s="3">
        <v>943002</v>
      </c>
      <c r="J34" s="3">
        <v>753871</v>
      </c>
      <c r="K34" s="3">
        <v>8263600</v>
      </c>
      <c r="L34" s="3">
        <v>13792052</v>
      </c>
      <c r="M34" s="3">
        <v>1293378</v>
      </c>
      <c r="N34" s="3">
        <v>1133637</v>
      </c>
      <c r="O34" s="3">
        <v>4196457</v>
      </c>
      <c r="P34" s="3">
        <v>4683139</v>
      </c>
      <c r="Q34" s="3">
        <v>37428</v>
      </c>
      <c r="R34" s="3">
        <v>44088</v>
      </c>
      <c r="S34" s="3">
        <v>36919</v>
      </c>
    </row>
    <row r="36" spans="1:19">
      <c r="A36" s="2" t="s">
        <v>0</v>
      </c>
      <c r="B36" s="2" t="s">
        <v>1</v>
      </c>
      <c r="C36" s="2" t="s">
        <v>8</v>
      </c>
      <c r="D36" s="2" t="s">
        <v>15</v>
      </c>
      <c r="E36" s="2" t="s">
        <v>52</v>
      </c>
    </row>
    <row r="37" spans="1:19">
      <c r="A37" s="2">
        <v>2011</v>
      </c>
      <c r="B37" s="3"/>
      <c r="C37" s="3"/>
      <c r="D37" s="3"/>
    </row>
    <row r="38" spans="1:19">
      <c r="A38" s="2">
        <v>2012</v>
      </c>
      <c r="B38" s="3">
        <v>14573530</v>
      </c>
      <c r="C38" s="3">
        <v>7511130</v>
      </c>
      <c r="D38" s="3">
        <v>7062400</v>
      </c>
      <c r="E38">
        <f>C38-D38</f>
        <v>448730</v>
      </c>
    </row>
    <row r="39" spans="1:19">
      <c r="A39" s="2">
        <v>2013</v>
      </c>
      <c r="B39" s="3">
        <v>14749470</v>
      </c>
      <c r="C39" s="3">
        <v>7605360</v>
      </c>
      <c r="D39" s="3">
        <v>7144110</v>
      </c>
      <c r="E39">
        <f t="shared" ref="E39:E47" si="2">C39-D39</f>
        <v>461250</v>
      </c>
    </row>
    <row r="40" spans="1:19">
      <c r="A40" s="2">
        <v>2014</v>
      </c>
      <c r="B40" s="3">
        <v>14922630</v>
      </c>
      <c r="C40" s="3">
        <v>7697830</v>
      </c>
      <c r="D40" s="3">
        <v>7224810</v>
      </c>
      <c r="E40">
        <f t="shared" si="2"/>
        <v>473020</v>
      </c>
    </row>
    <row r="41" spans="1:19">
      <c r="A41" s="2">
        <v>2015</v>
      </c>
      <c r="B41" s="3"/>
      <c r="C41" s="3"/>
      <c r="D41" s="3"/>
    </row>
    <row r="42" spans="1:19">
      <c r="A42" s="2"/>
      <c r="B42" s="3"/>
      <c r="C42" s="3"/>
    </row>
    <row r="43" spans="1:19">
      <c r="A43" s="2" t="s">
        <v>0</v>
      </c>
      <c r="B43" s="2" t="s">
        <v>2</v>
      </c>
      <c r="C43" s="2" t="s">
        <v>9</v>
      </c>
      <c r="D43" s="2" t="s">
        <v>14</v>
      </c>
      <c r="E43" s="2" t="s">
        <v>53</v>
      </c>
    </row>
    <row r="44" spans="1:19">
      <c r="A44" s="2">
        <v>2011</v>
      </c>
      <c r="B44" s="3"/>
      <c r="C44" s="3"/>
      <c r="D44" s="3"/>
    </row>
    <row r="45" spans="1:19">
      <c r="A45" s="2">
        <v>2012</v>
      </c>
      <c r="B45" s="3">
        <v>12948940</v>
      </c>
      <c r="C45" s="3">
        <v>6475020</v>
      </c>
      <c r="D45" s="3">
        <v>6473920</v>
      </c>
      <c r="E45">
        <f t="shared" si="2"/>
        <v>1100</v>
      </c>
    </row>
    <row r="46" spans="1:19">
      <c r="A46" s="2">
        <v>2013</v>
      </c>
      <c r="B46" s="3">
        <v>13053370</v>
      </c>
      <c r="C46" s="3">
        <v>6527180</v>
      </c>
      <c r="D46" s="3">
        <v>6526190</v>
      </c>
      <c r="E46">
        <f t="shared" si="2"/>
        <v>990</v>
      </c>
    </row>
    <row r="47" spans="1:19">
      <c r="A47" s="2">
        <v>2014</v>
      </c>
      <c r="B47" s="3">
        <v>13163280</v>
      </c>
      <c r="C47" s="3">
        <v>6581720</v>
      </c>
      <c r="D47" s="3">
        <v>6581560</v>
      </c>
      <c r="E47">
        <f t="shared" si="2"/>
        <v>160</v>
      </c>
    </row>
    <row r="48" spans="1:19">
      <c r="A48" s="2">
        <v>2015</v>
      </c>
      <c r="B48" s="3"/>
      <c r="C48" s="3"/>
      <c r="D48" s="3"/>
    </row>
    <row r="49" spans="1:9">
      <c r="A49" s="2"/>
      <c r="B49" s="3"/>
      <c r="C49" s="3"/>
    </row>
    <row r="50" spans="1:9">
      <c r="A50" s="2" t="s">
        <v>0</v>
      </c>
      <c r="B50" s="2" t="s">
        <v>1</v>
      </c>
      <c r="C50" s="2" t="s">
        <v>8</v>
      </c>
      <c r="D50" s="2" t="s">
        <v>15</v>
      </c>
      <c r="E50" s="2" t="s">
        <v>52</v>
      </c>
      <c r="F50" s="2" t="s">
        <v>2</v>
      </c>
      <c r="G50" s="2" t="s">
        <v>9</v>
      </c>
      <c r="H50" s="2" t="s">
        <v>14</v>
      </c>
      <c r="I50" s="2" t="s">
        <v>53</v>
      </c>
    </row>
    <row r="51" spans="1:9">
      <c r="A51" s="2">
        <v>2011</v>
      </c>
      <c r="B51" s="3"/>
      <c r="C51" s="3"/>
      <c r="D51" s="3"/>
      <c r="F51" s="3"/>
      <c r="G51" s="3"/>
      <c r="H51" s="3"/>
    </row>
    <row r="52" spans="1:9">
      <c r="A52" s="2">
        <v>2012</v>
      </c>
      <c r="B52" s="3">
        <v>14573530</v>
      </c>
      <c r="C52" s="3">
        <v>7511130</v>
      </c>
      <c r="D52" s="3">
        <v>7062400</v>
      </c>
      <c r="E52">
        <f>C52-D52</f>
        <v>448730</v>
      </c>
      <c r="F52" s="3">
        <v>12948940</v>
      </c>
      <c r="G52" s="3">
        <v>6475020</v>
      </c>
      <c r="H52" s="3">
        <v>6473920</v>
      </c>
      <c r="I52">
        <f t="shared" ref="I52:I54" si="3">G52-H52</f>
        <v>1100</v>
      </c>
    </row>
    <row r="53" spans="1:9">
      <c r="A53" s="2">
        <v>2013</v>
      </c>
      <c r="B53" s="3">
        <v>14749470</v>
      </c>
      <c r="C53" s="3">
        <v>7605360</v>
      </c>
      <c r="D53" s="3">
        <v>7144110</v>
      </c>
      <c r="E53">
        <f t="shared" ref="E53:E54" si="4">C53-D53</f>
        <v>461250</v>
      </c>
      <c r="F53" s="3">
        <v>13053370</v>
      </c>
      <c r="G53" s="3">
        <v>6527180</v>
      </c>
      <c r="H53" s="3">
        <v>6526190</v>
      </c>
      <c r="I53">
        <f t="shared" si="3"/>
        <v>990</v>
      </c>
    </row>
    <row r="54" spans="1:9">
      <c r="A54" s="2">
        <v>2014</v>
      </c>
      <c r="B54" s="3">
        <v>14922630</v>
      </c>
      <c r="C54" s="3">
        <v>7697830</v>
      </c>
      <c r="D54" s="3">
        <v>7224810</v>
      </c>
      <c r="E54">
        <f t="shared" si="4"/>
        <v>473020</v>
      </c>
      <c r="F54" s="3">
        <v>13163280</v>
      </c>
      <c r="G54" s="3">
        <v>6581720</v>
      </c>
      <c r="H54" s="3">
        <v>6581560</v>
      </c>
      <c r="I54">
        <f t="shared" si="3"/>
        <v>160</v>
      </c>
    </row>
    <row r="55" spans="1:9">
      <c r="A55" s="2">
        <v>2015</v>
      </c>
      <c r="B55" s="3"/>
      <c r="C55" s="3"/>
      <c r="D55" s="3"/>
      <c r="F55" s="3"/>
      <c r="G55" s="3"/>
      <c r="H55" s="3"/>
    </row>
    <row r="56" spans="1:9">
      <c r="A56" s="2"/>
      <c r="B56" s="3"/>
      <c r="C56" s="3"/>
    </row>
    <row r="57" spans="1:9">
      <c r="A57" s="2" t="s">
        <v>0</v>
      </c>
      <c r="B57" s="2" t="s">
        <v>3</v>
      </c>
      <c r="C57" s="2" t="s">
        <v>10</v>
      </c>
      <c r="D57" s="2" t="s">
        <v>16</v>
      </c>
      <c r="E57" s="2" t="s">
        <v>54</v>
      </c>
    </row>
    <row r="58" spans="1:9">
      <c r="A58" s="2">
        <v>2011</v>
      </c>
      <c r="B58" s="3"/>
      <c r="C58" s="3"/>
      <c r="D58" s="3"/>
      <c r="E58" s="3"/>
    </row>
    <row r="59" spans="1:9">
      <c r="A59" s="2">
        <v>2012</v>
      </c>
      <c r="B59" s="3">
        <v>2085710</v>
      </c>
      <c r="C59" s="3">
        <v>1037950</v>
      </c>
      <c r="D59" s="3">
        <v>1047760</v>
      </c>
      <c r="E59" s="3">
        <f>C59-D59</f>
        <v>-9810</v>
      </c>
    </row>
    <row r="60" spans="1:9">
      <c r="A60" s="2">
        <v>2013</v>
      </c>
      <c r="B60" s="3">
        <v>2103860</v>
      </c>
      <c r="C60" s="3">
        <v>1049690</v>
      </c>
      <c r="D60" s="3">
        <v>1054170</v>
      </c>
      <c r="E60" s="3">
        <f t="shared" ref="E60:E61" si="5">C60-D60</f>
        <v>-4480</v>
      </c>
    </row>
    <row r="61" spans="1:9">
      <c r="A61" s="2">
        <v>2014</v>
      </c>
      <c r="B61" s="3">
        <v>2112200</v>
      </c>
      <c r="C61" s="3">
        <v>1056450</v>
      </c>
      <c r="D61" s="3">
        <v>1055750</v>
      </c>
      <c r="E61" s="3">
        <f t="shared" si="5"/>
        <v>700</v>
      </c>
    </row>
    <row r="62" spans="1:9">
      <c r="A62" s="2">
        <v>2015</v>
      </c>
      <c r="B62" s="3"/>
      <c r="C62" s="3"/>
      <c r="D62" s="3"/>
    </row>
    <row r="63" spans="1:9">
      <c r="A63" s="2"/>
      <c r="B63" s="3"/>
      <c r="C63" s="3"/>
      <c r="D63" s="3"/>
      <c r="E63" s="3"/>
    </row>
    <row r="64" spans="1:9" s="1" customFormat="1">
      <c r="A64" s="2" t="s">
        <v>0</v>
      </c>
      <c r="B64" s="2" t="s">
        <v>4</v>
      </c>
      <c r="C64" s="2" t="s">
        <v>11</v>
      </c>
      <c r="D64" s="2" t="s">
        <v>17</v>
      </c>
      <c r="E64" s="2" t="s">
        <v>55</v>
      </c>
    </row>
    <row r="65" spans="1:9">
      <c r="A65" s="2">
        <v>2011</v>
      </c>
      <c r="B65" s="3"/>
      <c r="C65" s="3"/>
      <c r="D65" s="3"/>
      <c r="E65" s="3"/>
    </row>
    <row r="66" spans="1:9">
      <c r="A66" s="2">
        <v>2012</v>
      </c>
      <c r="B66" s="3">
        <v>2268780</v>
      </c>
      <c r="C66" s="3">
        <v>930090</v>
      </c>
      <c r="D66" s="3">
        <v>1338690</v>
      </c>
      <c r="E66" s="3">
        <f>C66-D66</f>
        <v>-408600</v>
      </c>
    </row>
    <row r="67" spans="1:9">
      <c r="A67" s="2">
        <v>2013</v>
      </c>
      <c r="B67" s="3">
        <v>2324870</v>
      </c>
      <c r="C67" s="3">
        <v>960300</v>
      </c>
      <c r="D67" s="3">
        <v>1364570</v>
      </c>
      <c r="E67" s="3">
        <f t="shared" ref="E67:E68" si="6">C67-D67</f>
        <v>-404270</v>
      </c>
    </row>
    <row r="68" spans="1:9">
      <c r="A68" s="2">
        <v>2014</v>
      </c>
      <c r="B68" s="3">
        <v>2381640</v>
      </c>
      <c r="C68" s="3">
        <v>990410</v>
      </c>
      <c r="D68" s="3">
        <v>1391240</v>
      </c>
      <c r="E68" s="3">
        <f t="shared" si="6"/>
        <v>-400830</v>
      </c>
    </row>
    <row r="69" spans="1:9">
      <c r="A69" s="2"/>
      <c r="B69" s="3"/>
      <c r="C69" s="3"/>
      <c r="D69" s="3"/>
      <c r="E69" s="3"/>
    </row>
    <row r="70" spans="1:9">
      <c r="A70" s="2" t="s">
        <v>0</v>
      </c>
      <c r="B70" s="2" t="s">
        <v>3</v>
      </c>
      <c r="C70" s="2" t="s">
        <v>10</v>
      </c>
      <c r="D70" s="2" t="s">
        <v>16</v>
      </c>
      <c r="E70" s="2" t="s">
        <v>54</v>
      </c>
      <c r="F70" s="2" t="s">
        <v>4</v>
      </c>
      <c r="G70" s="2" t="s">
        <v>11</v>
      </c>
      <c r="H70" s="2" t="s">
        <v>17</v>
      </c>
      <c r="I70" s="2" t="s">
        <v>55</v>
      </c>
    </row>
    <row r="71" spans="1:9">
      <c r="A71" s="2">
        <v>2011</v>
      </c>
      <c r="B71" s="3"/>
      <c r="C71" s="3"/>
      <c r="D71" s="3"/>
      <c r="E71" s="3"/>
      <c r="F71" s="3"/>
      <c r="G71" s="3"/>
      <c r="H71" s="3"/>
      <c r="I71" s="3"/>
    </row>
    <row r="72" spans="1:9">
      <c r="A72" s="2">
        <v>2012</v>
      </c>
      <c r="B72" s="3">
        <v>2085710</v>
      </c>
      <c r="C72" s="3">
        <v>1037950</v>
      </c>
      <c r="D72" s="3">
        <v>1047760</v>
      </c>
      <c r="E72" s="3">
        <f>C72-D72</f>
        <v>-9810</v>
      </c>
      <c r="F72" s="3">
        <v>2268780</v>
      </c>
      <c r="G72" s="3">
        <v>930090</v>
      </c>
      <c r="H72" s="3">
        <v>1338690</v>
      </c>
      <c r="I72" s="3">
        <f>G72-H72</f>
        <v>-408600</v>
      </c>
    </row>
    <row r="73" spans="1:9">
      <c r="A73" s="2">
        <v>2013</v>
      </c>
      <c r="B73" s="3">
        <v>2103860</v>
      </c>
      <c r="C73" s="3">
        <v>1049690</v>
      </c>
      <c r="D73" s="3">
        <v>1054170</v>
      </c>
      <c r="E73" s="3">
        <f t="shared" ref="E73:E74" si="7">C73-D73</f>
        <v>-4480</v>
      </c>
      <c r="F73" s="3">
        <v>2324870</v>
      </c>
      <c r="G73" s="3">
        <v>960300</v>
      </c>
      <c r="H73" s="3">
        <v>1364570</v>
      </c>
      <c r="I73" s="3">
        <f t="shared" ref="I73:I74" si="8">G73-H73</f>
        <v>-404270</v>
      </c>
    </row>
    <row r="74" spans="1:9">
      <c r="A74" s="2">
        <v>2014</v>
      </c>
      <c r="B74" s="3">
        <v>2112200</v>
      </c>
      <c r="C74" s="3">
        <v>1056450</v>
      </c>
      <c r="D74" s="3">
        <v>1055750</v>
      </c>
      <c r="E74" s="3">
        <f t="shared" si="7"/>
        <v>700</v>
      </c>
      <c r="F74" s="3">
        <v>2381640</v>
      </c>
      <c r="G74" s="3">
        <v>990410</v>
      </c>
      <c r="H74" s="3">
        <v>1391240</v>
      </c>
      <c r="I74" s="3">
        <f t="shared" si="8"/>
        <v>-400830</v>
      </c>
    </row>
    <row r="75" spans="1:9">
      <c r="A75" s="2">
        <v>2015</v>
      </c>
      <c r="B75" s="3"/>
      <c r="C75" s="3"/>
      <c r="D75" s="3"/>
    </row>
    <row r="77" spans="1:9">
      <c r="A77" s="2" t="s">
        <v>0</v>
      </c>
      <c r="B77" s="2" t="s">
        <v>5</v>
      </c>
      <c r="C77" s="2" t="s">
        <v>12</v>
      </c>
      <c r="D77" s="2" t="s">
        <v>18</v>
      </c>
      <c r="E77" s="2" t="s">
        <v>56</v>
      </c>
    </row>
    <row r="78" spans="1:9">
      <c r="A78" s="2">
        <v>2011</v>
      </c>
      <c r="B78" s="3"/>
      <c r="C78" s="3"/>
      <c r="D78" s="3"/>
    </row>
    <row r="79" spans="1:9">
      <c r="A79" s="2">
        <v>2012</v>
      </c>
      <c r="B79" s="3">
        <v>6</v>
      </c>
      <c r="C79" s="3">
        <v>6</v>
      </c>
      <c r="D79" s="3">
        <v>6</v>
      </c>
      <c r="E79">
        <f>C79-D79</f>
        <v>0</v>
      </c>
    </row>
    <row r="80" spans="1:9">
      <c r="A80" s="2">
        <v>2013</v>
      </c>
      <c r="B80" s="3">
        <v>6</v>
      </c>
      <c r="C80" s="3">
        <v>6</v>
      </c>
      <c r="D80" s="3">
        <v>6</v>
      </c>
      <c r="E80">
        <f t="shared" ref="E80:E81" si="9">C80-D80</f>
        <v>0</v>
      </c>
    </row>
    <row r="81" spans="1:9">
      <c r="A81" s="2">
        <v>2014</v>
      </c>
      <c r="B81" s="3">
        <v>6</v>
      </c>
      <c r="C81" s="3">
        <v>6</v>
      </c>
      <c r="D81" s="3">
        <v>6</v>
      </c>
      <c r="E81">
        <f t="shared" si="9"/>
        <v>0</v>
      </c>
    </row>
    <row r="82" spans="1:9">
      <c r="A82" s="2">
        <v>2015</v>
      </c>
      <c r="B82" s="3"/>
      <c r="C82" s="3"/>
      <c r="D82" s="3"/>
    </row>
    <row r="84" spans="1:9">
      <c r="A84" s="2"/>
    </row>
    <row r="85" spans="1:9">
      <c r="A85" s="2" t="s">
        <v>0</v>
      </c>
      <c r="B85" s="2" t="s">
        <v>6</v>
      </c>
      <c r="C85" s="2" t="s">
        <v>13</v>
      </c>
      <c r="D85" s="2" t="s">
        <v>19</v>
      </c>
      <c r="E85" s="2" t="s">
        <v>57</v>
      </c>
    </row>
    <row r="86" spans="1:9">
      <c r="A86" s="2">
        <v>2011</v>
      </c>
      <c r="B86" s="3"/>
      <c r="C86" s="3"/>
      <c r="D86" s="3"/>
    </row>
    <row r="87" spans="1:9">
      <c r="A87" s="2">
        <v>2012</v>
      </c>
      <c r="B87" s="3">
        <v>7</v>
      </c>
      <c r="C87" s="3">
        <v>6</v>
      </c>
      <c r="D87" s="3">
        <v>8</v>
      </c>
      <c r="E87">
        <f>C87-D87</f>
        <v>-2</v>
      </c>
    </row>
    <row r="88" spans="1:9">
      <c r="A88" s="2">
        <v>2013</v>
      </c>
      <c r="B88" s="3">
        <v>7</v>
      </c>
      <c r="C88" s="3">
        <v>6</v>
      </c>
      <c r="D88" s="3">
        <v>8</v>
      </c>
      <c r="E88">
        <f t="shared" ref="E88:E89" si="10">C88-D88</f>
        <v>-2</v>
      </c>
    </row>
    <row r="89" spans="1:9">
      <c r="A89" s="2">
        <v>2014</v>
      </c>
      <c r="B89" s="3">
        <v>7</v>
      </c>
      <c r="C89" s="3">
        <v>6</v>
      </c>
      <c r="D89" s="3">
        <v>8</v>
      </c>
      <c r="E89">
        <f t="shared" si="10"/>
        <v>-2</v>
      </c>
    </row>
    <row r="90" spans="1:9">
      <c r="A90" s="2">
        <v>2015</v>
      </c>
      <c r="B90" s="3"/>
      <c r="C90" s="3"/>
      <c r="D90" s="3"/>
    </row>
    <row r="92" spans="1:9">
      <c r="A92" s="1" t="s">
        <v>0</v>
      </c>
      <c r="B92" s="2" t="s">
        <v>5</v>
      </c>
      <c r="C92" s="2" t="s">
        <v>12</v>
      </c>
      <c r="D92" s="2" t="s">
        <v>18</v>
      </c>
      <c r="E92" s="2" t="s">
        <v>56</v>
      </c>
      <c r="F92" s="2" t="s">
        <v>6</v>
      </c>
      <c r="G92" s="2" t="s">
        <v>13</v>
      </c>
      <c r="H92" s="2" t="s">
        <v>19</v>
      </c>
      <c r="I92" s="2" t="s">
        <v>57</v>
      </c>
    </row>
    <row r="93" spans="1:9">
      <c r="A93" s="1">
        <v>2011</v>
      </c>
      <c r="B93" s="3"/>
      <c r="C93" s="3"/>
      <c r="D93" s="3"/>
      <c r="F93" s="3"/>
      <c r="G93" s="3"/>
      <c r="H93" s="3"/>
    </row>
    <row r="94" spans="1:9">
      <c r="A94" s="1">
        <v>2012</v>
      </c>
      <c r="B94" s="3">
        <v>6</v>
      </c>
      <c r="C94" s="3">
        <v>6</v>
      </c>
      <c r="D94" s="3">
        <v>6</v>
      </c>
      <c r="E94">
        <f>C94-D94</f>
        <v>0</v>
      </c>
      <c r="F94" s="3">
        <v>7</v>
      </c>
      <c r="G94" s="3">
        <v>6</v>
      </c>
      <c r="H94" s="3">
        <v>8</v>
      </c>
      <c r="I94">
        <f>G94-H94</f>
        <v>-2</v>
      </c>
    </row>
    <row r="95" spans="1:9">
      <c r="A95" s="1">
        <v>2013</v>
      </c>
      <c r="B95" s="3">
        <v>6</v>
      </c>
      <c r="C95" s="3">
        <v>6</v>
      </c>
      <c r="D95" s="3">
        <v>6</v>
      </c>
      <c r="E95">
        <f t="shared" ref="E95:E96" si="11">C95-D95</f>
        <v>0</v>
      </c>
      <c r="F95" s="3">
        <v>7</v>
      </c>
      <c r="G95" s="3">
        <v>6</v>
      </c>
      <c r="H95" s="3">
        <v>8</v>
      </c>
      <c r="I95">
        <f t="shared" ref="I95:I96" si="12">G95-H95</f>
        <v>-2</v>
      </c>
    </row>
    <row r="96" spans="1:9">
      <c r="A96" s="1">
        <v>2014</v>
      </c>
      <c r="B96" s="3">
        <v>6</v>
      </c>
      <c r="C96" s="3">
        <v>6</v>
      </c>
      <c r="D96" s="3">
        <v>6</v>
      </c>
      <c r="E96">
        <f t="shared" si="11"/>
        <v>0</v>
      </c>
      <c r="F96" s="3">
        <v>7</v>
      </c>
      <c r="G96" s="3">
        <v>6</v>
      </c>
      <c r="H96" s="3">
        <v>8</v>
      </c>
      <c r="I96">
        <f t="shared" si="12"/>
        <v>-2</v>
      </c>
    </row>
    <row r="97" spans="1:8">
      <c r="A97" s="1">
        <v>2015</v>
      </c>
      <c r="B97" s="3"/>
      <c r="C97" s="3"/>
      <c r="D97" s="3"/>
      <c r="F97" s="3"/>
      <c r="G97" s="3"/>
      <c r="H97" s="3"/>
    </row>
    <row r="99" spans="1:8">
      <c r="A99" s="1" t="s">
        <v>0</v>
      </c>
      <c r="B99" s="2" t="s">
        <v>7</v>
      </c>
    </row>
    <row r="100" spans="1:8">
      <c r="A100" s="1">
        <v>2011</v>
      </c>
      <c r="B100" s="3"/>
    </row>
    <row r="101" spans="1:8">
      <c r="A101" s="1">
        <v>2012</v>
      </c>
      <c r="B101" s="3">
        <v>39</v>
      </c>
    </row>
    <row r="102" spans="1:8">
      <c r="A102" s="1">
        <v>2013</v>
      </c>
      <c r="B102" s="3">
        <v>40</v>
      </c>
    </row>
    <row r="103" spans="1:8">
      <c r="A103" s="1">
        <v>2014</v>
      </c>
      <c r="B103" s="3">
        <v>40</v>
      </c>
    </row>
    <row r="104" spans="1:8">
      <c r="A104" s="1">
        <v>2015</v>
      </c>
    </row>
    <row r="131" spans="1:53">
      <c r="A131" s="1" t="s">
        <v>0</v>
      </c>
      <c r="B131" s="2" t="s">
        <v>49</v>
      </c>
      <c r="C131" s="2" t="s">
        <v>50</v>
      </c>
      <c r="D131" s="2" t="s">
        <v>51</v>
      </c>
      <c r="E131" s="2" t="s">
        <v>48</v>
      </c>
      <c r="F131" s="2" t="s">
        <v>64</v>
      </c>
      <c r="G131" s="2" t="s">
        <v>2</v>
      </c>
      <c r="H131" s="2" t="s">
        <v>3</v>
      </c>
      <c r="I131" s="2" t="s">
        <v>4</v>
      </c>
      <c r="J131" s="2" t="s">
        <v>5</v>
      </c>
      <c r="K131" s="2" t="s">
        <v>6</v>
      </c>
      <c r="L131" s="2" t="s">
        <v>7</v>
      </c>
      <c r="M131" s="2" t="s">
        <v>8</v>
      </c>
      <c r="N131" s="2" t="s">
        <v>9</v>
      </c>
      <c r="O131" s="2" t="s">
        <v>10</v>
      </c>
      <c r="P131" s="2" t="s">
        <v>11</v>
      </c>
      <c r="Q131" s="2" t="s">
        <v>12</v>
      </c>
      <c r="R131" s="2" t="s">
        <v>13</v>
      </c>
      <c r="S131" s="2" t="s">
        <v>15</v>
      </c>
      <c r="T131" s="2" t="s">
        <v>14</v>
      </c>
      <c r="U131" s="2" t="s">
        <v>16</v>
      </c>
      <c r="V131" s="2" t="s">
        <v>17</v>
      </c>
      <c r="W131" s="2" t="s">
        <v>18</v>
      </c>
      <c r="X131" s="2" t="s">
        <v>19</v>
      </c>
      <c r="Y131" s="2" t="s">
        <v>20</v>
      </c>
      <c r="Z131" s="2" t="s">
        <v>21</v>
      </c>
      <c r="AA131" s="2" t="s">
        <v>22</v>
      </c>
      <c r="AB131" s="2" t="s">
        <v>23</v>
      </c>
      <c r="AC131" s="2" t="s">
        <v>24</v>
      </c>
      <c r="AD131" s="2" t="s">
        <v>25</v>
      </c>
      <c r="AE131" s="2" t="s">
        <v>26</v>
      </c>
      <c r="AF131" s="2" t="s">
        <v>27</v>
      </c>
      <c r="AG131" s="2" t="s">
        <v>28</v>
      </c>
      <c r="AH131" s="2" t="s">
        <v>29</v>
      </c>
      <c r="AI131" s="2" t="s">
        <v>30</v>
      </c>
      <c r="AJ131" s="2" t="s">
        <v>31</v>
      </c>
      <c r="AK131" s="2" t="s">
        <v>32</v>
      </c>
      <c r="AL131" s="2" t="s">
        <v>33</v>
      </c>
      <c r="AM131" s="2" t="s">
        <v>58</v>
      </c>
      <c r="AN131" s="2" t="s">
        <v>34</v>
      </c>
      <c r="AO131" s="2" t="s">
        <v>35</v>
      </c>
      <c r="AP131" s="2" t="s">
        <v>36</v>
      </c>
      <c r="AQ131" s="2" t="s">
        <v>37</v>
      </c>
      <c r="AR131" s="2" t="s">
        <v>38</v>
      </c>
      <c r="AS131" s="2" t="s">
        <v>39</v>
      </c>
      <c r="AT131" s="2" t="s">
        <v>40</v>
      </c>
      <c r="AU131" s="2" t="s">
        <v>41</v>
      </c>
      <c r="AV131" s="2" t="s">
        <v>42</v>
      </c>
      <c r="AW131" s="2" t="s">
        <v>43</v>
      </c>
      <c r="AX131" s="2" t="s">
        <v>44</v>
      </c>
      <c r="AY131" s="2" t="s">
        <v>45</v>
      </c>
      <c r="AZ131" s="2" t="s">
        <v>46</v>
      </c>
      <c r="BA131" s="2" t="s">
        <v>47</v>
      </c>
    </row>
    <row r="132" spans="1:53">
      <c r="A132" s="1">
        <v>2011</v>
      </c>
      <c r="B132" s="3"/>
      <c r="C132" s="3"/>
      <c r="D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>
        <v>34342780</v>
      </c>
      <c r="Z132" s="3">
        <v>525037</v>
      </c>
      <c r="AA132" s="3">
        <v>144038</v>
      </c>
      <c r="AB132" s="3">
        <v>944469</v>
      </c>
      <c r="AC132" s="3">
        <v>755530</v>
      </c>
      <c r="AD132" s="3">
        <v>8007656</v>
      </c>
      <c r="AE132" s="3">
        <v>13263544</v>
      </c>
      <c r="AF132" s="3">
        <v>1233728</v>
      </c>
      <c r="AG132" s="3">
        <v>1066349</v>
      </c>
      <c r="AH132" s="3">
        <v>3790191</v>
      </c>
      <c r="AI132" s="3">
        <v>4499139</v>
      </c>
      <c r="AJ132" s="3">
        <v>35402</v>
      </c>
      <c r="AK132" s="3">
        <v>43501</v>
      </c>
      <c r="AL132" s="3">
        <v>34196</v>
      </c>
      <c r="AM132" s="3" t="s">
        <v>59</v>
      </c>
      <c r="AN132" s="3">
        <v>749510</v>
      </c>
      <c r="AO132" s="3">
        <v>5220</v>
      </c>
      <c r="AP132" s="3">
        <v>2360</v>
      </c>
      <c r="AQ132" s="3">
        <v>14500</v>
      </c>
      <c r="AR132" s="3">
        <v>6683</v>
      </c>
      <c r="AS132" s="3">
        <v>113675</v>
      </c>
      <c r="AT132" s="3">
        <v>311510</v>
      </c>
      <c r="AU132" s="3">
        <v>15593</v>
      </c>
      <c r="AV132" s="3">
        <v>14898</v>
      </c>
      <c r="AW132" s="3">
        <v>90242</v>
      </c>
      <c r="AX132" s="3">
        <v>174101</v>
      </c>
      <c r="AY132" s="3">
        <v>365</v>
      </c>
      <c r="AZ132" s="3">
        <v>320</v>
      </c>
      <c r="BA132" s="3">
        <v>43</v>
      </c>
    </row>
    <row r="133" spans="1:53">
      <c r="A133" s="1">
        <v>2012</v>
      </c>
      <c r="B133" s="3">
        <v>33399630</v>
      </c>
      <c r="C133" s="3">
        <v>16275110</v>
      </c>
      <c r="D133" s="3">
        <v>17124520</v>
      </c>
      <c r="E133">
        <f>D133-C133</f>
        <v>849410</v>
      </c>
      <c r="F133" s="3">
        <v>14573530</v>
      </c>
      <c r="G133" s="3">
        <v>12948940</v>
      </c>
      <c r="H133" s="3">
        <v>2085710</v>
      </c>
      <c r="I133" s="3">
        <v>2268780</v>
      </c>
      <c r="J133" s="3">
        <v>6</v>
      </c>
      <c r="K133" s="3">
        <v>7</v>
      </c>
      <c r="L133" s="3">
        <v>39</v>
      </c>
      <c r="M133" s="3">
        <v>7511130</v>
      </c>
      <c r="N133" s="3">
        <v>6475020</v>
      </c>
      <c r="O133" s="3">
        <v>1037950</v>
      </c>
      <c r="P133" s="3">
        <v>930090</v>
      </c>
      <c r="Q133" s="3">
        <v>6</v>
      </c>
      <c r="R133" s="3">
        <v>6</v>
      </c>
      <c r="S133" s="3">
        <v>7062400</v>
      </c>
      <c r="T133" s="3">
        <v>6473920</v>
      </c>
      <c r="U133" s="3">
        <v>1047760</v>
      </c>
      <c r="V133" s="3">
        <v>1338690</v>
      </c>
      <c r="W133" s="3">
        <v>6</v>
      </c>
      <c r="X133" s="3">
        <v>8</v>
      </c>
      <c r="Y133" s="3">
        <v>34751476</v>
      </c>
      <c r="Z133" s="3">
        <v>526895</v>
      </c>
      <c r="AA133" s="3">
        <v>145259</v>
      </c>
      <c r="AB133" s="3">
        <v>944835</v>
      </c>
      <c r="AC133" s="3">
        <v>756836</v>
      </c>
      <c r="AD133" s="3">
        <v>8084768</v>
      </c>
      <c r="AE133" s="3">
        <v>13409558</v>
      </c>
      <c r="AF133" s="3">
        <v>1250406</v>
      </c>
      <c r="AG133" s="3">
        <v>1087223</v>
      </c>
      <c r="AH133" s="3">
        <v>3888552</v>
      </c>
      <c r="AI133" s="3">
        <v>4542578</v>
      </c>
      <c r="AJ133" s="3">
        <v>36189</v>
      </c>
      <c r="AK133" s="3">
        <v>43648</v>
      </c>
      <c r="AL133" s="3">
        <v>34729</v>
      </c>
      <c r="AM133" s="3" t="s">
        <v>60</v>
      </c>
      <c r="AN133" s="3">
        <v>771572</v>
      </c>
      <c r="AO133" s="3">
        <v>5613</v>
      </c>
      <c r="AP133" s="3">
        <v>2539</v>
      </c>
      <c r="AQ133" s="3">
        <v>15938</v>
      </c>
      <c r="AR133" s="3">
        <v>7045</v>
      </c>
      <c r="AS133" s="3">
        <v>116100</v>
      </c>
      <c r="AT133" s="3">
        <v>326762</v>
      </c>
      <c r="AU133" s="3">
        <v>16805</v>
      </c>
      <c r="AV133" s="3">
        <v>15333</v>
      </c>
      <c r="AW133" s="3">
        <v>87580</v>
      </c>
      <c r="AX133" s="3">
        <v>177049</v>
      </c>
      <c r="AY133" s="3">
        <v>382</v>
      </c>
      <c r="AZ133" s="3">
        <v>322</v>
      </c>
      <c r="BA133" s="3">
        <v>104</v>
      </c>
    </row>
    <row r="134" spans="1:53">
      <c r="A134" s="1">
        <v>2013</v>
      </c>
      <c r="B134" s="3">
        <v>33784140</v>
      </c>
      <c r="C134" s="3">
        <v>16475000</v>
      </c>
      <c r="D134" s="3">
        <v>17309140</v>
      </c>
      <c r="E134">
        <f t="shared" ref="E134:E135" si="13">D134-C134</f>
        <v>834140</v>
      </c>
      <c r="F134" s="3">
        <v>14749470</v>
      </c>
      <c r="G134" s="3">
        <v>13053370</v>
      </c>
      <c r="H134" s="3">
        <v>2103860</v>
      </c>
      <c r="I134" s="3">
        <v>2324870</v>
      </c>
      <c r="J134" s="3">
        <v>6</v>
      </c>
      <c r="K134" s="3">
        <v>7</v>
      </c>
      <c r="L134" s="3">
        <v>40</v>
      </c>
      <c r="M134" s="3">
        <v>7605360</v>
      </c>
      <c r="N134" s="3">
        <v>6527180</v>
      </c>
      <c r="O134" s="3">
        <v>1049690</v>
      </c>
      <c r="P134" s="3">
        <v>960300</v>
      </c>
      <c r="Q134" s="3">
        <v>6</v>
      </c>
      <c r="R134" s="3">
        <v>6</v>
      </c>
      <c r="S134" s="3">
        <v>7144110</v>
      </c>
      <c r="T134" s="3">
        <v>6526190</v>
      </c>
      <c r="U134" s="3">
        <v>1054170</v>
      </c>
      <c r="V134" s="3">
        <v>1364570</v>
      </c>
      <c r="W134" s="3">
        <v>6</v>
      </c>
      <c r="X134" s="3">
        <v>8</v>
      </c>
      <c r="Y134" s="3">
        <v>35155499</v>
      </c>
      <c r="Z134" s="3">
        <v>528017</v>
      </c>
      <c r="AA134" s="3">
        <v>145441</v>
      </c>
      <c r="AB134" s="3">
        <v>942991</v>
      </c>
      <c r="AC134" s="3">
        <v>755718</v>
      </c>
      <c r="AD134" s="3">
        <v>8154761</v>
      </c>
      <c r="AE134" s="3">
        <v>13551004</v>
      </c>
      <c r="AF134" s="3">
        <v>1265342</v>
      </c>
      <c r="AG134" s="3">
        <v>1106122</v>
      </c>
      <c r="AH134" s="3">
        <v>4007748</v>
      </c>
      <c r="AI134" s="3">
        <v>4582607</v>
      </c>
      <c r="AJ134" s="3">
        <v>36429</v>
      </c>
      <c r="AK134" s="3">
        <v>43884</v>
      </c>
      <c r="AL134" s="3">
        <v>35435</v>
      </c>
      <c r="AM134" s="3" t="s">
        <v>61</v>
      </c>
      <c r="AN134" s="3">
        <v>745333</v>
      </c>
      <c r="AO134" s="3">
        <v>5647</v>
      </c>
      <c r="AP134" s="3">
        <v>2627</v>
      </c>
      <c r="AQ134" s="3">
        <v>15853</v>
      </c>
      <c r="AR134" s="3">
        <v>7177</v>
      </c>
      <c r="AS134" s="3">
        <v>110686</v>
      </c>
      <c r="AT134" s="3">
        <v>316412</v>
      </c>
      <c r="AU134" s="3">
        <v>18001</v>
      </c>
      <c r="AV134" s="3">
        <v>15387</v>
      </c>
      <c r="AW134" s="3">
        <v>84039</v>
      </c>
      <c r="AX134" s="3">
        <v>168738</v>
      </c>
      <c r="AY134" s="3">
        <v>345</v>
      </c>
      <c r="AZ134" s="3">
        <v>323</v>
      </c>
      <c r="BA134" s="3">
        <v>98</v>
      </c>
    </row>
    <row r="135" spans="1:53">
      <c r="A135" s="1">
        <v>2014</v>
      </c>
      <c r="B135" s="3">
        <v>34164940</v>
      </c>
      <c r="C135" s="3">
        <v>16671910</v>
      </c>
      <c r="D135" s="3">
        <v>17493040</v>
      </c>
      <c r="E135">
        <f t="shared" si="13"/>
        <v>821130</v>
      </c>
      <c r="F135" s="3">
        <v>14922630</v>
      </c>
      <c r="G135" s="3">
        <v>13163280</v>
      </c>
      <c r="H135" s="3">
        <v>2112200</v>
      </c>
      <c r="I135" s="3">
        <v>2381640</v>
      </c>
      <c r="J135" s="3">
        <v>6</v>
      </c>
      <c r="K135" s="3">
        <v>7</v>
      </c>
      <c r="L135" s="3">
        <v>40</v>
      </c>
      <c r="M135" s="3">
        <v>7697830</v>
      </c>
      <c r="N135" s="3">
        <v>6581720</v>
      </c>
      <c r="O135" s="3">
        <v>1056450</v>
      </c>
      <c r="P135" s="3">
        <v>990410</v>
      </c>
      <c r="Q135" s="3">
        <v>6</v>
      </c>
      <c r="R135" s="3">
        <v>6</v>
      </c>
      <c r="S135" s="3">
        <v>7224810</v>
      </c>
      <c r="T135" s="3">
        <v>6581560</v>
      </c>
      <c r="U135" s="3">
        <v>1055750</v>
      </c>
      <c r="V135" s="3">
        <v>1391240</v>
      </c>
      <c r="W135" s="3">
        <v>6</v>
      </c>
      <c r="X135" s="3">
        <v>8</v>
      </c>
      <c r="Y135" s="3">
        <v>35543658</v>
      </c>
      <c r="Z135" s="3">
        <v>529069</v>
      </c>
      <c r="AA135" s="3">
        <v>146162</v>
      </c>
      <c r="AB135" s="3">
        <v>942387</v>
      </c>
      <c r="AC135" s="3">
        <v>754578</v>
      </c>
      <c r="AD135" s="3">
        <v>8214885</v>
      </c>
      <c r="AE135" s="3">
        <v>13677687</v>
      </c>
      <c r="AF135" s="3">
        <v>1280242</v>
      </c>
      <c r="AG135" s="3">
        <v>1122283</v>
      </c>
      <c r="AH135" s="3">
        <v>4120897</v>
      </c>
      <c r="AI135" s="3">
        <v>4638415</v>
      </c>
      <c r="AJ135" s="3">
        <v>36990</v>
      </c>
      <c r="AK135" s="3">
        <v>43980</v>
      </c>
      <c r="AL135" s="3">
        <v>36083</v>
      </c>
      <c r="AM135" s="3" t="s">
        <v>62</v>
      </c>
      <c r="AN135" s="3">
        <v>757821</v>
      </c>
      <c r="AO135" s="3">
        <v>5702</v>
      </c>
      <c r="AP135" s="3">
        <v>2634</v>
      </c>
      <c r="AQ135" s="3">
        <v>16503</v>
      </c>
      <c r="AR135" s="3">
        <v>6959</v>
      </c>
      <c r="AS135" s="3">
        <v>111551</v>
      </c>
      <c r="AT135" s="3">
        <v>328848</v>
      </c>
      <c r="AU135" s="3">
        <v>18941</v>
      </c>
      <c r="AV135" s="3">
        <v>15592</v>
      </c>
      <c r="AW135" s="3">
        <v>82059</v>
      </c>
      <c r="AX135" s="3">
        <v>168307</v>
      </c>
      <c r="AY135" s="3">
        <v>377</v>
      </c>
      <c r="AZ135" s="3">
        <v>306</v>
      </c>
      <c r="BA135" s="3">
        <v>42</v>
      </c>
    </row>
    <row r="136" spans="1:53">
      <c r="A136" s="1">
        <v>2015</v>
      </c>
      <c r="B136" s="3"/>
      <c r="C136" s="3"/>
      <c r="D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>
        <v>35851774</v>
      </c>
      <c r="Z136" s="3">
        <v>527756</v>
      </c>
      <c r="AA136" s="3">
        <v>146447</v>
      </c>
      <c r="AB136" s="3">
        <v>943002</v>
      </c>
      <c r="AC136" s="3">
        <v>753871</v>
      </c>
      <c r="AD136" s="3">
        <v>8263600</v>
      </c>
      <c r="AE136" s="3">
        <v>13792052</v>
      </c>
      <c r="AF136" s="3">
        <v>1293378</v>
      </c>
      <c r="AG136" s="3">
        <v>1133637</v>
      </c>
      <c r="AH136" s="3">
        <v>4196457</v>
      </c>
      <c r="AI136" s="3">
        <v>4683139</v>
      </c>
      <c r="AJ136" s="3">
        <v>37428</v>
      </c>
      <c r="AK136" s="3">
        <v>44088</v>
      </c>
      <c r="AL136" s="3">
        <v>36919</v>
      </c>
      <c r="AM136" s="3" t="s">
        <v>63</v>
      </c>
      <c r="AN136" s="3">
        <v>787662</v>
      </c>
      <c r="AO136" s="3">
        <v>6077</v>
      </c>
      <c r="AP136" s="3">
        <v>3045</v>
      </c>
      <c r="AQ136" s="3">
        <v>17295</v>
      </c>
      <c r="AR136" s="3">
        <v>7630</v>
      </c>
      <c r="AS136" s="3">
        <v>119752</v>
      </c>
      <c r="AT136" s="3">
        <v>345190</v>
      </c>
      <c r="AU136" s="3">
        <v>20449</v>
      </c>
      <c r="AV136" s="3">
        <v>16095</v>
      </c>
      <c r="AW136" s="3">
        <v>80426</v>
      </c>
      <c r="AX136" s="3">
        <v>170834</v>
      </c>
      <c r="AY136" s="3">
        <v>479</v>
      </c>
      <c r="AZ136" s="3">
        <v>321</v>
      </c>
      <c r="BA136" s="3">
        <v>69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2017-01-20T05:04:11Z</dcterms:created>
  <dcterms:modified xsi:type="dcterms:W3CDTF">2017-01-21T03:36:12Z</dcterms:modified>
</cp:coreProperties>
</file>