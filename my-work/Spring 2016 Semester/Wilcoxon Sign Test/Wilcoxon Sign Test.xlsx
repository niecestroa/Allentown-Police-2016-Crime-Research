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0" yWindow="0" windowWidth="25600" windowHeight="14680" tabRatio="500"/>
  </bookViews>
  <sheets>
    <sheet name="Review - Percent" sheetId="1" r:id="rId1"/>
    <sheet name="Review - Number" sheetId="3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13" i="1" l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G6" i="1"/>
  <c r="G7" i="1"/>
  <c r="G8" i="1"/>
  <c r="G9" i="1"/>
  <c r="G10" i="1"/>
  <c r="G11" i="1"/>
  <c r="G12" i="1"/>
  <c r="G14" i="1"/>
  <c r="G15" i="1"/>
  <c r="G16" i="1"/>
  <c r="G18" i="1"/>
  <c r="G19" i="1"/>
  <c r="G20" i="1"/>
  <c r="G74" i="1"/>
  <c r="P75" i="1"/>
  <c r="P74" i="1"/>
  <c r="P70" i="1"/>
  <c r="G64" i="1"/>
  <c r="G65" i="1"/>
  <c r="G66" i="1"/>
  <c r="G67" i="1"/>
  <c r="G68" i="1"/>
  <c r="G69" i="1"/>
  <c r="G70" i="1"/>
  <c r="G71" i="1"/>
  <c r="G72" i="1"/>
  <c r="G73" i="1"/>
  <c r="G63" i="1"/>
  <c r="G75" i="1"/>
  <c r="P55" i="1"/>
  <c r="P46" i="1"/>
  <c r="G52" i="1"/>
  <c r="G53" i="1"/>
  <c r="G51" i="1"/>
  <c r="G48" i="1"/>
  <c r="G49" i="1"/>
  <c r="G47" i="1"/>
  <c r="G45" i="1"/>
  <c r="G44" i="1"/>
  <c r="G56" i="1"/>
  <c r="P36" i="1"/>
  <c r="P32" i="1"/>
  <c r="P25" i="1"/>
  <c r="P26" i="1"/>
  <c r="P27" i="1"/>
  <c r="P28" i="1"/>
  <c r="P29" i="1"/>
  <c r="P30" i="1"/>
  <c r="P31" i="1"/>
  <c r="P33" i="1"/>
  <c r="P34" i="1"/>
  <c r="P35" i="1"/>
  <c r="P37" i="1"/>
  <c r="P38" i="1"/>
  <c r="P39" i="1"/>
  <c r="P44" i="1"/>
  <c r="P45" i="1"/>
  <c r="P47" i="1"/>
  <c r="P48" i="1"/>
  <c r="P49" i="1"/>
  <c r="P50" i="1"/>
  <c r="P51" i="1"/>
  <c r="P52" i="1"/>
  <c r="P53" i="1"/>
  <c r="P54" i="1"/>
  <c r="P56" i="1"/>
  <c r="P57" i="1"/>
  <c r="P58" i="1"/>
  <c r="G46" i="1"/>
  <c r="G50" i="1"/>
  <c r="G54" i="1"/>
  <c r="G55" i="1"/>
  <c r="G57" i="1"/>
  <c r="G58" i="1"/>
  <c r="P63" i="1"/>
  <c r="P64" i="1"/>
  <c r="P65" i="1"/>
  <c r="P66" i="1"/>
  <c r="P67" i="1"/>
  <c r="P68" i="1"/>
  <c r="P69" i="1"/>
  <c r="P71" i="1"/>
  <c r="P72" i="1"/>
  <c r="P73" i="1"/>
  <c r="P76" i="1"/>
  <c r="P77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35" i="1"/>
  <c r="G34" i="1"/>
  <c r="G33" i="1"/>
  <c r="G29" i="1"/>
  <c r="G28" i="1"/>
  <c r="G26" i="1"/>
  <c r="G25" i="1"/>
  <c r="P17" i="1"/>
  <c r="G27" i="1"/>
  <c r="G30" i="1"/>
  <c r="G31" i="1"/>
  <c r="G32" i="1"/>
  <c r="G36" i="1"/>
  <c r="G39" i="1"/>
  <c r="G76" i="1"/>
  <c r="G77" i="1"/>
  <c r="P7" i="1"/>
  <c r="P8" i="1"/>
  <c r="P9" i="1"/>
  <c r="P10" i="1"/>
  <c r="P11" i="1"/>
  <c r="P12" i="1"/>
  <c r="P14" i="1"/>
  <c r="P15" i="1"/>
  <c r="P16" i="1"/>
  <c r="P18" i="1"/>
  <c r="P19" i="1"/>
  <c r="P6" i="1"/>
  <c r="P20" i="1"/>
  <c r="M114" i="1"/>
  <c r="N114" i="1"/>
  <c r="D114" i="1"/>
  <c r="E114" i="1"/>
  <c r="M113" i="1"/>
  <c r="N113" i="1"/>
  <c r="D113" i="1"/>
  <c r="E113" i="1"/>
  <c r="M112" i="1"/>
  <c r="N112" i="1"/>
  <c r="D112" i="1"/>
  <c r="E112" i="1"/>
  <c r="M111" i="1"/>
  <c r="N111" i="1"/>
  <c r="D111" i="1"/>
  <c r="E111" i="1"/>
  <c r="M110" i="1"/>
  <c r="N110" i="1"/>
  <c r="D110" i="1"/>
  <c r="E110" i="1"/>
  <c r="M109" i="1"/>
  <c r="N109" i="1"/>
  <c r="D109" i="1"/>
  <c r="E109" i="1"/>
  <c r="M108" i="1"/>
  <c r="N108" i="1"/>
  <c r="D108" i="1"/>
  <c r="E108" i="1"/>
  <c r="M107" i="1"/>
  <c r="N107" i="1"/>
  <c r="D107" i="1"/>
  <c r="E107" i="1"/>
  <c r="M106" i="1"/>
  <c r="N106" i="1"/>
  <c r="D106" i="1"/>
  <c r="E106" i="1"/>
  <c r="M105" i="1"/>
  <c r="N105" i="1"/>
  <c r="D105" i="1"/>
  <c r="E105" i="1"/>
  <c r="M104" i="1"/>
  <c r="N104" i="1"/>
  <c r="D104" i="1"/>
  <c r="E104" i="1"/>
  <c r="M103" i="1"/>
  <c r="N103" i="1"/>
  <c r="D103" i="1"/>
  <c r="E103" i="1"/>
  <c r="M102" i="1"/>
  <c r="N102" i="1"/>
  <c r="D102" i="1"/>
  <c r="E102" i="1"/>
  <c r="M101" i="1"/>
  <c r="N101" i="1"/>
  <c r="D101" i="1"/>
  <c r="E101" i="1"/>
  <c r="M95" i="1"/>
  <c r="N95" i="1"/>
  <c r="D95" i="1"/>
  <c r="E95" i="1"/>
  <c r="M94" i="1"/>
  <c r="N94" i="1"/>
  <c r="D94" i="1"/>
  <c r="E94" i="1"/>
  <c r="M93" i="1"/>
  <c r="N93" i="1"/>
  <c r="D93" i="1"/>
  <c r="E93" i="1"/>
  <c r="M92" i="1"/>
  <c r="N92" i="1"/>
  <c r="D92" i="1"/>
  <c r="E92" i="1"/>
  <c r="M91" i="1"/>
  <c r="N91" i="1"/>
  <c r="D91" i="1"/>
  <c r="E91" i="1"/>
  <c r="M90" i="1"/>
  <c r="N90" i="1"/>
  <c r="D90" i="1"/>
  <c r="E90" i="1"/>
  <c r="M89" i="1"/>
  <c r="N89" i="1"/>
  <c r="D89" i="1"/>
  <c r="E89" i="1"/>
  <c r="M88" i="1"/>
  <c r="N88" i="1"/>
  <c r="D88" i="1"/>
  <c r="E88" i="1"/>
  <c r="M87" i="1"/>
  <c r="N87" i="1"/>
  <c r="D87" i="1"/>
  <c r="E87" i="1"/>
  <c r="M86" i="1"/>
  <c r="N86" i="1"/>
  <c r="D86" i="1"/>
  <c r="E86" i="1"/>
  <c r="M85" i="1"/>
  <c r="N85" i="1"/>
  <c r="D85" i="1"/>
  <c r="E85" i="1"/>
  <c r="M84" i="1"/>
  <c r="N84" i="1"/>
  <c r="D84" i="1"/>
  <c r="E84" i="1"/>
  <c r="M83" i="1"/>
  <c r="N83" i="1"/>
  <c r="D83" i="1"/>
  <c r="E83" i="1"/>
  <c r="M82" i="1"/>
  <c r="N82" i="1"/>
  <c r="D82" i="1"/>
  <c r="E82" i="1"/>
  <c r="M76" i="1"/>
  <c r="N76" i="1"/>
  <c r="D76" i="1"/>
  <c r="E76" i="1"/>
  <c r="M75" i="1"/>
  <c r="N75" i="1"/>
  <c r="D75" i="1"/>
  <c r="E75" i="1"/>
  <c r="M74" i="1"/>
  <c r="N74" i="1"/>
  <c r="D74" i="1"/>
  <c r="E74" i="1"/>
  <c r="M73" i="1"/>
  <c r="N73" i="1"/>
  <c r="D73" i="1"/>
  <c r="E73" i="1"/>
  <c r="M72" i="1"/>
  <c r="N72" i="1"/>
  <c r="D72" i="1"/>
  <c r="E72" i="1"/>
  <c r="M71" i="1"/>
  <c r="N71" i="1"/>
  <c r="D71" i="1"/>
  <c r="E71" i="1"/>
  <c r="M70" i="1"/>
  <c r="N70" i="1"/>
  <c r="D70" i="1"/>
  <c r="E70" i="1"/>
  <c r="M69" i="1"/>
  <c r="N69" i="1"/>
  <c r="D69" i="1"/>
  <c r="E69" i="1"/>
  <c r="M68" i="1"/>
  <c r="N68" i="1"/>
  <c r="D68" i="1"/>
  <c r="E68" i="1"/>
  <c r="M67" i="1"/>
  <c r="N67" i="1"/>
  <c r="D67" i="1"/>
  <c r="E67" i="1"/>
  <c r="M66" i="1"/>
  <c r="N66" i="1"/>
  <c r="D66" i="1"/>
  <c r="E66" i="1"/>
  <c r="M65" i="1"/>
  <c r="N65" i="1"/>
  <c r="D65" i="1"/>
  <c r="E65" i="1"/>
  <c r="M64" i="1"/>
  <c r="N64" i="1"/>
  <c r="D64" i="1"/>
  <c r="E64" i="1"/>
  <c r="M63" i="1"/>
  <c r="N63" i="1"/>
  <c r="D63" i="1"/>
  <c r="E63" i="1"/>
  <c r="M57" i="1"/>
  <c r="N57" i="1"/>
  <c r="D57" i="1"/>
  <c r="E57" i="1"/>
  <c r="M56" i="1"/>
  <c r="N56" i="1"/>
  <c r="D56" i="1"/>
  <c r="E56" i="1"/>
  <c r="M55" i="1"/>
  <c r="N55" i="1"/>
  <c r="D55" i="1"/>
  <c r="E55" i="1"/>
  <c r="M54" i="1"/>
  <c r="N54" i="1"/>
  <c r="D54" i="1"/>
  <c r="E54" i="1"/>
  <c r="M53" i="1"/>
  <c r="N53" i="1"/>
  <c r="D53" i="1"/>
  <c r="E53" i="1"/>
  <c r="M52" i="1"/>
  <c r="N52" i="1"/>
  <c r="D52" i="1"/>
  <c r="E52" i="1"/>
  <c r="M51" i="1"/>
  <c r="N51" i="1"/>
  <c r="D51" i="1"/>
  <c r="E51" i="1"/>
  <c r="M50" i="1"/>
  <c r="N50" i="1"/>
  <c r="D50" i="1"/>
  <c r="E50" i="1"/>
  <c r="M49" i="1"/>
  <c r="N49" i="1"/>
  <c r="D49" i="1"/>
  <c r="E49" i="1"/>
  <c r="M48" i="1"/>
  <c r="N48" i="1"/>
  <c r="D48" i="1"/>
  <c r="E48" i="1"/>
  <c r="M47" i="1"/>
  <c r="N47" i="1"/>
  <c r="D47" i="1"/>
  <c r="E47" i="1"/>
  <c r="M46" i="1"/>
  <c r="N46" i="1"/>
  <c r="D46" i="1"/>
  <c r="E46" i="1"/>
  <c r="M45" i="1"/>
  <c r="N45" i="1"/>
  <c r="D45" i="1"/>
  <c r="E45" i="1"/>
  <c r="M44" i="1"/>
  <c r="N44" i="1"/>
  <c r="D44" i="1"/>
  <c r="E44" i="1"/>
  <c r="M38" i="1"/>
  <c r="N38" i="1"/>
  <c r="D38" i="1"/>
  <c r="E38" i="1"/>
  <c r="M37" i="1"/>
  <c r="N37" i="1"/>
  <c r="D37" i="1"/>
  <c r="E37" i="1"/>
  <c r="M36" i="1"/>
  <c r="N36" i="1"/>
  <c r="D36" i="1"/>
  <c r="E36" i="1"/>
  <c r="M35" i="1"/>
  <c r="N35" i="1"/>
  <c r="D35" i="1"/>
  <c r="E35" i="1"/>
  <c r="M34" i="1"/>
  <c r="N34" i="1"/>
  <c r="D34" i="1"/>
  <c r="E34" i="1"/>
  <c r="M33" i="1"/>
  <c r="N33" i="1"/>
  <c r="D33" i="1"/>
  <c r="E33" i="1"/>
  <c r="M32" i="1"/>
  <c r="N32" i="1"/>
  <c r="D32" i="1"/>
  <c r="E32" i="1"/>
  <c r="M31" i="1"/>
  <c r="N31" i="1"/>
  <c r="D31" i="1"/>
  <c r="E31" i="1"/>
  <c r="M30" i="1"/>
  <c r="N30" i="1"/>
  <c r="D30" i="1"/>
  <c r="E30" i="1"/>
  <c r="M29" i="1"/>
  <c r="N29" i="1"/>
  <c r="D29" i="1"/>
  <c r="E29" i="1"/>
  <c r="M28" i="1"/>
  <c r="N28" i="1"/>
  <c r="D28" i="1"/>
  <c r="E28" i="1"/>
  <c r="M27" i="1"/>
  <c r="N27" i="1"/>
  <c r="D27" i="1"/>
  <c r="E27" i="1"/>
  <c r="M26" i="1"/>
  <c r="N26" i="1"/>
  <c r="D26" i="1"/>
  <c r="E26" i="1"/>
  <c r="M25" i="1"/>
  <c r="N25" i="1"/>
  <c r="D25" i="1"/>
  <c r="E25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6" i="1"/>
  <c r="N6" i="1"/>
</calcChain>
</file>

<file path=xl/sharedStrings.xml><?xml version="1.0" encoding="utf-8"?>
<sst xmlns="http://schemas.openxmlformats.org/spreadsheetml/2006/main" count="360" uniqueCount="90">
  <si>
    <t>Survey 1</t>
  </si>
  <si>
    <t>Male</t>
  </si>
  <si>
    <t>Female</t>
  </si>
  <si>
    <t>Male - Female</t>
  </si>
  <si>
    <t>|Male - Female|</t>
  </si>
  <si>
    <t>Rank</t>
  </si>
  <si>
    <t>S. Rank</t>
  </si>
  <si>
    <t>Canada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</si>
  <si>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</si>
  <si>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</si>
  <si>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</si>
  <si>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</si>
  <si>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</si>
  <si>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</si>
  <si>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</si>
  <si>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</si>
  <si>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</si>
  <si>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</si>
  <si>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</t>
  </si>
  <si>
    <t>Northwest Territories</t>
  </si>
  <si>
    <t>Nunavut</t>
  </si>
  <si>
    <t>Good Percentage</t>
  </si>
  <si>
    <t>Average Percentage</t>
  </si>
  <si>
    <t>Survey 2</t>
  </si>
  <si>
    <t>Survey 6</t>
  </si>
  <si>
    <t>Survey 5</t>
  </si>
  <si>
    <t>Survey 4</t>
  </si>
  <si>
    <t>Survey 3</t>
  </si>
  <si>
    <t>Total</t>
  </si>
  <si>
    <t>The Original Data</t>
  </si>
  <si>
    <t>Calculate the p-value</t>
  </si>
  <si>
    <t>Number tables</t>
  </si>
  <si>
    <t>Do by next meeting</t>
  </si>
  <si>
    <t>you can try running it in r-studio</t>
  </si>
  <si>
    <t>Conduct a t-test</t>
  </si>
  <si>
    <t>research on how to use the t-test with a smaller sample size</t>
  </si>
  <si>
    <t>make province charts and do chi-squared tests for just good and just average</t>
  </si>
  <si>
    <t>to do the same thing with t-test after research</t>
  </si>
  <si>
    <t>See how much data we are allowed in CANSIM</t>
  </si>
  <si>
    <r>
      <t>W-value</t>
    </r>
    <r>
      <rPr>
        <sz val="12"/>
        <color theme="1"/>
        <rFont val="Calibri"/>
        <family val="2"/>
        <scheme val="minor"/>
      </rPr>
      <t>: 6</t>
    </r>
  </si>
  <si>
    <r>
      <t>Mean Difference</t>
    </r>
    <r>
      <rPr>
        <sz val="12"/>
        <color theme="1"/>
        <rFont val="Calibri"/>
        <family val="2"/>
        <scheme val="minor"/>
      </rPr>
      <t>: -2.01</t>
    </r>
  </si>
  <si>
    <r>
      <t>Sum of pos. ranks</t>
    </r>
    <r>
      <rPr>
        <sz val="12"/>
        <color theme="1"/>
        <rFont val="Calibri"/>
        <family val="2"/>
        <scheme val="minor"/>
      </rPr>
      <t>: 6</t>
    </r>
  </si>
  <si>
    <r>
      <t>Sum of neg. ranks</t>
    </r>
    <r>
      <rPr>
        <sz val="12"/>
        <color theme="1"/>
        <rFont val="Calibri"/>
        <family val="2"/>
        <scheme val="minor"/>
      </rPr>
      <t>: 99</t>
    </r>
  </si>
  <si>
    <r>
      <t>Z-value</t>
    </r>
    <r>
      <rPr>
        <sz val="12"/>
        <color theme="1"/>
        <rFont val="Calibri"/>
        <family val="2"/>
        <scheme val="minor"/>
      </rPr>
      <t>: -2.9191</t>
    </r>
  </si>
  <si>
    <r>
      <t>Mean (</t>
    </r>
    <r>
      <rPr>
        <i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): 52.5</t>
    </r>
  </si>
  <si>
    <r>
      <t>Standard Deviation (</t>
    </r>
    <r>
      <rPr>
        <i/>
        <sz val="12"/>
        <color theme="1"/>
        <rFont val="Calibri"/>
        <family val="2"/>
        <scheme val="minor"/>
      </rPr>
      <t>W</t>
    </r>
    <r>
      <rPr>
        <sz val="12"/>
        <color theme="1"/>
        <rFont val="Calibri"/>
        <family val="2"/>
        <scheme val="minor"/>
      </rPr>
      <t>): 15.93</t>
    </r>
  </si>
  <si>
    <r>
      <t>Sample Size (</t>
    </r>
    <r>
      <rPr>
        <i/>
        <sz val="12"/>
        <color theme="1"/>
        <rFont val="Calibri"/>
        <family val="2"/>
        <scheme val="minor"/>
      </rPr>
      <t>N</t>
    </r>
    <r>
      <rPr>
        <sz val="12"/>
        <color theme="1"/>
        <rFont val="Calibri"/>
        <family val="2"/>
        <scheme val="minor"/>
      </rPr>
      <t>): 14</t>
    </r>
  </si>
  <si>
    <t>The p-value is 0.0035.</t>
  </si>
  <si>
    <r>
      <t>W-value</t>
    </r>
    <r>
      <rPr>
        <sz val="12"/>
        <color theme="1"/>
        <rFont val="Calibri"/>
        <family val="2"/>
        <scheme val="minor"/>
      </rPr>
      <t>: 3</t>
    </r>
  </si>
  <si>
    <r>
      <t>Mean Difference</t>
    </r>
    <r>
      <rPr>
        <sz val="12"/>
        <color theme="1"/>
        <rFont val="Calibri"/>
        <family val="2"/>
        <scheme val="minor"/>
      </rPr>
      <t>: 1.53</t>
    </r>
  </si>
  <si>
    <r>
      <t>Sum of pos. ranks</t>
    </r>
    <r>
      <rPr>
        <sz val="12"/>
        <color theme="1"/>
        <rFont val="Calibri"/>
        <family val="2"/>
        <scheme val="minor"/>
      </rPr>
      <t>: 102</t>
    </r>
  </si>
  <si>
    <r>
      <t>Sum of neg. ranks</t>
    </r>
    <r>
      <rPr>
        <sz val="12"/>
        <color theme="1"/>
        <rFont val="Calibri"/>
        <family val="2"/>
        <scheme val="minor"/>
      </rPr>
      <t>: 3</t>
    </r>
  </si>
  <si>
    <r>
      <t>Z-value</t>
    </r>
    <r>
      <rPr>
        <sz val="12"/>
        <color theme="1"/>
        <rFont val="Calibri"/>
        <family val="2"/>
        <scheme val="minor"/>
      </rPr>
      <t>: -3.1074</t>
    </r>
  </si>
  <si>
    <t>The p-value is 0.00188.</t>
  </si>
  <si>
    <r>
      <t>W-value</t>
    </r>
    <r>
      <rPr>
        <sz val="12"/>
        <color theme="1"/>
        <rFont val="Calibri"/>
        <family val="2"/>
        <scheme val="minor"/>
      </rPr>
      <t>: 24</t>
    </r>
  </si>
  <si>
    <r>
      <t>Mean Difference</t>
    </r>
    <r>
      <rPr>
        <sz val="12"/>
        <color theme="1"/>
        <rFont val="Calibri"/>
        <family val="2"/>
        <scheme val="minor"/>
      </rPr>
      <t>: -0.97</t>
    </r>
  </si>
  <si>
    <r>
      <t>Sum of pos. ranks</t>
    </r>
    <r>
      <rPr>
        <sz val="12"/>
        <color theme="1"/>
        <rFont val="Calibri"/>
        <family val="2"/>
        <scheme val="minor"/>
      </rPr>
      <t>: 24</t>
    </r>
  </si>
  <si>
    <r>
      <t>Sum of neg. ranks</t>
    </r>
    <r>
      <rPr>
        <sz val="12"/>
        <color theme="1"/>
        <rFont val="Calibri"/>
        <family val="2"/>
        <scheme val="minor"/>
      </rPr>
      <t>: 81</t>
    </r>
  </si>
  <si>
    <r>
      <t>Z-value</t>
    </r>
    <r>
      <rPr>
        <sz val="12"/>
        <color theme="1"/>
        <rFont val="Calibri"/>
        <family val="2"/>
        <scheme val="minor"/>
      </rPr>
      <t>: -1.7891</t>
    </r>
  </si>
  <si>
    <t>The p-value is 0.07346.</t>
  </si>
  <si>
    <r>
      <t>W-value</t>
    </r>
    <r>
      <rPr>
        <sz val="12"/>
        <color theme="1"/>
        <rFont val="Calibri"/>
        <family val="2"/>
        <scheme val="minor"/>
      </rPr>
      <t>: 12</t>
    </r>
  </si>
  <si>
    <r>
      <t>Mean Difference</t>
    </r>
    <r>
      <rPr>
        <sz val="12"/>
        <color theme="1"/>
        <rFont val="Calibri"/>
        <family val="2"/>
        <scheme val="minor"/>
      </rPr>
      <t>: 2.11</t>
    </r>
  </si>
  <si>
    <r>
      <t>Sum of pos. ranks</t>
    </r>
    <r>
      <rPr>
        <sz val="12"/>
        <color theme="1"/>
        <rFont val="Calibri"/>
        <family val="2"/>
        <scheme val="minor"/>
      </rPr>
      <t>: 93</t>
    </r>
  </si>
  <si>
    <r>
      <t>Sum of neg. ranks</t>
    </r>
    <r>
      <rPr>
        <sz val="12"/>
        <color theme="1"/>
        <rFont val="Calibri"/>
        <family val="2"/>
        <scheme val="minor"/>
      </rPr>
      <t>: 12</t>
    </r>
  </si>
  <si>
    <r>
      <t>Z-value</t>
    </r>
    <r>
      <rPr>
        <sz val="12"/>
        <color theme="1"/>
        <rFont val="Calibri"/>
        <family val="2"/>
        <scheme val="minor"/>
      </rPr>
      <t>: -2.5424</t>
    </r>
  </si>
  <si>
    <t>The p-value is 0.01108.</t>
  </si>
  <si>
    <r>
      <t>W-value</t>
    </r>
    <r>
      <rPr>
        <sz val="12"/>
        <color theme="1"/>
        <rFont val="Calibri"/>
        <family val="2"/>
        <scheme val="minor"/>
      </rPr>
      <t>: 34</t>
    </r>
  </si>
  <si>
    <r>
      <t>Mean Difference</t>
    </r>
    <r>
      <rPr>
        <sz val="12"/>
        <color theme="1"/>
        <rFont val="Calibri"/>
        <family val="2"/>
        <scheme val="minor"/>
      </rPr>
      <t>: -7.94</t>
    </r>
  </si>
  <si>
    <r>
      <t>Sum of pos. ranks</t>
    </r>
    <r>
      <rPr>
        <sz val="12"/>
        <color theme="1"/>
        <rFont val="Calibri"/>
        <family val="2"/>
        <scheme val="minor"/>
      </rPr>
      <t>: 34</t>
    </r>
  </si>
  <si>
    <r>
      <t>Sum of neg. ranks</t>
    </r>
    <r>
      <rPr>
        <sz val="12"/>
        <color theme="1"/>
        <rFont val="Calibri"/>
        <family val="2"/>
        <scheme val="minor"/>
      </rPr>
      <t>: 71</t>
    </r>
  </si>
  <si>
    <r>
      <t>Z-value</t>
    </r>
    <r>
      <rPr>
        <sz val="12"/>
        <color theme="1"/>
        <rFont val="Calibri"/>
        <family val="2"/>
        <scheme val="minor"/>
      </rPr>
      <t>: -1.1614</t>
    </r>
  </si>
  <si>
    <t>The p-value is 0.24604.</t>
  </si>
  <si>
    <r>
      <t>W-value</t>
    </r>
    <r>
      <rPr>
        <sz val="12"/>
        <color theme="1"/>
        <rFont val="Calibri"/>
        <family val="2"/>
        <scheme val="minor"/>
      </rPr>
      <t>: 10</t>
    </r>
  </si>
  <si>
    <r>
      <t>Mean Difference</t>
    </r>
    <r>
      <rPr>
        <sz val="12"/>
        <color theme="1"/>
        <rFont val="Calibri"/>
        <family val="2"/>
        <scheme val="minor"/>
      </rPr>
      <t>: 9.16</t>
    </r>
  </si>
  <si>
    <r>
      <t>Sum of pos. ranks</t>
    </r>
    <r>
      <rPr>
        <sz val="12"/>
        <color theme="1"/>
        <rFont val="Calibri"/>
        <family val="2"/>
        <scheme val="minor"/>
      </rPr>
      <t>: 95</t>
    </r>
  </si>
  <si>
    <r>
      <t>Sum of neg. ranks</t>
    </r>
    <r>
      <rPr>
        <sz val="12"/>
        <color theme="1"/>
        <rFont val="Calibri"/>
        <family val="2"/>
        <scheme val="minor"/>
      </rPr>
      <t>: 10</t>
    </r>
  </si>
  <si>
    <r>
      <t>Z-value</t>
    </r>
    <r>
      <rPr>
        <sz val="12"/>
        <color theme="1"/>
        <rFont val="Calibri"/>
        <family val="2"/>
        <scheme val="minor"/>
      </rPr>
      <t>: -2.668</t>
    </r>
  </si>
  <si>
    <t>The p-value is 0.00758.</t>
  </si>
  <si>
    <r>
      <t>W-value</t>
    </r>
    <r>
      <rPr>
        <sz val="12"/>
        <color theme="1"/>
        <rFont val="Calibri"/>
        <family val="2"/>
        <scheme val="minor"/>
      </rPr>
      <t>: 18</t>
    </r>
  </si>
  <si>
    <r>
      <t>Mean Difference</t>
    </r>
    <r>
      <rPr>
        <sz val="12"/>
        <color theme="1"/>
        <rFont val="Calibri"/>
        <family val="2"/>
        <scheme val="minor"/>
      </rPr>
      <t>: -10.26</t>
    </r>
  </si>
  <si>
    <r>
      <t>Sum of pos. ranks</t>
    </r>
    <r>
      <rPr>
        <sz val="12"/>
        <color theme="1"/>
        <rFont val="Calibri"/>
        <family val="2"/>
        <scheme val="minor"/>
      </rPr>
      <t>: 18</t>
    </r>
  </si>
  <si>
    <r>
      <t>Sum of neg. ranks</t>
    </r>
    <r>
      <rPr>
        <sz val="12"/>
        <color theme="1"/>
        <rFont val="Calibri"/>
        <family val="2"/>
        <scheme val="minor"/>
      </rPr>
      <t>: 87</t>
    </r>
  </si>
  <si>
    <r>
      <t>Z-value</t>
    </r>
    <r>
      <rPr>
        <sz val="12"/>
        <color theme="1"/>
        <rFont val="Calibri"/>
        <family val="2"/>
        <scheme val="minor"/>
      </rPr>
      <t>: -2.1658</t>
    </r>
  </si>
  <si>
    <t>The p-value is 0.03.</t>
  </si>
  <si>
    <r>
      <t>W-value</t>
    </r>
    <r>
      <rPr>
        <sz val="12"/>
        <color theme="1"/>
        <rFont val="Calibri"/>
        <family val="2"/>
        <scheme val="minor"/>
      </rPr>
      <t>: 14</t>
    </r>
  </si>
  <si>
    <r>
      <t>Mean Difference</t>
    </r>
    <r>
      <rPr>
        <sz val="12"/>
        <color theme="1"/>
        <rFont val="Calibri"/>
        <family val="2"/>
        <scheme val="minor"/>
      </rPr>
      <t>: 9.46</t>
    </r>
  </si>
  <si>
    <r>
      <t>Sum of pos. ranks</t>
    </r>
    <r>
      <rPr>
        <sz val="12"/>
        <color theme="1"/>
        <rFont val="Calibri"/>
        <family val="2"/>
        <scheme val="minor"/>
      </rPr>
      <t>: 91</t>
    </r>
  </si>
  <si>
    <r>
      <t>Sum of neg. ranks</t>
    </r>
    <r>
      <rPr>
        <sz val="12"/>
        <color theme="1"/>
        <rFont val="Calibri"/>
        <family val="2"/>
        <scheme val="minor"/>
      </rPr>
      <t>: 14</t>
    </r>
  </si>
  <si>
    <r>
      <t>Z-value</t>
    </r>
    <r>
      <rPr>
        <sz val="12"/>
        <color theme="1"/>
        <rFont val="Calibri"/>
        <family val="2"/>
        <scheme val="minor"/>
      </rPr>
      <t>: -2.4169</t>
    </r>
  </si>
  <si>
    <t>The p-value is 0.01552.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</si>
</sst>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6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/>
    <xf numFmtId="0" fontId="2" fillId="0" borderId="0" xfId="0" applyFont="1" applyFill="1" applyBorder="1" applyAlignment="1">
      <alignment horizontal="left"/>
    </xf>
    <xf numFmtId="0" fontId="5" fillId="0" borderId="0" xfId="0" applyFont="1"/>
    <xf numFmtId="0" fontId="2" fillId="0" borderId="0" xfId="0" applyFont="1" applyBorder="1" applyAlignment="1">
      <alignment horizontal="left"/>
    </xf>
    <xf numFmtId="0" fontId="6" fillId="0" borderId="0" xfId="0" applyFont="1"/>
    <xf numFmtId="0" fontId="0" fillId="0" borderId="0" xfId="0" applyFont="1"/>
    <xf numFmtId="0" fontId="0" fillId="0" borderId="2" xfId="0" applyFont="1" applyBorder="1"/>
    <xf numFmtId="0" fontId="0" fillId="0" borderId="1" xfId="0" applyFont="1" applyBorder="1"/>
    <xf numFmtId="0" fontId="0" fillId="0" borderId="0" xfId="0" applyFont="1" applyBorder="1"/>
    <xf numFmtId="0" fontId="7" fillId="0" borderId="0" xfId="0" applyFont="1"/>
    <xf numFmtId="0" fontId="5" fillId="0" borderId="0" xfId="0" applyFont="1" applyBorder="1"/>
    <xf numFmtId="0" fontId="8" fillId="0" borderId="0" xfId="0" applyFont="1" applyAlignment="1">
      <alignment horizontal="center"/>
    </xf>
    <xf numFmtId="0" fontId="5" fillId="0" borderId="1" xfId="0" applyFont="1" applyBorder="1"/>
    <xf numFmtId="0" fontId="5" fillId="0" borderId="2" xfId="0" applyFont="1" applyBorder="1"/>
  </cellXfs>
  <cellStyles count="16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1"/>
  <sheetViews>
    <sheetView tabSelected="1" topLeftCell="J58" zoomScale="150" zoomScaleNormal="150" zoomScalePageLayoutView="150" workbookViewId="0">
      <selection activeCell="Q74" sqref="Q74"/>
    </sheetView>
  </sheetViews>
  <sheetFormatPr baseColWidth="10" defaultRowHeight="15" x14ac:dyDescent="0"/>
  <cols>
    <col min="1" max="1" width="25.1640625" style="10" bestFit="1" customWidth="1"/>
    <col min="2" max="3" width="10.83203125" style="10"/>
    <col min="4" max="4" width="13" style="10" bestFit="1" customWidth="1"/>
    <col min="5" max="5" width="15" style="10" bestFit="1" customWidth="1"/>
    <col min="6" max="6" width="10.83203125" style="10"/>
    <col min="7" max="7" width="13.1640625" style="7" bestFit="1" customWidth="1"/>
    <col min="8" max="8" width="25.83203125" style="7" bestFit="1" customWidth="1"/>
    <col min="9" max="9" width="8.33203125" style="10" bestFit="1" customWidth="1"/>
    <col min="10" max="10" width="25.1640625" style="10" bestFit="1" customWidth="1"/>
    <col min="11" max="12" width="10.83203125" style="10"/>
    <col min="13" max="13" width="13" style="10" bestFit="1" customWidth="1"/>
    <col min="14" max="14" width="15" style="10" bestFit="1" customWidth="1"/>
    <col min="15" max="15" width="10.83203125" style="10"/>
    <col min="16" max="16" width="10.83203125" style="7"/>
    <col min="17" max="17" width="25.83203125" style="10" bestFit="1" customWidth="1"/>
    <col min="18" max="16384" width="10.83203125" style="10"/>
  </cols>
  <sheetData>
    <row r="1" spans="1:17">
      <c r="A1" s="1" t="s">
        <v>29</v>
      </c>
    </row>
    <row r="2" spans="1:17">
      <c r="A2" s="1"/>
    </row>
    <row r="3" spans="1:17">
      <c r="A3" s="1" t="s">
        <v>0</v>
      </c>
      <c r="J3" s="1" t="s">
        <v>0</v>
      </c>
    </row>
    <row r="4" spans="1:17">
      <c r="A4" s="1"/>
    </row>
    <row r="5" spans="1:17">
      <c r="A5" s="1" t="s">
        <v>21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16" t="s">
        <v>6</v>
      </c>
      <c r="J5" s="1" t="s">
        <v>22</v>
      </c>
      <c r="K5" s="3" t="s">
        <v>1</v>
      </c>
      <c r="L5" s="3" t="s">
        <v>2</v>
      </c>
      <c r="M5" s="3" t="s">
        <v>3</v>
      </c>
      <c r="N5" s="3" t="s">
        <v>4</v>
      </c>
      <c r="O5" s="3" t="s">
        <v>5</v>
      </c>
      <c r="P5" s="16" t="s">
        <v>6</v>
      </c>
    </row>
    <row r="6" spans="1:17">
      <c r="A6" s="2" t="s">
        <v>7</v>
      </c>
      <c r="B6" s="10">
        <v>60.7</v>
      </c>
      <c r="C6" s="10">
        <v>62.9</v>
      </c>
      <c r="D6" s="10">
        <f>B6-C6</f>
        <v>-2.1999999999999957</v>
      </c>
      <c r="E6" s="10">
        <f>ABS(D6)</f>
        <v>2.1999999999999957</v>
      </c>
      <c r="F6" s="10">
        <v>4</v>
      </c>
      <c r="G6" s="7">
        <f>F6*-1</f>
        <v>-4</v>
      </c>
      <c r="H6" s="9" t="s">
        <v>39</v>
      </c>
      <c r="J6" s="2" t="s">
        <v>7</v>
      </c>
      <c r="K6" s="10">
        <v>35.9</v>
      </c>
      <c r="L6" s="10">
        <v>32.200000000000003</v>
      </c>
      <c r="M6" s="10">
        <f>K6-L6</f>
        <v>3.6999999999999957</v>
      </c>
      <c r="N6" s="10">
        <f>ABS(M6)</f>
        <v>3.6999999999999957</v>
      </c>
      <c r="O6" s="10">
        <v>6</v>
      </c>
      <c r="P6" s="7">
        <f>O6</f>
        <v>6</v>
      </c>
      <c r="Q6" s="9" t="s">
        <v>48</v>
      </c>
    </row>
    <row r="7" spans="1:17">
      <c r="A7" s="2" t="s">
        <v>8</v>
      </c>
      <c r="B7" s="10">
        <v>53.6</v>
      </c>
      <c r="C7" s="10">
        <v>57.6</v>
      </c>
      <c r="D7" s="10">
        <f t="shared" ref="D7:D19" si="0">B7-C7</f>
        <v>-4</v>
      </c>
      <c r="E7" s="10">
        <f t="shared" ref="E7:E19" si="1">ABS(D7)</f>
        <v>4</v>
      </c>
      <c r="F7" s="10">
        <v>8</v>
      </c>
      <c r="G7" s="7">
        <f>F7*-1</f>
        <v>-8</v>
      </c>
      <c r="H7" s="9" t="s">
        <v>40</v>
      </c>
      <c r="J7" s="2" t="s">
        <v>8</v>
      </c>
      <c r="K7" s="10">
        <v>45.5</v>
      </c>
      <c r="L7" s="10">
        <v>40.4</v>
      </c>
      <c r="M7" s="10">
        <f t="shared" ref="M7:M19" si="2">K7-L7</f>
        <v>5.1000000000000014</v>
      </c>
      <c r="N7" s="10">
        <f t="shared" ref="N7:N19" si="3">ABS(M7)</f>
        <v>5.1000000000000014</v>
      </c>
      <c r="O7" s="10">
        <v>8</v>
      </c>
      <c r="P7" s="7">
        <f t="shared" ref="P7:P19" si="4">O7</f>
        <v>8</v>
      </c>
      <c r="Q7" s="9" t="s">
        <v>49</v>
      </c>
    </row>
    <row r="8" spans="1:17">
      <c r="A8" s="2" t="s">
        <v>9</v>
      </c>
      <c r="B8" s="10">
        <v>60.2</v>
      </c>
      <c r="C8" s="10">
        <v>66.7</v>
      </c>
      <c r="D8" s="10">
        <f t="shared" si="0"/>
        <v>-6.5</v>
      </c>
      <c r="E8" s="10">
        <f t="shared" si="1"/>
        <v>6.5</v>
      </c>
      <c r="F8" s="10">
        <v>12</v>
      </c>
      <c r="G8" s="7">
        <f>F8*-1</f>
        <v>-12</v>
      </c>
      <c r="H8" s="9" t="s">
        <v>41</v>
      </c>
      <c r="J8" s="2" t="s">
        <v>9</v>
      </c>
      <c r="K8" s="10">
        <v>39.299999999999997</v>
      </c>
      <c r="L8" s="10">
        <v>30.7</v>
      </c>
      <c r="M8" s="10">
        <f t="shared" si="2"/>
        <v>8.5999999999999979</v>
      </c>
      <c r="N8" s="10">
        <f t="shared" si="3"/>
        <v>8.5999999999999979</v>
      </c>
      <c r="O8" s="10">
        <v>13</v>
      </c>
      <c r="P8" s="7">
        <f t="shared" si="4"/>
        <v>13</v>
      </c>
      <c r="Q8" s="9" t="s">
        <v>50</v>
      </c>
    </row>
    <row r="9" spans="1:17">
      <c r="A9" s="2" t="s">
        <v>10</v>
      </c>
      <c r="B9" s="10">
        <v>55.7</v>
      </c>
      <c r="C9" s="10">
        <v>58.6</v>
      </c>
      <c r="D9" s="10">
        <f t="shared" si="0"/>
        <v>-2.8999999999999986</v>
      </c>
      <c r="E9" s="10">
        <f t="shared" si="1"/>
        <v>2.8999999999999986</v>
      </c>
      <c r="F9" s="10">
        <v>6</v>
      </c>
      <c r="G9" s="7">
        <f>F9*-1</f>
        <v>-6</v>
      </c>
      <c r="H9" s="9" t="s">
        <v>42</v>
      </c>
      <c r="J9" s="2" t="s">
        <v>10</v>
      </c>
      <c r="K9" s="10">
        <v>42.9</v>
      </c>
      <c r="L9" s="10">
        <v>39.700000000000003</v>
      </c>
      <c r="M9" s="10">
        <f t="shared" si="2"/>
        <v>3.1999999999999957</v>
      </c>
      <c r="N9" s="10">
        <f t="shared" si="3"/>
        <v>3.1999999999999957</v>
      </c>
      <c r="O9" s="10">
        <v>5</v>
      </c>
      <c r="P9" s="7">
        <f t="shared" si="4"/>
        <v>5</v>
      </c>
      <c r="Q9" s="9" t="s">
        <v>51</v>
      </c>
    </row>
    <row r="10" spans="1:17">
      <c r="A10" s="2" t="s">
        <v>11</v>
      </c>
      <c r="B10" s="10">
        <v>61.2</v>
      </c>
      <c r="C10" s="10">
        <v>67.8</v>
      </c>
      <c r="D10" s="10">
        <f t="shared" si="0"/>
        <v>-6.5999999999999943</v>
      </c>
      <c r="E10" s="10">
        <f t="shared" si="1"/>
        <v>6.5999999999999943</v>
      </c>
      <c r="F10" s="10">
        <v>13</v>
      </c>
      <c r="G10" s="7">
        <f>F10*-1</f>
        <v>-13</v>
      </c>
      <c r="H10"/>
      <c r="J10" s="2" t="s">
        <v>11</v>
      </c>
      <c r="K10" s="10">
        <v>37.799999999999997</v>
      </c>
      <c r="L10" s="10">
        <v>29.5</v>
      </c>
      <c r="M10" s="10">
        <f t="shared" si="2"/>
        <v>8.2999999999999972</v>
      </c>
      <c r="N10" s="10">
        <f t="shared" si="3"/>
        <v>8.2999999999999972</v>
      </c>
      <c r="O10" s="10">
        <v>12</v>
      </c>
      <c r="P10" s="7">
        <f t="shared" si="4"/>
        <v>12</v>
      </c>
      <c r="Q10" s="9" t="s">
        <v>52</v>
      </c>
    </row>
    <row r="11" spans="1:17">
      <c r="A11" s="2" t="s">
        <v>12</v>
      </c>
      <c r="B11" s="10">
        <v>67.7</v>
      </c>
      <c r="C11" s="10">
        <v>68.8</v>
      </c>
      <c r="D11" s="10">
        <f t="shared" si="0"/>
        <v>-1.0999999999999943</v>
      </c>
      <c r="E11" s="10">
        <f t="shared" si="1"/>
        <v>1.0999999999999943</v>
      </c>
      <c r="F11" s="10">
        <v>3</v>
      </c>
      <c r="G11" s="7">
        <f>F11*-1</f>
        <v>-3</v>
      </c>
      <c r="H11" s="9" t="s">
        <v>43</v>
      </c>
      <c r="J11" s="2" t="s">
        <v>12</v>
      </c>
      <c r="K11" s="10">
        <v>29.5</v>
      </c>
      <c r="L11" s="10">
        <v>26.8</v>
      </c>
      <c r="M11" s="10">
        <f t="shared" si="2"/>
        <v>2.6999999999999993</v>
      </c>
      <c r="N11" s="10">
        <f t="shared" si="3"/>
        <v>2.6999999999999993</v>
      </c>
      <c r="O11" s="10">
        <v>3</v>
      </c>
      <c r="P11" s="7">
        <f t="shared" si="4"/>
        <v>3</v>
      </c>
      <c r="Q11" t="s">
        <v>44</v>
      </c>
    </row>
    <row r="12" spans="1:17">
      <c r="A12" s="2" t="s">
        <v>13</v>
      </c>
      <c r="B12" s="10">
        <v>61.4</v>
      </c>
      <c r="C12" s="10">
        <v>62.4</v>
      </c>
      <c r="D12" s="10">
        <f t="shared" si="0"/>
        <v>-1</v>
      </c>
      <c r="E12" s="10">
        <f t="shared" si="1"/>
        <v>1</v>
      </c>
      <c r="F12" s="10">
        <v>2</v>
      </c>
      <c r="G12" s="7">
        <f>F12*-1</f>
        <v>-2</v>
      </c>
      <c r="H12" t="s">
        <v>44</v>
      </c>
      <c r="J12" s="2" t="s">
        <v>13</v>
      </c>
      <c r="K12" s="10">
        <v>34.299999999999997</v>
      </c>
      <c r="L12" s="10">
        <v>31.3</v>
      </c>
      <c r="M12" s="10">
        <f t="shared" si="2"/>
        <v>2.9999999999999964</v>
      </c>
      <c r="N12" s="10">
        <f t="shared" si="3"/>
        <v>2.9999999999999964</v>
      </c>
      <c r="O12" s="10">
        <v>4</v>
      </c>
      <c r="P12" s="7">
        <f t="shared" si="4"/>
        <v>4</v>
      </c>
      <c r="Q12" t="s">
        <v>45</v>
      </c>
    </row>
    <row r="13" spans="1:17">
      <c r="A13" s="2" t="s">
        <v>14</v>
      </c>
      <c r="B13" s="10">
        <v>52.9</v>
      </c>
      <c r="C13" s="10">
        <v>52.4</v>
      </c>
      <c r="D13" s="10">
        <f t="shared" si="0"/>
        <v>0.5</v>
      </c>
      <c r="E13" s="10">
        <f t="shared" si="1"/>
        <v>0.5</v>
      </c>
      <c r="F13" s="10">
        <v>1</v>
      </c>
      <c r="G13" s="7">
        <v>1</v>
      </c>
      <c r="H13" t="s">
        <v>45</v>
      </c>
      <c r="J13" s="2" t="s">
        <v>14</v>
      </c>
      <c r="K13" s="10">
        <v>43</v>
      </c>
      <c r="L13" s="10">
        <v>43.6</v>
      </c>
      <c r="M13" s="10">
        <f t="shared" si="2"/>
        <v>-0.60000000000000142</v>
      </c>
      <c r="N13" s="10">
        <f t="shared" si="3"/>
        <v>0.60000000000000142</v>
      </c>
      <c r="O13" s="10">
        <v>1</v>
      </c>
      <c r="P13" s="7">
        <f>O13*-1</f>
        <v>-1</v>
      </c>
      <c r="Q13" t="s">
        <v>46</v>
      </c>
    </row>
    <row r="14" spans="1:17">
      <c r="A14" s="2" t="s">
        <v>15</v>
      </c>
      <c r="B14" s="10">
        <v>50.9</v>
      </c>
      <c r="C14" s="10">
        <v>57.1</v>
      </c>
      <c r="D14" s="10">
        <f t="shared" si="0"/>
        <v>-6.2000000000000028</v>
      </c>
      <c r="E14" s="10">
        <f t="shared" si="1"/>
        <v>6.2000000000000028</v>
      </c>
      <c r="F14" s="10">
        <v>11</v>
      </c>
      <c r="G14" s="7">
        <f>F14*-1</f>
        <v>-11</v>
      </c>
      <c r="H14"/>
      <c r="J14" s="2" t="s">
        <v>15</v>
      </c>
      <c r="K14" s="10">
        <v>46.5</v>
      </c>
      <c r="L14" s="10">
        <v>40.9</v>
      </c>
      <c r="M14" s="10">
        <f t="shared" si="2"/>
        <v>5.6000000000000014</v>
      </c>
      <c r="N14" s="10">
        <f t="shared" si="3"/>
        <v>5.6000000000000014</v>
      </c>
      <c r="O14" s="10">
        <v>10</v>
      </c>
      <c r="P14" s="7">
        <f t="shared" si="4"/>
        <v>10</v>
      </c>
      <c r="Q14" s="14" t="s">
        <v>53</v>
      </c>
    </row>
    <row r="15" spans="1:17">
      <c r="A15" s="2" t="s">
        <v>16</v>
      </c>
      <c r="B15" s="10">
        <v>57.1</v>
      </c>
      <c r="C15" s="10">
        <v>61.5</v>
      </c>
      <c r="D15" s="10">
        <f t="shared" si="0"/>
        <v>-4.3999999999999986</v>
      </c>
      <c r="E15" s="10">
        <f t="shared" si="1"/>
        <v>4.3999999999999986</v>
      </c>
      <c r="F15" s="10">
        <v>10</v>
      </c>
      <c r="G15" s="7">
        <f>F15*-1</f>
        <v>-10</v>
      </c>
      <c r="H15" t="s">
        <v>46</v>
      </c>
      <c r="J15" s="2" t="s">
        <v>16</v>
      </c>
      <c r="K15" s="10">
        <v>39.9</v>
      </c>
      <c r="L15" s="10">
        <v>34.9</v>
      </c>
      <c r="M15" s="10">
        <f t="shared" si="2"/>
        <v>5</v>
      </c>
      <c r="N15" s="10">
        <f t="shared" si="3"/>
        <v>5</v>
      </c>
      <c r="O15" s="10">
        <v>7</v>
      </c>
      <c r="P15" s="7">
        <f t="shared" si="4"/>
        <v>7</v>
      </c>
    </row>
    <row r="16" spans="1:17">
      <c r="A16" s="2" t="s">
        <v>17</v>
      </c>
      <c r="B16" s="10">
        <v>56.1</v>
      </c>
      <c r="C16" s="10">
        <v>60.1</v>
      </c>
      <c r="D16" s="10">
        <f t="shared" si="0"/>
        <v>-4</v>
      </c>
      <c r="E16" s="10">
        <f t="shared" si="1"/>
        <v>4</v>
      </c>
      <c r="F16" s="10">
        <v>8</v>
      </c>
      <c r="G16" s="7">
        <f>F16*-1</f>
        <v>-8</v>
      </c>
      <c r="J16" s="2" t="s">
        <v>17</v>
      </c>
      <c r="K16" s="10">
        <v>40.5</v>
      </c>
      <c r="L16" s="10">
        <v>35.1</v>
      </c>
      <c r="M16" s="10">
        <f t="shared" si="2"/>
        <v>5.3999999999999986</v>
      </c>
      <c r="N16" s="10">
        <f t="shared" si="3"/>
        <v>5.3999999999999986</v>
      </c>
      <c r="O16" s="10">
        <v>9</v>
      </c>
      <c r="P16" s="7">
        <f t="shared" si="4"/>
        <v>9</v>
      </c>
    </row>
    <row r="17" spans="1:17">
      <c r="A17" s="2" t="s">
        <v>18</v>
      </c>
      <c r="B17" s="10">
        <v>51.3</v>
      </c>
      <c r="C17" s="10">
        <v>48.9</v>
      </c>
      <c r="D17" s="10">
        <f t="shared" si="0"/>
        <v>2.3999999999999986</v>
      </c>
      <c r="E17" s="10">
        <f t="shared" si="1"/>
        <v>2.3999999999999986</v>
      </c>
      <c r="F17" s="10">
        <v>5</v>
      </c>
      <c r="G17" s="7">
        <v>5</v>
      </c>
      <c r="H17" s="14" t="s">
        <v>47</v>
      </c>
      <c r="J17" s="2" t="s">
        <v>18</v>
      </c>
      <c r="K17" s="10">
        <v>44.8</v>
      </c>
      <c r="L17" s="10">
        <v>46.1</v>
      </c>
      <c r="M17" s="10">
        <f t="shared" si="2"/>
        <v>-1.3000000000000043</v>
      </c>
      <c r="N17" s="10">
        <f t="shared" si="3"/>
        <v>1.3000000000000043</v>
      </c>
      <c r="O17" s="10">
        <v>2</v>
      </c>
      <c r="P17" s="7">
        <f>O17*-1</f>
        <v>-2</v>
      </c>
    </row>
    <row r="18" spans="1:17">
      <c r="A18" s="2" t="s">
        <v>19</v>
      </c>
      <c r="B18" s="10">
        <v>47.6</v>
      </c>
      <c r="C18" s="10">
        <v>54.7</v>
      </c>
      <c r="D18" s="10">
        <f t="shared" si="0"/>
        <v>-7.1000000000000014</v>
      </c>
      <c r="E18" s="10">
        <f t="shared" si="1"/>
        <v>7.1000000000000014</v>
      </c>
      <c r="F18" s="10">
        <v>14</v>
      </c>
      <c r="G18" s="7">
        <f>F18*-1</f>
        <v>-14</v>
      </c>
      <c r="H18" s="15"/>
      <c r="J18" s="2" t="s">
        <v>19</v>
      </c>
      <c r="K18" s="10">
        <v>50.7</v>
      </c>
      <c r="L18" s="10">
        <v>42.8</v>
      </c>
      <c r="M18" s="10">
        <f t="shared" si="2"/>
        <v>7.9000000000000057</v>
      </c>
      <c r="N18" s="10">
        <f t="shared" si="3"/>
        <v>7.9000000000000057</v>
      </c>
      <c r="O18" s="10">
        <v>11</v>
      </c>
      <c r="P18" s="7">
        <f t="shared" si="4"/>
        <v>11</v>
      </c>
    </row>
    <row r="19" spans="1:17">
      <c r="A19" s="2" t="s">
        <v>20</v>
      </c>
      <c r="B19" s="10">
        <v>41.9</v>
      </c>
      <c r="C19" s="10">
        <v>45.4</v>
      </c>
      <c r="D19" s="10">
        <f t="shared" si="0"/>
        <v>-3.5</v>
      </c>
      <c r="E19" s="10">
        <f t="shared" si="1"/>
        <v>3.5</v>
      </c>
      <c r="F19" s="10">
        <v>7</v>
      </c>
      <c r="G19" s="7">
        <f>F19*-1</f>
        <v>-7</v>
      </c>
      <c r="J19" s="2" t="s">
        <v>20</v>
      </c>
      <c r="K19" s="10">
        <v>56.4</v>
      </c>
      <c r="L19" s="10">
        <v>45.4</v>
      </c>
      <c r="M19" s="10">
        <f t="shared" si="2"/>
        <v>11</v>
      </c>
      <c r="N19" s="10">
        <f t="shared" si="3"/>
        <v>11</v>
      </c>
      <c r="O19" s="11">
        <v>14</v>
      </c>
      <c r="P19" s="18">
        <f t="shared" si="4"/>
        <v>14</v>
      </c>
    </row>
    <row r="20" spans="1:17">
      <c r="A20" s="4" t="s">
        <v>28</v>
      </c>
      <c r="B20" s="12"/>
      <c r="C20" s="12"/>
      <c r="D20" s="12"/>
      <c r="E20" s="12"/>
      <c r="F20" s="12"/>
      <c r="G20" s="17">
        <f>SUM(G6:G19)</f>
        <v>-92</v>
      </c>
      <c r="I20" s="13"/>
      <c r="J20" s="4" t="s">
        <v>28</v>
      </c>
      <c r="K20" s="12"/>
      <c r="L20" s="12"/>
      <c r="M20" s="12"/>
      <c r="N20" s="12"/>
      <c r="P20" s="7">
        <f>SUM(P6:P19)</f>
        <v>99</v>
      </c>
    </row>
    <row r="22" spans="1:17">
      <c r="A22" s="1" t="s">
        <v>23</v>
      </c>
      <c r="J22" s="1" t="s">
        <v>23</v>
      </c>
    </row>
    <row r="23" spans="1:17">
      <c r="A23" s="1"/>
    </row>
    <row r="24" spans="1:17">
      <c r="A24" s="1" t="s">
        <v>21</v>
      </c>
      <c r="B24" s="3" t="s">
        <v>1</v>
      </c>
      <c r="C24" s="3" t="s">
        <v>2</v>
      </c>
      <c r="D24" s="3" t="s">
        <v>3</v>
      </c>
      <c r="E24" s="3" t="s">
        <v>4</v>
      </c>
      <c r="F24" s="3" t="s">
        <v>5</v>
      </c>
      <c r="G24" s="16" t="s">
        <v>6</v>
      </c>
      <c r="H24"/>
      <c r="J24" s="1" t="s">
        <v>22</v>
      </c>
      <c r="K24" s="3" t="s">
        <v>1</v>
      </c>
      <c r="L24" s="3" t="s">
        <v>2</v>
      </c>
      <c r="M24" s="3" t="s">
        <v>3</v>
      </c>
      <c r="N24" s="3" t="s">
        <v>4</v>
      </c>
      <c r="O24" s="3" t="s">
        <v>5</v>
      </c>
      <c r="P24" s="16" t="s">
        <v>6</v>
      </c>
    </row>
    <row r="25" spans="1:17">
      <c r="A25" s="2" t="s">
        <v>7</v>
      </c>
      <c r="B25" s="10">
        <v>55.7</v>
      </c>
      <c r="C25" s="10">
        <v>57.1</v>
      </c>
      <c r="D25" s="10">
        <f>B25-C25</f>
        <v>-1.3999999999999986</v>
      </c>
      <c r="E25" s="10">
        <f>ABS(D25)</f>
        <v>1.3999999999999986</v>
      </c>
      <c r="F25" s="10">
        <v>5</v>
      </c>
      <c r="G25" s="7">
        <f>F25*-1</f>
        <v>-5</v>
      </c>
      <c r="H25" s="9" t="s">
        <v>54</v>
      </c>
      <c r="J25" s="2" t="s">
        <v>7</v>
      </c>
      <c r="K25" s="10">
        <v>28</v>
      </c>
      <c r="L25" s="10">
        <v>24.4</v>
      </c>
      <c r="M25" s="10">
        <f>K25-L25</f>
        <v>3.6000000000000014</v>
      </c>
      <c r="N25" s="10">
        <f>ABS(M25)</f>
        <v>3.6000000000000014</v>
      </c>
      <c r="O25" s="10">
        <v>5</v>
      </c>
      <c r="P25" s="7">
        <f>O25</f>
        <v>5</v>
      </c>
      <c r="Q25" s="9" t="s">
        <v>60</v>
      </c>
    </row>
    <row r="26" spans="1:17">
      <c r="A26" s="2" t="s">
        <v>8</v>
      </c>
      <c r="B26" s="10">
        <v>50.2</v>
      </c>
      <c r="C26" s="10">
        <v>53.2</v>
      </c>
      <c r="D26" s="10">
        <f t="shared" ref="D26:D38" si="5">B26-C26</f>
        <v>-3</v>
      </c>
      <c r="E26" s="10">
        <f t="shared" ref="E26:E38" si="6">ABS(D26)</f>
        <v>3</v>
      </c>
      <c r="F26" s="10">
        <v>8</v>
      </c>
      <c r="G26" s="7">
        <f>F26*-1</f>
        <v>-8</v>
      </c>
      <c r="H26" s="9" t="s">
        <v>55</v>
      </c>
      <c r="J26" s="2" t="s">
        <v>8</v>
      </c>
      <c r="K26" s="10">
        <v>38.6</v>
      </c>
      <c r="L26" s="10">
        <v>32.9</v>
      </c>
      <c r="M26" s="10">
        <f t="shared" ref="M26:M38" si="7">K26-L26</f>
        <v>5.7000000000000028</v>
      </c>
      <c r="N26" s="10">
        <f t="shared" ref="N26:N38" si="8">ABS(M26)</f>
        <v>5.7000000000000028</v>
      </c>
      <c r="O26" s="10">
        <v>11</v>
      </c>
      <c r="P26" s="7">
        <f t="shared" ref="P26:P38" si="9">O26</f>
        <v>11</v>
      </c>
      <c r="Q26" s="9" t="s">
        <v>61</v>
      </c>
    </row>
    <row r="27" spans="1:17">
      <c r="A27" s="2" t="s">
        <v>9</v>
      </c>
      <c r="B27" s="10">
        <v>66.5</v>
      </c>
      <c r="C27" s="10">
        <v>65.400000000000006</v>
      </c>
      <c r="D27" s="10">
        <f t="shared" si="5"/>
        <v>1.0999999999999943</v>
      </c>
      <c r="E27" s="10">
        <f t="shared" si="6"/>
        <v>1.0999999999999943</v>
      </c>
      <c r="F27" s="10">
        <v>4</v>
      </c>
      <c r="G27" s="7">
        <f>F27</f>
        <v>4</v>
      </c>
      <c r="H27" s="9" t="s">
        <v>56</v>
      </c>
      <c r="J27" s="2" t="s">
        <v>9</v>
      </c>
      <c r="K27" s="10">
        <v>24.9</v>
      </c>
      <c r="L27" s="10">
        <v>24</v>
      </c>
      <c r="M27" s="10">
        <f t="shared" si="7"/>
        <v>0.89999999999999858</v>
      </c>
      <c r="N27" s="10">
        <f t="shared" si="8"/>
        <v>0.89999999999999858</v>
      </c>
      <c r="O27" s="10">
        <v>1</v>
      </c>
      <c r="P27" s="7">
        <f t="shared" si="9"/>
        <v>1</v>
      </c>
      <c r="Q27" s="9" t="s">
        <v>62</v>
      </c>
    </row>
    <row r="28" spans="1:17">
      <c r="A28" s="2" t="s">
        <v>10</v>
      </c>
      <c r="B28" s="10">
        <v>54.6</v>
      </c>
      <c r="C28" s="10">
        <v>59</v>
      </c>
      <c r="D28" s="10">
        <f t="shared" si="5"/>
        <v>-4.3999999999999986</v>
      </c>
      <c r="E28" s="10">
        <f t="shared" si="6"/>
        <v>4.3999999999999986</v>
      </c>
      <c r="F28" s="10">
        <v>10</v>
      </c>
      <c r="G28" s="7">
        <f>F28*-1</f>
        <v>-10</v>
      </c>
      <c r="H28" s="9" t="s">
        <v>57</v>
      </c>
      <c r="J28" s="2" t="s">
        <v>10</v>
      </c>
      <c r="K28" s="10">
        <v>32.299999999999997</v>
      </c>
      <c r="L28" s="10">
        <v>28.3</v>
      </c>
      <c r="M28" s="10">
        <f t="shared" si="7"/>
        <v>3.9999999999999964</v>
      </c>
      <c r="N28" s="10">
        <f t="shared" si="8"/>
        <v>3.9999999999999964</v>
      </c>
      <c r="O28" s="10">
        <v>7</v>
      </c>
      <c r="P28" s="7">
        <f t="shared" si="9"/>
        <v>7</v>
      </c>
      <c r="Q28" s="9" t="s">
        <v>63</v>
      </c>
    </row>
    <row r="29" spans="1:17">
      <c r="A29" s="2" t="s">
        <v>11</v>
      </c>
      <c r="B29" s="10">
        <v>55.4</v>
      </c>
      <c r="C29" s="10">
        <v>63.3</v>
      </c>
      <c r="D29" s="10">
        <f t="shared" si="5"/>
        <v>-7.8999999999999986</v>
      </c>
      <c r="E29" s="10">
        <f t="shared" si="6"/>
        <v>7.8999999999999986</v>
      </c>
      <c r="F29" s="10">
        <v>13</v>
      </c>
      <c r="G29" s="7">
        <f>F29*-1</f>
        <v>-13</v>
      </c>
      <c r="H29"/>
      <c r="J29" s="2" t="s">
        <v>11</v>
      </c>
      <c r="K29" s="10">
        <v>33.700000000000003</v>
      </c>
      <c r="L29" s="10">
        <v>23.2</v>
      </c>
      <c r="M29" s="10">
        <f t="shared" si="7"/>
        <v>10.500000000000004</v>
      </c>
      <c r="N29" s="10">
        <f t="shared" si="8"/>
        <v>10.500000000000004</v>
      </c>
      <c r="O29" s="10">
        <v>14</v>
      </c>
      <c r="P29" s="7">
        <f t="shared" si="9"/>
        <v>14</v>
      </c>
      <c r="Q29"/>
    </row>
    <row r="30" spans="1:17">
      <c r="A30" s="2" t="s">
        <v>12</v>
      </c>
      <c r="B30" s="10">
        <v>65.2</v>
      </c>
      <c r="C30" s="10">
        <v>65.099999999999994</v>
      </c>
      <c r="D30" s="10">
        <f t="shared" si="5"/>
        <v>0.10000000000000853</v>
      </c>
      <c r="E30" s="10">
        <f t="shared" si="6"/>
        <v>0.10000000000000853</v>
      </c>
      <c r="F30" s="10">
        <v>1</v>
      </c>
      <c r="G30" s="7">
        <f>F30</f>
        <v>1</v>
      </c>
      <c r="H30" s="9" t="s">
        <v>58</v>
      </c>
      <c r="J30" s="2" t="s">
        <v>12</v>
      </c>
      <c r="K30" s="10">
        <v>23.3</v>
      </c>
      <c r="L30" s="10">
        <v>21.2</v>
      </c>
      <c r="M30" s="10">
        <f t="shared" si="7"/>
        <v>2.1000000000000014</v>
      </c>
      <c r="N30" s="10">
        <f t="shared" si="8"/>
        <v>2.1000000000000014</v>
      </c>
      <c r="O30" s="10">
        <v>3</v>
      </c>
      <c r="P30" s="7">
        <f t="shared" si="9"/>
        <v>3</v>
      </c>
      <c r="Q30" s="9" t="s">
        <v>64</v>
      </c>
    </row>
    <row r="31" spans="1:17">
      <c r="A31" s="2" t="s">
        <v>13</v>
      </c>
      <c r="B31" s="10">
        <v>54.4</v>
      </c>
      <c r="C31" s="10">
        <v>53.8</v>
      </c>
      <c r="D31" s="10">
        <f t="shared" si="5"/>
        <v>0.60000000000000142</v>
      </c>
      <c r="E31" s="10">
        <f t="shared" si="6"/>
        <v>0.60000000000000142</v>
      </c>
      <c r="F31" s="10">
        <v>2</v>
      </c>
      <c r="G31" s="7">
        <f>F31</f>
        <v>2</v>
      </c>
      <c r="H31" t="s">
        <v>44</v>
      </c>
      <c r="J31" s="2" t="s">
        <v>13</v>
      </c>
      <c r="K31" s="10">
        <v>24.8</v>
      </c>
      <c r="L31" s="10">
        <v>22.2</v>
      </c>
      <c r="M31" s="10">
        <f t="shared" si="7"/>
        <v>2.6000000000000014</v>
      </c>
      <c r="N31" s="10">
        <f t="shared" si="8"/>
        <v>2.6000000000000014</v>
      </c>
      <c r="O31" s="10">
        <v>4</v>
      </c>
      <c r="P31" s="7">
        <f t="shared" si="9"/>
        <v>4</v>
      </c>
      <c r="Q31" t="s">
        <v>44</v>
      </c>
    </row>
    <row r="32" spans="1:17">
      <c r="A32" s="2" t="s">
        <v>14</v>
      </c>
      <c r="B32" s="10">
        <v>46.8</v>
      </c>
      <c r="C32" s="10">
        <v>45.8</v>
      </c>
      <c r="D32" s="10">
        <f t="shared" si="5"/>
        <v>1</v>
      </c>
      <c r="E32" s="10">
        <f t="shared" si="6"/>
        <v>1</v>
      </c>
      <c r="F32" s="10">
        <v>3</v>
      </c>
      <c r="G32" s="7">
        <f>F32</f>
        <v>3</v>
      </c>
      <c r="H32" t="s">
        <v>45</v>
      </c>
      <c r="J32" s="2" t="s">
        <v>14</v>
      </c>
      <c r="K32" s="10">
        <v>38.4</v>
      </c>
      <c r="L32" s="10">
        <v>40.200000000000003</v>
      </c>
      <c r="M32" s="10">
        <f t="shared" si="7"/>
        <v>-1.8000000000000043</v>
      </c>
      <c r="N32" s="10">
        <f t="shared" si="8"/>
        <v>1.8000000000000043</v>
      </c>
      <c r="O32" s="10">
        <v>2</v>
      </c>
      <c r="P32" s="7">
        <f>O32*-1</f>
        <v>-2</v>
      </c>
      <c r="Q32" t="s">
        <v>45</v>
      </c>
    </row>
    <row r="33" spans="1:17">
      <c r="A33" s="2" t="s">
        <v>15</v>
      </c>
      <c r="B33" s="10">
        <v>45.1</v>
      </c>
      <c r="C33" s="10">
        <v>50.4</v>
      </c>
      <c r="D33" s="10">
        <f t="shared" si="5"/>
        <v>-5.2999999999999972</v>
      </c>
      <c r="E33" s="10">
        <f t="shared" si="6"/>
        <v>5.2999999999999972</v>
      </c>
      <c r="F33" s="10">
        <v>11</v>
      </c>
      <c r="G33" s="7">
        <f>F33*-1</f>
        <v>-11</v>
      </c>
      <c r="H33"/>
      <c r="J33" s="2" t="s">
        <v>15</v>
      </c>
      <c r="K33" s="10">
        <v>40.9</v>
      </c>
      <c r="L33" s="10">
        <v>36.299999999999997</v>
      </c>
      <c r="M33" s="10">
        <f t="shared" si="7"/>
        <v>4.6000000000000014</v>
      </c>
      <c r="N33" s="10">
        <f t="shared" si="8"/>
        <v>4.6000000000000014</v>
      </c>
      <c r="O33" s="10">
        <v>8</v>
      </c>
      <c r="P33" s="7">
        <f t="shared" si="9"/>
        <v>8</v>
      </c>
      <c r="Q33"/>
    </row>
    <row r="34" spans="1:17">
      <c r="A34" s="2" t="s">
        <v>16</v>
      </c>
      <c r="B34" s="10">
        <v>53.5</v>
      </c>
      <c r="C34" s="10">
        <v>56.4</v>
      </c>
      <c r="D34" s="10">
        <f t="shared" si="5"/>
        <v>-2.8999999999999986</v>
      </c>
      <c r="E34" s="10">
        <f t="shared" si="6"/>
        <v>2.8999999999999986</v>
      </c>
      <c r="F34" s="10">
        <v>7</v>
      </c>
      <c r="G34" s="7">
        <f>F34*-1</f>
        <v>-7</v>
      </c>
      <c r="H34" t="s">
        <v>46</v>
      </c>
      <c r="J34" s="2" t="s">
        <v>16</v>
      </c>
      <c r="K34" s="10">
        <v>33.1</v>
      </c>
      <c r="L34" s="10">
        <v>28</v>
      </c>
      <c r="M34" s="10">
        <f t="shared" si="7"/>
        <v>5.1000000000000014</v>
      </c>
      <c r="N34" s="10">
        <f t="shared" si="8"/>
        <v>5.1000000000000014</v>
      </c>
      <c r="O34" s="10">
        <v>9</v>
      </c>
      <c r="P34" s="7">
        <f t="shared" si="9"/>
        <v>9</v>
      </c>
      <c r="Q34" t="s">
        <v>46</v>
      </c>
    </row>
    <row r="35" spans="1:17">
      <c r="A35" s="2" t="s">
        <v>17</v>
      </c>
      <c r="B35" s="10">
        <v>50.7</v>
      </c>
      <c r="C35" s="10">
        <v>57</v>
      </c>
      <c r="D35" s="10">
        <f t="shared" si="5"/>
        <v>-6.2999999999999972</v>
      </c>
      <c r="E35" s="10">
        <f t="shared" si="6"/>
        <v>6.2999999999999972</v>
      </c>
      <c r="F35" s="10">
        <v>12</v>
      </c>
      <c r="G35" s="7">
        <f>F35*-1</f>
        <v>-12</v>
      </c>
      <c r="H35"/>
      <c r="J35" s="2" t="s">
        <v>17</v>
      </c>
      <c r="K35" s="10">
        <v>32.1</v>
      </c>
      <c r="L35" s="10">
        <v>25</v>
      </c>
      <c r="M35" s="10">
        <f t="shared" si="7"/>
        <v>7.1000000000000014</v>
      </c>
      <c r="N35" s="10">
        <f t="shared" si="8"/>
        <v>7.1000000000000014</v>
      </c>
      <c r="O35" s="10">
        <v>13</v>
      </c>
      <c r="P35" s="7">
        <f t="shared" si="9"/>
        <v>13</v>
      </c>
    </row>
    <row r="36" spans="1:17">
      <c r="A36" s="2" t="s">
        <v>18</v>
      </c>
      <c r="B36" s="10">
        <v>52.8</v>
      </c>
      <c r="C36" s="10">
        <v>43.4</v>
      </c>
      <c r="D36" s="10">
        <f t="shared" si="5"/>
        <v>9.3999999999999986</v>
      </c>
      <c r="E36" s="10">
        <f t="shared" si="6"/>
        <v>9.3999999999999986</v>
      </c>
      <c r="F36" s="10">
        <v>14</v>
      </c>
      <c r="G36" s="7">
        <f>F36</f>
        <v>14</v>
      </c>
      <c r="H36" s="5" t="s">
        <v>59</v>
      </c>
      <c r="J36" s="2" t="s">
        <v>18</v>
      </c>
      <c r="K36" s="10">
        <v>34.700000000000003</v>
      </c>
      <c r="L36" s="10">
        <v>39.9</v>
      </c>
      <c r="M36" s="10">
        <f t="shared" si="7"/>
        <v>-5.1999999999999957</v>
      </c>
      <c r="N36" s="10">
        <f t="shared" si="8"/>
        <v>5.1999999999999957</v>
      </c>
      <c r="O36" s="10">
        <v>10</v>
      </c>
      <c r="P36" s="7">
        <f>O36*-1</f>
        <v>-10</v>
      </c>
      <c r="Q36" s="14" t="s">
        <v>65</v>
      </c>
    </row>
    <row r="37" spans="1:17">
      <c r="A37" s="2" t="s">
        <v>19</v>
      </c>
      <c r="B37" s="10">
        <v>39.9</v>
      </c>
      <c r="C37" s="10">
        <v>43.1</v>
      </c>
      <c r="D37" s="10">
        <f t="shared" si="5"/>
        <v>-3.2000000000000028</v>
      </c>
      <c r="E37" s="10">
        <f t="shared" si="6"/>
        <v>3.2000000000000028</v>
      </c>
      <c r="F37" s="10">
        <v>9</v>
      </c>
      <c r="G37" s="7">
        <v>-5</v>
      </c>
      <c r="H37" s="15"/>
      <c r="J37" s="2" t="s">
        <v>19</v>
      </c>
      <c r="K37" s="10">
        <v>52.5</v>
      </c>
      <c r="L37" s="10">
        <v>45.5</v>
      </c>
      <c r="M37" s="10">
        <f t="shared" si="7"/>
        <v>7</v>
      </c>
      <c r="N37" s="10">
        <f t="shared" si="8"/>
        <v>7</v>
      </c>
      <c r="O37" s="10">
        <v>12</v>
      </c>
      <c r="P37" s="7">
        <f t="shared" si="9"/>
        <v>12</v>
      </c>
    </row>
    <row r="38" spans="1:17">
      <c r="A38" s="2" t="s">
        <v>20</v>
      </c>
      <c r="B38" s="10">
        <v>40.4</v>
      </c>
      <c r="C38" s="10">
        <v>41.8</v>
      </c>
      <c r="D38" s="10">
        <f t="shared" si="5"/>
        <v>-1.3999999999999986</v>
      </c>
      <c r="E38" s="10">
        <f t="shared" si="6"/>
        <v>1.3999999999999986</v>
      </c>
      <c r="F38" s="11">
        <v>5</v>
      </c>
      <c r="G38" s="18">
        <v>-8</v>
      </c>
      <c r="J38" s="2" t="s">
        <v>20</v>
      </c>
      <c r="K38" s="10">
        <v>52.8</v>
      </c>
      <c r="L38" s="10">
        <v>48.9</v>
      </c>
      <c r="M38" s="10">
        <f t="shared" si="7"/>
        <v>3.8999999999999986</v>
      </c>
      <c r="N38" s="10">
        <f t="shared" si="8"/>
        <v>3.8999999999999986</v>
      </c>
      <c r="O38" s="11">
        <v>6</v>
      </c>
      <c r="P38" s="18">
        <f t="shared" si="9"/>
        <v>6</v>
      </c>
    </row>
    <row r="39" spans="1:17">
      <c r="A39" s="4" t="s">
        <v>28</v>
      </c>
      <c r="B39" s="12"/>
      <c r="C39" s="12"/>
      <c r="D39" s="12"/>
      <c r="E39" s="12"/>
      <c r="G39" s="7">
        <f>SUM(G25:G38)</f>
        <v>-55</v>
      </c>
      <c r="I39" s="13"/>
      <c r="J39" s="4" t="s">
        <v>28</v>
      </c>
      <c r="K39" s="12"/>
      <c r="L39" s="12"/>
      <c r="M39" s="12"/>
      <c r="N39" s="12"/>
      <c r="P39" s="7">
        <f>SUM(P25:P38)</f>
        <v>81</v>
      </c>
    </row>
    <row r="41" spans="1:17">
      <c r="A41" s="1" t="s">
        <v>27</v>
      </c>
      <c r="J41" s="1" t="s">
        <v>27</v>
      </c>
    </row>
    <row r="42" spans="1:17">
      <c r="A42" s="1"/>
    </row>
    <row r="43" spans="1:17">
      <c r="A43" s="1" t="s">
        <v>21</v>
      </c>
      <c r="B43" s="3" t="s">
        <v>1</v>
      </c>
      <c r="C43" s="3" t="s">
        <v>2</v>
      </c>
      <c r="D43" s="3" t="s">
        <v>3</v>
      </c>
      <c r="E43" s="3" t="s">
        <v>4</v>
      </c>
      <c r="F43" s="3" t="s">
        <v>5</v>
      </c>
      <c r="G43" s="16" t="s">
        <v>6</v>
      </c>
      <c r="J43" s="1" t="s">
        <v>22</v>
      </c>
      <c r="K43" s="3" t="s">
        <v>1</v>
      </c>
      <c r="L43" s="3" t="s">
        <v>2</v>
      </c>
      <c r="M43" s="3" t="s">
        <v>3</v>
      </c>
      <c r="N43" s="3" t="s">
        <v>4</v>
      </c>
      <c r="O43" s="3" t="s">
        <v>5</v>
      </c>
      <c r="P43" s="16" t="s">
        <v>6</v>
      </c>
    </row>
    <row r="44" spans="1:17">
      <c r="A44" s="2" t="s">
        <v>7</v>
      </c>
      <c r="B44" s="10">
        <v>65.5</v>
      </c>
      <c r="C44" s="10">
        <v>66.2</v>
      </c>
      <c r="D44" s="10">
        <f>B44-C44</f>
        <v>-0.70000000000000284</v>
      </c>
      <c r="E44" s="10">
        <f>ABS(D44)</f>
        <v>0.70000000000000284</v>
      </c>
      <c r="F44" s="10">
        <v>1</v>
      </c>
      <c r="G44" s="7">
        <f>F44*-1</f>
        <v>-1</v>
      </c>
      <c r="H44" s="9" t="s">
        <v>66</v>
      </c>
      <c r="J44" s="2" t="s">
        <v>7</v>
      </c>
      <c r="K44" s="10">
        <v>27</v>
      </c>
      <c r="L44" s="10">
        <v>22.8</v>
      </c>
      <c r="M44" s="10">
        <f>K44-L44</f>
        <v>4.1999999999999993</v>
      </c>
      <c r="N44" s="10">
        <f>ABS(M44)</f>
        <v>4.1999999999999993</v>
      </c>
      <c r="O44" s="10">
        <v>8</v>
      </c>
      <c r="P44" s="7">
        <f>O44</f>
        <v>8</v>
      </c>
      <c r="Q44" s="9" t="s">
        <v>72</v>
      </c>
    </row>
    <row r="45" spans="1:17">
      <c r="A45" s="2" t="s">
        <v>8</v>
      </c>
      <c r="B45" s="10">
        <v>73.7</v>
      </c>
      <c r="C45" s="10">
        <v>75</v>
      </c>
      <c r="D45" s="10">
        <f t="shared" ref="D45:D57" si="10">B45-C45</f>
        <v>-1.2999999999999972</v>
      </c>
      <c r="E45" s="10">
        <f t="shared" ref="E45:E57" si="11">ABS(D45)</f>
        <v>1.2999999999999972</v>
      </c>
      <c r="F45" s="10">
        <v>3</v>
      </c>
      <c r="G45" s="7">
        <f>F45*-1</f>
        <v>-3</v>
      </c>
      <c r="H45" s="9" t="s">
        <v>67</v>
      </c>
      <c r="J45" s="2" t="s">
        <v>8</v>
      </c>
      <c r="K45" s="10">
        <v>20.5</v>
      </c>
      <c r="L45" s="10">
        <v>17.8</v>
      </c>
      <c r="M45" s="10">
        <f t="shared" ref="M45:M57" si="12">K45-L45</f>
        <v>2.6999999999999993</v>
      </c>
      <c r="N45" s="10">
        <f t="shared" ref="N45:N57" si="13">ABS(M45)</f>
        <v>2.6999999999999993</v>
      </c>
      <c r="O45" s="10">
        <v>5</v>
      </c>
      <c r="P45" s="7">
        <f t="shared" ref="P45:P57" si="14">O45</f>
        <v>5</v>
      </c>
      <c r="Q45" s="9" t="s">
        <v>73</v>
      </c>
    </row>
    <row r="46" spans="1:17">
      <c r="A46" s="2" t="s">
        <v>9</v>
      </c>
      <c r="B46" s="10">
        <v>76.5</v>
      </c>
      <c r="C46" s="10">
        <v>75</v>
      </c>
      <c r="D46" s="10">
        <f t="shared" si="10"/>
        <v>1.5</v>
      </c>
      <c r="E46" s="10">
        <f t="shared" si="11"/>
        <v>1.5</v>
      </c>
      <c r="F46" s="10">
        <v>4</v>
      </c>
      <c r="G46" s="7">
        <f>F46</f>
        <v>4</v>
      </c>
      <c r="H46" s="9" t="s">
        <v>68</v>
      </c>
      <c r="J46" s="2" t="s">
        <v>9</v>
      </c>
      <c r="K46" s="10">
        <v>17.7</v>
      </c>
      <c r="L46" s="10">
        <v>18.5</v>
      </c>
      <c r="M46" s="10">
        <f t="shared" si="12"/>
        <v>-0.80000000000000071</v>
      </c>
      <c r="N46" s="10">
        <f t="shared" si="13"/>
        <v>0.80000000000000071</v>
      </c>
      <c r="O46" s="10">
        <v>1</v>
      </c>
      <c r="P46" s="7">
        <f>O46*-1</f>
        <v>-1</v>
      </c>
      <c r="Q46" s="9" t="s">
        <v>74</v>
      </c>
    </row>
    <row r="47" spans="1:17">
      <c r="A47" s="2" t="s">
        <v>10</v>
      </c>
      <c r="B47" s="10">
        <v>70</v>
      </c>
      <c r="C47" s="10">
        <v>72.599999999999994</v>
      </c>
      <c r="D47" s="10">
        <f t="shared" si="10"/>
        <v>-2.5999999999999943</v>
      </c>
      <c r="E47" s="10">
        <f t="shared" si="11"/>
        <v>2.5999999999999943</v>
      </c>
      <c r="F47" s="10">
        <v>7</v>
      </c>
      <c r="G47" s="7">
        <f>F47*-1</f>
        <v>-7</v>
      </c>
      <c r="H47" s="9" t="s">
        <v>69</v>
      </c>
      <c r="J47" s="2" t="s">
        <v>10</v>
      </c>
      <c r="K47" s="10">
        <v>25.9</v>
      </c>
      <c r="L47" s="10">
        <v>22.3</v>
      </c>
      <c r="M47" s="10">
        <f t="shared" si="12"/>
        <v>3.5999999999999979</v>
      </c>
      <c r="N47" s="10">
        <f t="shared" si="13"/>
        <v>3.5999999999999979</v>
      </c>
      <c r="O47" s="10">
        <v>7</v>
      </c>
      <c r="P47" s="7">
        <f t="shared" si="14"/>
        <v>7</v>
      </c>
      <c r="Q47" s="9" t="s">
        <v>75</v>
      </c>
    </row>
    <row r="48" spans="1:17">
      <c r="A48" s="2" t="s">
        <v>11</v>
      </c>
      <c r="B48" s="10">
        <v>68.400000000000006</v>
      </c>
      <c r="C48" s="10">
        <v>74.7</v>
      </c>
      <c r="D48" s="10">
        <f t="shared" si="10"/>
        <v>-6.2999999999999972</v>
      </c>
      <c r="E48" s="10">
        <f t="shared" si="11"/>
        <v>6.2999999999999972</v>
      </c>
      <c r="F48" s="10">
        <v>13</v>
      </c>
      <c r="G48" s="7">
        <f>F48*-1</f>
        <v>-13</v>
      </c>
      <c r="H48"/>
      <c r="J48" s="2" t="s">
        <v>11</v>
      </c>
      <c r="K48" s="10">
        <v>26.3</v>
      </c>
      <c r="L48" s="10">
        <v>18.2</v>
      </c>
      <c r="M48" s="10">
        <f t="shared" si="12"/>
        <v>8.1000000000000014</v>
      </c>
      <c r="N48" s="10">
        <f t="shared" si="13"/>
        <v>8.1000000000000014</v>
      </c>
      <c r="O48" s="10">
        <v>13</v>
      </c>
      <c r="P48" s="7">
        <f t="shared" si="14"/>
        <v>13</v>
      </c>
      <c r="Q48"/>
    </row>
    <row r="49" spans="1:17">
      <c r="A49" s="2" t="s">
        <v>12</v>
      </c>
      <c r="B49" s="10">
        <v>63</v>
      </c>
      <c r="C49" s="10">
        <v>65.400000000000006</v>
      </c>
      <c r="D49" s="10">
        <f t="shared" si="10"/>
        <v>-2.4000000000000057</v>
      </c>
      <c r="E49" s="10">
        <f t="shared" si="11"/>
        <v>2.4000000000000057</v>
      </c>
      <c r="F49" s="10">
        <v>5</v>
      </c>
      <c r="G49" s="7">
        <f>F49*-1</f>
        <v>-5</v>
      </c>
      <c r="H49" s="9" t="s">
        <v>70</v>
      </c>
      <c r="J49" s="2" t="s">
        <v>12</v>
      </c>
      <c r="K49" s="10">
        <v>28.8</v>
      </c>
      <c r="L49" s="10">
        <v>22.9</v>
      </c>
      <c r="M49" s="10">
        <f t="shared" si="12"/>
        <v>5.9000000000000021</v>
      </c>
      <c r="N49" s="10">
        <f t="shared" si="13"/>
        <v>5.9000000000000021</v>
      </c>
      <c r="O49" s="10">
        <v>11</v>
      </c>
      <c r="P49" s="7">
        <f t="shared" si="14"/>
        <v>11</v>
      </c>
      <c r="Q49" s="9" t="s">
        <v>76</v>
      </c>
    </row>
    <row r="50" spans="1:17">
      <c r="A50" s="2" t="s">
        <v>13</v>
      </c>
      <c r="B50" s="10">
        <v>65.900000000000006</v>
      </c>
      <c r="C50" s="10">
        <v>64.7</v>
      </c>
      <c r="D50" s="10">
        <f t="shared" si="10"/>
        <v>1.2000000000000028</v>
      </c>
      <c r="E50" s="10">
        <f t="shared" si="11"/>
        <v>1.2000000000000028</v>
      </c>
      <c r="F50" s="10">
        <v>2</v>
      </c>
      <c r="G50" s="7">
        <f>F50</f>
        <v>2</v>
      </c>
      <c r="H50" t="s">
        <v>44</v>
      </c>
      <c r="J50" s="2" t="s">
        <v>13</v>
      </c>
      <c r="K50" s="10">
        <v>25.8</v>
      </c>
      <c r="L50" s="10">
        <v>22.7</v>
      </c>
      <c r="M50" s="10">
        <f t="shared" si="12"/>
        <v>3.1000000000000014</v>
      </c>
      <c r="N50" s="10">
        <f t="shared" si="13"/>
        <v>3.1000000000000014</v>
      </c>
      <c r="O50" s="10">
        <v>6</v>
      </c>
      <c r="P50" s="7">
        <f t="shared" si="14"/>
        <v>6</v>
      </c>
      <c r="Q50" t="s">
        <v>44</v>
      </c>
    </row>
    <row r="51" spans="1:17">
      <c r="A51" s="2" t="s">
        <v>14</v>
      </c>
      <c r="B51" s="10">
        <v>62.8</v>
      </c>
      <c r="C51" s="10">
        <v>66.900000000000006</v>
      </c>
      <c r="D51" s="10">
        <f t="shared" si="10"/>
        <v>-4.1000000000000085</v>
      </c>
      <c r="E51" s="10">
        <f t="shared" si="11"/>
        <v>4.1000000000000085</v>
      </c>
      <c r="F51" s="10">
        <v>10</v>
      </c>
      <c r="G51" s="7">
        <f>F51*-1</f>
        <v>-10</v>
      </c>
      <c r="H51" t="s">
        <v>45</v>
      </c>
      <c r="J51" s="2" t="s">
        <v>14</v>
      </c>
      <c r="K51" s="10">
        <v>29.2</v>
      </c>
      <c r="L51" s="10">
        <v>24.6</v>
      </c>
      <c r="M51" s="10">
        <f t="shared" si="12"/>
        <v>4.5999999999999979</v>
      </c>
      <c r="N51" s="10">
        <f t="shared" si="13"/>
        <v>4.5999999999999979</v>
      </c>
      <c r="O51" s="10">
        <v>10</v>
      </c>
      <c r="P51" s="7">
        <f t="shared" si="14"/>
        <v>10</v>
      </c>
      <c r="Q51" t="s">
        <v>45</v>
      </c>
    </row>
    <row r="52" spans="1:17">
      <c r="A52" s="2" t="s">
        <v>15</v>
      </c>
      <c r="B52" s="10">
        <v>64.2</v>
      </c>
      <c r="C52" s="10">
        <v>71.3</v>
      </c>
      <c r="D52" s="10">
        <f t="shared" si="10"/>
        <v>-7.0999999999999943</v>
      </c>
      <c r="E52" s="10">
        <f t="shared" si="11"/>
        <v>7.0999999999999943</v>
      </c>
      <c r="F52" s="10">
        <v>14</v>
      </c>
      <c r="G52" s="7">
        <f>F52*-1</f>
        <v>-14</v>
      </c>
      <c r="H52"/>
      <c r="J52" s="2" t="s">
        <v>15</v>
      </c>
      <c r="K52" s="10">
        <v>30.4</v>
      </c>
      <c r="L52" s="10">
        <v>21.8</v>
      </c>
      <c r="M52" s="10">
        <f t="shared" si="12"/>
        <v>8.5999999999999979</v>
      </c>
      <c r="N52" s="10">
        <f t="shared" si="13"/>
        <v>8.5999999999999979</v>
      </c>
      <c r="O52" s="10">
        <v>14</v>
      </c>
      <c r="P52" s="7">
        <f t="shared" si="14"/>
        <v>14</v>
      </c>
      <c r="Q52"/>
    </row>
    <row r="53" spans="1:17">
      <c r="A53" s="2" t="s">
        <v>16</v>
      </c>
      <c r="B53" s="10">
        <v>64.8</v>
      </c>
      <c r="C53" s="10">
        <v>68.099999999999994</v>
      </c>
      <c r="D53" s="10">
        <f t="shared" si="10"/>
        <v>-3.2999999999999972</v>
      </c>
      <c r="E53" s="10">
        <f t="shared" si="11"/>
        <v>3.2999999999999972</v>
      </c>
      <c r="F53" s="10">
        <v>8</v>
      </c>
      <c r="G53" s="7">
        <f>F53*-1</f>
        <v>-8</v>
      </c>
      <c r="H53" t="s">
        <v>46</v>
      </c>
      <c r="J53" s="2" t="s">
        <v>16</v>
      </c>
      <c r="K53" s="10">
        <v>30</v>
      </c>
      <c r="L53" s="10">
        <v>23.3</v>
      </c>
      <c r="M53" s="10">
        <f t="shared" si="12"/>
        <v>6.6999999999999993</v>
      </c>
      <c r="N53" s="10">
        <f t="shared" si="13"/>
        <v>6.6999999999999993</v>
      </c>
      <c r="O53" s="10">
        <v>12</v>
      </c>
      <c r="P53" s="7">
        <f t="shared" si="14"/>
        <v>12</v>
      </c>
      <c r="Q53" t="s">
        <v>46</v>
      </c>
    </row>
    <row r="54" spans="1:17">
      <c r="A54" s="2" t="s">
        <v>17</v>
      </c>
      <c r="B54" s="10">
        <v>67.8</v>
      </c>
      <c r="C54" s="10">
        <v>65.400000000000006</v>
      </c>
      <c r="D54" s="10">
        <f t="shared" si="10"/>
        <v>2.3999999999999915</v>
      </c>
      <c r="E54" s="10">
        <f t="shared" si="11"/>
        <v>2.3999999999999915</v>
      </c>
      <c r="F54" s="10">
        <v>5</v>
      </c>
      <c r="G54" s="7">
        <f>F54</f>
        <v>5</v>
      </c>
      <c r="J54" s="2" t="s">
        <v>17</v>
      </c>
      <c r="K54" s="10">
        <v>25</v>
      </c>
      <c r="L54" s="10">
        <v>23.8</v>
      </c>
      <c r="M54" s="10">
        <f t="shared" si="12"/>
        <v>1.1999999999999993</v>
      </c>
      <c r="N54" s="10">
        <f t="shared" si="13"/>
        <v>1.1999999999999993</v>
      </c>
      <c r="O54" s="10">
        <v>2</v>
      </c>
      <c r="P54" s="7">
        <f t="shared" si="14"/>
        <v>2</v>
      </c>
    </row>
    <row r="55" spans="1:17">
      <c r="A55" s="2" t="s">
        <v>18</v>
      </c>
      <c r="B55" s="10">
        <v>68.400000000000006</v>
      </c>
      <c r="C55" s="10">
        <v>62.8</v>
      </c>
      <c r="D55" s="10">
        <f t="shared" si="10"/>
        <v>5.6000000000000085</v>
      </c>
      <c r="E55" s="10">
        <f t="shared" si="11"/>
        <v>5.6000000000000085</v>
      </c>
      <c r="F55" s="10">
        <v>11</v>
      </c>
      <c r="G55" s="7">
        <f>F55</f>
        <v>11</v>
      </c>
      <c r="H55" s="5" t="s">
        <v>71</v>
      </c>
      <c r="J55" s="2" t="s">
        <v>18</v>
      </c>
      <c r="K55" s="10">
        <v>26</v>
      </c>
      <c r="L55" s="10">
        <v>30.5</v>
      </c>
      <c r="M55" s="10">
        <f t="shared" si="12"/>
        <v>-4.5</v>
      </c>
      <c r="N55" s="10">
        <f t="shared" si="13"/>
        <v>4.5</v>
      </c>
      <c r="O55" s="10">
        <v>9</v>
      </c>
      <c r="P55" s="7">
        <f>O55*-1</f>
        <v>-9</v>
      </c>
      <c r="Q55" s="14" t="s">
        <v>77</v>
      </c>
    </row>
    <row r="56" spans="1:17">
      <c r="A56" s="2" t="s">
        <v>19</v>
      </c>
      <c r="B56" s="10">
        <v>63.2</v>
      </c>
      <c r="C56" s="10">
        <v>66.599999999999994</v>
      </c>
      <c r="D56" s="10">
        <f t="shared" si="10"/>
        <v>-3.3999999999999915</v>
      </c>
      <c r="E56" s="10">
        <f t="shared" si="11"/>
        <v>3.3999999999999915</v>
      </c>
      <c r="F56" s="10">
        <v>9</v>
      </c>
      <c r="G56" s="7">
        <f>F56*-1</f>
        <v>-9</v>
      </c>
      <c r="H56" s="15"/>
      <c r="J56" s="2" t="s">
        <v>19</v>
      </c>
      <c r="K56" s="10">
        <v>30.6</v>
      </c>
      <c r="L56" s="10">
        <v>28</v>
      </c>
      <c r="M56" s="10">
        <f t="shared" si="12"/>
        <v>2.6000000000000014</v>
      </c>
      <c r="N56" s="10">
        <f t="shared" si="13"/>
        <v>2.6000000000000014</v>
      </c>
      <c r="O56" s="10">
        <v>4</v>
      </c>
      <c r="P56" s="7">
        <f t="shared" si="14"/>
        <v>4</v>
      </c>
    </row>
    <row r="57" spans="1:17">
      <c r="A57" s="2" t="s">
        <v>20</v>
      </c>
      <c r="B57" s="10">
        <v>64.599999999999994</v>
      </c>
      <c r="C57" s="10">
        <v>58.6</v>
      </c>
      <c r="D57" s="10">
        <f t="shared" si="10"/>
        <v>5.9999999999999929</v>
      </c>
      <c r="E57" s="10">
        <f t="shared" si="11"/>
        <v>5.9999999999999929</v>
      </c>
      <c r="F57" s="11">
        <v>12</v>
      </c>
      <c r="G57" s="18">
        <f>F57</f>
        <v>12</v>
      </c>
      <c r="J57" s="2" t="s">
        <v>20</v>
      </c>
      <c r="K57" s="10">
        <v>34.200000000000003</v>
      </c>
      <c r="L57" s="10">
        <v>31.7</v>
      </c>
      <c r="M57" s="10">
        <f t="shared" si="12"/>
        <v>2.5000000000000036</v>
      </c>
      <c r="N57" s="10">
        <f t="shared" si="13"/>
        <v>2.5000000000000036</v>
      </c>
      <c r="O57" s="11">
        <v>3</v>
      </c>
      <c r="P57" s="18">
        <f t="shared" si="14"/>
        <v>3</v>
      </c>
    </row>
    <row r="58" spans="1:17">
      <c r="A58" s="4" t="s">
        <v>28</v>
      </c>
      <c r="B58" s="12"/>
      <c r="C58" s="12"/>
      <c r="D58" s="12"/>
      <c r="E58" s="12"/>
      <c r="G58" s="7">
        <f>SUM(G44:G57)</f>
        <v>-36</v>
      </c>
      <c r="I58" s="13"/>
      <c r="J58" s="4" t="s">
        <v>28</v>
      </c>
      <c r="K58" s="12"/>
      <c r="L58" s="12"/>
      <c r="M58" s="12"/>
      <c r="N58" s="12"/>
      <c r="P58" s="7">
        <f>SUM(P44:P57)</f>
        <v>85</v>
      </c>
    </row>
    <row r="60" spans="1:17">
      <c r="A60" s="1" t="s">
        <v>26</v>
      </c>
      <c r="J60" s="1" t="s">
        <v>26</v>
      </c>
    </row>
    <row r="61" spans="1:17">
      <c r="A61" s="1"/>
    </row>
    <row r="62" spans="1:17">
      <c r="A62" s="1" t="s">
        <v>21</v>
      </c>
      <c r="B62" s="3" t="s">
        <v>1</v>
      </c>
      <c r="C62" s="3" t="s">
        <v>2</v>
      </c>
      <c r="D62" s="3" t="s">
        <v>3</v>
      </c>
      <c r="E62" s="3" t="s">
        <v>4</v>
      </c>
      <c r="F62" s="3" t="s">
        <v>5</v>
      </c>
      <c r="G62" s="16" t="s">
        <v>6</v>
      </c>
      <c r="J62" s="1" t="s">
        <v>22</v>
      </c>
      <c r="K62" s="3" t="s">
        <v>1</v>
      </c>
      <c r="L62" s="3" t="s">
        <v>2</v>
      </c>
      <c r="M62" s="3" t="s">
        <v>3</v>
      </c>
      <c r="N62" s="3" t="s">
        <v>4</v>
      </c>
      <c r="O62" s="3" t="s">
        <v>5</v>
      </c>
      <c r="P62" s="16" t="s">
        <v>6</v>
      </c>
    </row>
    <row r="63" spans="1:17">
      <c r="A63" s="2" t="s">
        <v>7</v>
      </c>
      <c r="B63" s="10">
        <v>54.6</v>
      </c>
      <c r="C63" s="10">
        <v>56.3</v>
      </c>
      <c r="D63" s="10">
        <f>B63-C63</f>
        <v>-1.6999999999999957</v>
      </c>
      <c r="E63" s="10">
        <f>ABS(D63)</f>
        <v>1.6999999999999957</v>
      </c>
      <c r="F63" s="10">
        <v>6</v>
      </c>
      <c r="G63" s="7">
        <f>F63*-1</f>
        <v>-6</v>
      </c>
      <c r="H63" s="9" t="s">
        <v>78</v>
      </c>
      <c r="J63" s="2" t="s">
        <v>7</v>
      </c>
      <c r="K63" s="10">
        <v>35.6</v>
      </c>
      <c r="L63" s="10">
        <v>33.299999999999997</v>
      </c>
      <c r="M63" s="10">
        <f>K63-L63</f>
        <v>2.3000000000000043</v>
      </c>
      <c r="N63" s="10">
        <f>ABS(M63)</f>
        <v>2.3000000000000043</v>
      </c>
      <c r="O63" s="10">
        <v>6</v>
      </c>
      <c r="P63" s="7">
        <f>O63</f>
        <v>6</v>
      </c>
      <c r="Q63" s="9" t="s">
        <v>84</v>
      </c>
    </row>
    <row r="64" spans="1:17">
      <c r="A64" s="2" t="s">
        <v>8</v>
      </c>
      <c r="B64" s="10">
        <v>59.7</v>
      </c>
      <c r="C64" s="10">
        <v>62.8</v>
      </c>
      <c r="D64" s="10">
        <f t="shared" ref="D64:D76" si="15">B64-C64</f>
        <v>-3.0999999999999943</v>
      </c>
      <c r="E64" s="10">
        <f t="shared" ref="E64:E76" si="16">ABS(D64)</f>
        <v>3.0999999999999943</v>
      </c>
      <c r="F64" s="10">
        <v>10</v>
      </c>
      <c r="G64" s="7">
        <f>F64*-1</f>
        <v>-10</v>
      </c>
      <c r="H64" s="9" t="s">
        <v>79</v>
      </c>
      <c r="J64" s="2" t="s">
        <v>8</v>
      </c>
      <c r="K64" s="10">
        <v>36.1</v>
      </c>
      <c r="L64" s="10">
        <v>30.1</v>
      </c>
      <c r="M64" s="10">
        <f t="shared" ref="M64:M76" si="17">K64-L64</f>
        <v>6</v>
      </c>
      <c r="N64" s="10">
        <f t="shared" ref="N64:N76" si="18">ABS(M64)</f>
        <v>6</v>
      </c>
      <c r="O64" s="10">
        <v>13</v>
      </c>
      <c r="P64" s="7">
        <f t="shared" ref="P64:P76" si="19">O64</f>
        <v>13</v>
      </c>
      <c r="Q64" s="9" t="s">
        <v>85</v>
      </c>
    </row>
    <row r="65" spans="1:17">
      <c r="A65" s="2" t="s">
        <v>9</v>
      </c>
      <c r="B65" s="10">
        <v>59.9</v>
      </c>
      <c r="C65" s="10">
        <v>62.9</v>
      </c>
      <c r="D65" s="10">
        <f t="shared" si="15"/>
        <v>-3</v>
      </c>
      <c r="E65" s="10">
        <f t="shared" si="16"/>
        <v>3</v>
      </c>
      <c r="F65" s="10">
        <v>9</v>
      </c>
      <c r="G65" s="7">
        <f>F65*-1</f>
        <v>-9</v>
      </c>
      <c r="H65" s="9" t="s">
        <v>80</v>
      </c>
      <c r="J65" s="2" t="s">
        <v>9</v>
      </c>
      <c r="K65" s="10">
        <v>34.4</v>
      </c>
      <c r="L65" s="10">
        <v>30.9</v>
      </c>
      <c r="M65" s="10">
        <f t="shared" si="17"/>
        <v>3.5</v>
      </c>
      <c r="N65" s="10">
        <f t="shared" si="18"/>
        <v>3.5</v>
      </c>
      <c r="O65" s="10">
        <v>9.5</v>
      </c>
      <c r="P65" s="7">
        <f t="shared" si="19"/>
        <v>9.5</v>
      </c>
      <c r="Q65" s="9" t="s">
        <v>86</v>
      </c>
    </row>
    <row r="66" spans="1:17">
      <c r="A66" s="2" t="s">
        <v>10</v>
      </c>
      <c r="B66" s="10">
        <v>52.7</v>
      </c>
      <c r="C66" s="10">
        <v>59.1</v>
      </c>
      <c r="D66" s="10">
        <f t="shared" si="15"/>
        <v>-6.3999999999999986</v>
      </c>
      <c r="E66" s="10">
        <f t="shared" si="16"/>
        <v>6.3999999999999986</v>
      </c>
      <c r="F66" s="10">
        <v>13</v>
      </c>
      <c r="G66" s="7">
        <f>F66*-1</f>
        <v>-13</v>
      </c>
      <c r="H66" s="9" t="s">
        <v>81</v>
      </c>
      <c r="J66" s="2" t="s">
        <v>10</v>
      </c>
      <c r="K66" s="10">
        <v>41.3</v>
      </c>
      <c r="L66" s="10">
        <v>35.1</v>
      </c>
      <c r="M66" s="10">
        <f t="shared" si="17"/>
        <v>6.1999999999999957</v>
      </c>
      <c r="N66" s="10">
        <f t="shared" si="18"/>
        <v>6.1999999999999957</v>
      </c>
      <c r="O66" s="10">
        <v>14</v>
      </c>
      <c r="P66" s="7">
        <f t="shared" si="19"/>
        <v>14</v>
      </c>
      <c r="Q66" s="9" t="s">
        <v>87</v>
      </c>
    </row>
    <row r="67" spans="1:17">
      <c r="A67" s="2" t="s">
        <v>11</v>
      </c>
      <c r="B67" s="10">
        <v>57.8</v>
      </c>
      <c r="C67" s="10">
        <v>61.6</v>
      </c>
      <c r="D67" s="10">
        <f t="shared" si="15"/>
        <v>-3.8000000000000043</v>
      </c>
      <c r="E67" s="10">
        <f t="shared" si="16"/>
        <v>3.8000000000000043</v>
      </c>
      <c r="F67" s="10">
        <v>11</v>
      </c>
      <c r="G67" s="7">
        <f>F67*-1</f>
        <v>-11</v>
      </c>
      <c r="H67"/>
      <c r="J67" s="2" t="s">
        <v>11</v>
      </c>
      <c r="K67" s="10">
        <v>37.299999999999997</v>
      </c>
      <c r="L67" s="10">
        <v>32.799999999999997</v>
      </c>
      <c r="M67" s="10">
        <f t="shared" si="17"/>
        <v>4.5</v>
      </c>
      <c r="N67" s="10">
        <f t="shared" si="18"/>
        <v>4.5</v>
      </c>
      <c r="O67" s="10">
        <v>12</v>
      </c>
      <c r="P67" s="7">
        <f t="shared" si="19"/>
        <v>12</v>
      </c>
      <c r="Q67"/>
    </row>
    <row r="68" spans="1:17">
      <c r="A68" s="2" t="s">
        <v>12</v>
      </c>
      <c r="B68" s="10">
        <v>58.7</v>
      </c>
      <c r="C68" s="10">
        <v>59.1</v>
      </c>
      <c r="D68" s="10">
        <f t="shared" si="15"/>
        <v>-0.39999999999999858</v>
      </c>
      <c r="E68" s="10">
        <f t="shared" si="16"/>
        <v>0.39999999999999858</v>
      </c>
      <c r="F68" s="10">
        <v>1</v>
      </c>
      <c r="G68" s="7">
        <f>F68*-1</f>
        <v>-1</v>
      </c>
      <c r="H68" s="9" t="s">
        <v>82</v>
      </c>
      <c r="J68" s="2" t="s">
        <v>12</v>
      </c>
      <c r="K68" s="10">
        <v>31.9</v>
      </c>
      <c r="L68" s="10">
        <v>29.5</v>
      </c>
      <c r="M68" s="10">
        <f t="shared" si="17"/>
        <v>2.3999999999999986</v>
      </c>
      <c r="N68" s="10">
        <f t="shared" si="18"/>
        <v>2.3999999999999986</v>
      </c>
      <c r="O68" s="10">
        <v>7</v>
      </c>
      <c r="P68" s="7">
        <f t="shared" si="19"/>
        <v>7</v>
      </c>
      <c r="Q68" s="9" t="s">
        <v>88</v>
      </c>
    </row>
    <row r="69" spans="1:17">
      <c r="A69" s="2" t="s">
        <v>13</v>
      </c>
      <c r="B69" s="10">
        <v>53.2</v>
      </c>
      <c r="C69" s="10">
        <v>54.7</v>
      </c>
      <c r="D69" s="10">
        <f t="shared" si="15"/>
        <v>-1.5</v>
      </c>
      <c r="E69" s="10">
        <f t="shared" si="16"/>
        <v>1.5</v>
      </c>
      <c r="F69" s="10">
        <v>5</v>
      </c>
      <c r="G69" s="7">
        <f>F69*-1</f>
        <v>-5</v>
      </c>
      <c r="H69" t="s">
        <v>44</v>
      </c>
      <c r="J69" s="2" t="s">
        <v>13</v>
      </c>
      <c r="K69" s="10">
        <v>34.6</v>
      </c>
      <c r="L69" s="10">
        <v>33.5</v>
      </c>
      <c r="M69" s="10">
        <f t="shared" si="17"/>
        <v>1.1000000000000014</v>
      </c>
      <c r="N69" s="10">
        <f t="shared" si="18"/>
        <v>1.1000000000000014</v>
      </c>
      <c r="O69" s="10">
        <v>2</v>
      </c>
      <c r="P69" s="7">
        <f t="shared" si="19"/>
        <v>2</v>
      </c>
      <c r="Q69" t="s">
        <v>44</v>
      </c>
    </row>
    <row r="70" spans="1:17">
      <c r="A70" s="2" t="s">
        <v>14</v>
      </c>
      <c r="B70" s="10">
        <v>49.4</v>
      </c>
      <c r="C70" s="10">
        <v>54.6</v>
      </c>
      <c r="D70" s="10">
        <f t="shared" si="15"/>
        <v>-5.2000000000000028</v>
      </c>
      <c r="E70" s="10">
        <f t="shared" si="16"/>
        <v>5.2000000000000028</v>
      </c>
      <c r="F70" s="10">
        <v>12</v>
      </c>
      <c r="G70" s="7">
        <f>F70*-1</f>
        <v>-12</v>
      </c>
      <c r="H70" t="s">
        <v>45</v>
      </c>
      <c r="J70" s="2" t="s">
        <v>14</v>
      </c>
      <c r="K70" s="10">
        <v>38.299999999999997</v>
      </c>
      <c r="L70" s="10">
        <v>39.299999999999997</v>
      </c>
      <c r="M70" s="10">
        <f t="shared" si="17"/>
        <v>-1</v>
      </c>
      <c r="N70" s="10">
        <f t="shared" si="18"/>
        <v>1</v>
      </c>
      <c r="O70" s="10">
        <v>1</v>
      </c>
      <c r="P70" s="7">
        <f>O70*-1</f>
        <v>-1</v>
      </c>
      <c r="Q70" t="s">
        <v>45</v>
      </c>
    </row>
    <row r="71" spans="1:17">
      <c r="A71" s="2" t="s">
        <v>15</v>
      </c>
      <c r="B71" s="10">
        <v>52.4</v>
      </c>
      <c r="C71" s="10">
        <v>52.8</v>
      </c>
      <c r="D71" s="10">
        <f t="shared" si="15"/>
        <v>-0.39999999999999858</v>
      </c>
      <c r="E71" s="10">
        <f t="shared" si="16"/>
        <v>0.39999999999999858</v>
      </c>
      <c r="F71" s="10">
        <v>1</v>
      </c>
      <c r="G71" s="7">
        <f>F71*-1</f>
        <v>-1</v>
      </c>
      <c r="H71"/>
      <c r="J71" s="2" t="s">
        <v>15</v>
      </c>
      <c r="K71" s="10">
        <v>39.6</v>
      </c>
      <c r="L71" s="10">
        <v>38.1</v>
      </c>
      <c r="M71" s="10">
        <f t="shared" si="17"/>
        <v>1.5</v>
      </c>
      <c r="N71" s="10">
        <f t="shared" si="18"/>
        <v>1.5</v>
      </c>
      <c r="O71" s="10">
        <v>3</v>
      </c>
      <c r="P71" s="7">
        <f t="shared" si="19"/>
        <v>3</v>
      </c>
      <c r="Q71"/>
    </row>
    <row r="72" spans="1:17">
      <c r="A72" s="2" t="s">
        <v>16</v>
      </c>
      <c r="B72" s="10">
        <v>55.8</v>
      </c>
      <c r="C72" s="10">
        <v>58.2</v>
      </c>
      <c r="D72" s="10">
        <f t="shared" si="15"/>
        <v>-2.4000000000000057</v>
      </c>
      <c r="E72" s="10">
        <f t="shared" si="16"/>
        <v>2.4000000000000057</v>
      </c>
      <c r="F72" s="10">
        <v>8</v>
      </c>
      <c r="G72" s="7">
        <f>F72*-1</f>
        <v>-8</v>
      </c>
      <c r="H72" t="s">
        <v>46</v>
      </c>
      <c r="J72" s="2" t="s">
        <v>16</v>
      </c>
      <c r="K72" s="10">
        <v>37.6</v>
      </c>
      <c r="L72" s="10">
        <v>34.1</v>
      </c>
      <c r="M72" s="10">
        <f t="shared" si="17"/>
        <v>3.5</v>
      </c>
      <c r="N72" s="10">
        <f t="shared" si="18"/>
        <v>3.5</v>
      </c>
      <c r="O72" s="10">
        <v>9.5</v>
      </c>
      <c r="P72" s="7">
        <f t="shared" si="19"/>
        <v>9.5</v>
      </c>
      <c r="Q72" t="s">
        <v>46</v>
      </c>
    </row>
    <row r="73" spans="1:17">
      <c r="A73" s="2" t="s">
        <v>17</v>
      </c>
      <c r="B73" s="10">
        <v>51.6</v>
      </c>
      <c r="C73" s="10">
        <v>53.8</v>
      </c>
      <c r="D73" s="10">
        <f t="shared" si="15"/>
        <v>-2.1999999999999957</v>
      </c>
      <c r="E73" s="10">
        <f t="shared" si="16"/>
        <v>2.1999999999999957</v>
      </c>
      <c r="F73" s="10">
        <v>7</v>
      </c>
      <c r="G73" s="7">
        <f>F73*-1</f>
        <v>-7</v>
      </c>
      <c r="J73" s="2" t="s">
        <v>17</v>
      </c>
      <c r="K73" s="10">
        <v>39.5</v>
      </c>
      <c r="L73" s="10">
        <v>35.299999999999997</v>
      </c>
      <c r="M73" s="10">
        <f t="shared" si="17"/>
        <v>4.2000000000000028</v>
      </c>
      <c r="N73" s="10">
        <f t="shared" si="18"/>
        <v>4.2000000000000028</v>
      </c>
      <c r="O73" s="10">
        <v>11</v>
      </c>
      <c r="P73" s="7">
        <f t="shared" si="19"/>
        <v>11</v>
      </c>
    </row>
    <row r="74" spans="1:17">
      <c r="A74" s="2" t="s">
        <v>18</v>
      </c>
      <c r="B74" s="10">
        <v>46.6</v>
      </c>
      <c r="C74" s="10">
        <v>38.9</v>
      </c>
      <c r="D74" s="10">
        <f t="shared" si="15"/>
        <v>7.7000000000000028</v>
      </c>
      <c r="E74" s="10">
        <f t="shared" si="16"/>
        <v>7.7000000000000028</v>
      </c>
      <c r="F74" s="10">
        <v>14</v>
      </c>
      <c r="G74" s="7">
        <f>F74</f>
        <v>14</v>
      </c>
      <c r="H74" s="14" t="s">
        <v>83</v>
      </c>
      <c r="J74" s="2" t="s">
        <v>18</v>
      </c>
      <c r="K74" s="10">
        <v>44.4</v>
      </c>
      <c r="L74" s="10">
        <v>47.5</v>
      </c>
      <c r="M74" s="10">
        <f t="shared" si="17"/>
        <v>-3.1000000000000014</v>
      </c>
      <c r="N74" s="10">
        <f t="shared" si="18"/>
        <v>3.1000000000000014</v>
      </c>
      <c r="O74" s="10">
        <v>8</v>
      </c>
      <c r="P74" s="7">
        <f>O74*-1</f>
        <v>-8</v>
      </c>
      <c r="Q74" s="14" t="s">
        <v>89</v>
      </c>
    </row>
    <row r="75" spans="1:17">
      <c r="A75" s="2" t="s">
        <v>19</v>
      </c>
      <c r="B75" s="10">
        <v>41.7</v>
      </c>
      <c r="C75" s="10">
        <v>42.8</v>
      </c>
      <c r="D75" s="10">
        <f t="shared" si="15"/>
        <v>-1.0999999999999943</v>
      </c>
      <c r="E75" s="10">
        <f t="shared" si="16"/>
        <v>1.0999999999999943</v>
      </c>
      <c r="F75" s="10">
        <v>3</v>
      </c>
      <c r="G75" s="7">
        <f>F75*-1</f>
        <v>-3</v>
      </c>
      <c r="H75" s="15"/>
      <c r="J75" s="2" t="s">
        <v>19</v>
      </c>
      <c r="K75" s="10">
        <v>50.6</v>
      </c>
      <c r="L75" s="10">
        <v>52.5</v>
      </c>
      <c r="M75" s="10">
        <f t="shared" si="17"/>
        <v>-1.8999999999999986</v>
      </c>
      <c r="N75" s="10">
        <f t="shared" si="18"/>
        <v>1.8999999999999986</v>
      </c>
      <c r="O75" s="10">
        <v>5</v>
      </c>
      <c r="P75" s="7">
        <f>O75*-1</f>
        <v>-5</v>
      </c>
    </row>
    <row r="76" spans="1:17">
      <c r="A76" s="2" t="s">
        <v>20</v>
      </c>
      <c r="B76" s="10">
        <v>41.5</v>
      </c>
      <c r="C76" s="10">
        <v>40.1</v>
      </c>
      <c r="D76" s="10">
        <f t="shared" si="15"/>
        <v>1.3999999999999986</v>
      </c>
      <c r="E76" s="10">
        <f t="shared" si="16"/>
        <v>1.3999999999999986</v>
      </c>
      <c r="F76" s="11">
        <v>4</v>
      </c>
      <c r="G76" s="18">
        <f>F76</f>
        <v>4</v>
      </c>
      <c r="J76" s="2" t="s">
        <v>20</v>
      </c>
      <c r="K76" s="10">
        <v>52.7</v>
      </c>
      <c r="L76" s="10">
        <v>50.9</v>
      </c>
      <c r="M76" s="10">
        <f t="shared" si="17"/>
        <v>1.8000000000000043</v>
      </c>
      <c r="N76" s="10">
        <f t="shared" si="18"/>
        <v>1.8000000000000043</v>
      </c>
      <c r="O76" s="11">
        <v>4</v>
      </c>
      <c r="P76" s="18">
        <f t="shared" si="19"/>
        <v>4</v>
      </c>
    </row>
    <row r="77" spans="1:17">
      <c r="A77" s="4" t="s">
        <v>28</v>
      </c>
      <c r="B77" s="12"/>
      <c r="C77" s="12"/>
      <c r="D77" s="12"/>
      <c r="E77" s="12"/>
      <c r="G77" s="7">
        <f>SUM(G63:G76)</f>
        <v>-68</v>
      </c>
      <c r="I77" s="13"/>
      <c r="J77" s="4" t="s">
        <v>28</v>
      </c>
      <c r="K77" s="12"/>
      <c r="L77" s="12"/>
      <c r="M77" s="12"/>
      <c r="N77" s="12"/>
      <c r="P77" s="7">
        <f>SUM(P63:P76)</f>
        <v>77</v>
      </c>
    </row>
    <row r="79" spans="1:17">
      <c r="A79" s="1" t="s">
        <v>25</v>
      </c>
      <c r="J79" s="1" t="s">
        <v>25</v>
      </c>
    </row>
    <row r="80" spans="1:17">
      <c r="A80" s="1"/>
    </row>
    <row r="81" spans="1:16">
      <c r="A81" s="1" t="s">
        <v>21</v>
      </c>
      <c r="B81" s="3" t="s">
        <v>1</v>
      </c>
      <c r="C81" s="3" t="s">
        <v>2</v>
      </c>
      <c r="D81" s="3" t="s">
        <v>3</v>
      </c>
      <c r="E81" s="3" t="s">
        <v>4</v>
      </c>
      <c r="F81" s="3" t="s">
        <v>5</v>
      </c>
      <c r="G81" s="16" t="s">
        <v>6</v>
      </c>
      <c r="J81" s="1" t="s">
        <v>22</v>
      </c>
      <c r="K81" s="3" t="s">
        <v>1</v>
      </c>
      <c r="L81" s="3" t="s">
        <v>2</v>
      </c>
      <c r="M81" s="3" t="s">
        <v>3</v>
      </c>
      <c r="N81" s="3" t="s">
        <v>4</v>
      </c>
      <c r="O81" s="3" t="s">
        <v>5</v>
      </c>
      <c r="P81" s="16" t="s">
        <v>6</v>
      </c>
    </row>
    <row r="82" spans="1:16">
      <c r="A82" s="2" t="s">
        <v>7</v>
      </c>
      <c r="B82" s="10">
        <v>66.900000000000006</v>
      </c>
      <c r="C82" s="10">
        <v>66.3</v>
      </c>
      <c r="D82" s="10">
        <f>B82-C82</f>
        <v>0.60000000000000853</v>
      </c>
      <c r="E82" s="10">
        <f>ABS(D82)</f>
        <v>0.60000000000000853</v>
      </c>
      <c r="F82" s="10">
        <v>3</v>
      </c>
      <c r="G82" s="7">
        <f>F82</f>
        <v>3</v>
      </c>
      <c r="J82" s="2" t="s">
        <v>7</v>
      </c>
      <c r="K82" s="10">
        <v>28.8</v>
      </c>
      <c r="L82" s="10">
        <v>27.9</v>
      </c>
      <c r="M82" s="10">
        <f>K82-L82</f>
        <v>0.90000000000000213</v>
      </c>
      <c r="N82" s="10">
        <f>ABS(M82)</f>
        <v>0.90000000000000213</v>
      </c>
      <c r="O82" s="10">
        <v>7</v>
      </c>
      <c r="P82" s="7">
        <f>O82</f>
        <v>7</v>
      </c>
    </row>
    <row r="83" spans="1:16">
      <c r="A83" s="2" t="s">
        <v>8</v>
      </c>
      <c r="B83" s="10">
        <v>66.599999999999994</v>
      </c>
      <c r="C83" s="10">
        <v>64.400000000000006</v>
      </c>
      <c r="D83" s="10">
        <f t="shared" ref="D83:D95" si="20">B83-C83</f>
        <v>2.1999999999999886</v>
      </c>
      <c r="E83" s="10">
        <f t="shared" ref="E83:E95" si="21">ABS(D83)</f>
        <v>2.1999999999999886</v>
      </c>
      <c r="F83" s="10">
        <v>10</v>
      </c>
      <c r="G83" s="7">
        <f>F83</f>
        <v>10</v>
      </c>
      <c r="J83" s="2" t="s">
        <v>8</v>
      </c>
      <c r="K83" s="10">
        <v>31.7</v>
      </c>
      <c r="L83" s="10">
        <v>32.299999999999997</v>
      </c>
      <c r="M83" s="10">
        <f t="shared" ref="M83:M95" si="22">K83-L83</f>
        <v>-0.59999999999999787</v>
      </c>
      <c r="N83" s="10">
        <f t="shared" ref="N83:N95" si="23">ABS(M83)</f>
        <v>0.59999999999999787</v>
      </c>
      <c r="O83" s="10">
        <v>5</v>
      </c>
      <c r="P83" s="7">
        <f t="shared" ref="P83:P95" si="24">O83</f>
        <v>5</v>
      </c>
    </row>
    <row r="84" spans="1:16">
      <c r="A84" s="2" t="s">
        <v>9</v>
      </c>
      <c r="B84" s="10">
        <v>70</v>
      </c>
      <c r="C84" s="10">
        <v>70.599999999999994</v>
      </c>
      <c r="D84" s="10">
        <f t="shared" si="20"/>
        <v>-0.59999999999999432</v>
      </c>
      <c r="E84" s="10">
        <f t="shared" si="21"/>
        <v>0.59999999999999432</v>
      </c>
      <c r="F84" s="10">
        <v>3</v>
      </c>
      <c r="G84" s="7">
        <f>F84</f>
        <v>3</v>
      </c>
      <c r="J84" s="2" t="s">
        <v>9</v>
      </c>
      <c r="K84" s="10">
        <v>27.9</v>
      </c>
      <c r="L84" s="10">
        <v>26.6</v>
      </c>
      <c r="M84" s="10">
        <f t="shared" si="22"/>
        <v>1.2999999999999972</v>
      </c>
      <c r="N84" s="10">
        <f t="shared" si="23"/>
        <v>1.2999999999999972</v>
      </c>
      <c r="O84" s="10">
        <v>8</v>
      </c>
      <c r="P84" s="7">
        <f t="shared" si="24"/>
        <v>8</v>
      </c>
    </row>
    <row r="85" spans="1:16">
      <c r="A85" s="2" t="s">
        <v>10</v>
      </c>
      <c r="B85" s="10">
        <v>65.2</v>
      </c>
      <c r="C85" s="10">
        <v>66.900000000000006</v>
      </c>
      <c r="D85" s="10">
        <f t="shared" si="20"/>
        <v>-1.7000000000000028</v>
      </c>
      <c r="E85" s="10">
        <f t="shared" si="21"/>
        <v>1.7000000000000028</v>
      </c>
      <c r="F85" s="10">
        <v>8</v>
      </c>
      <c r="G85" s="7">
        <f>F85</f>
        <v>8</v>
      </c>
      <c r="J85" s="2" t="s">
        <v>10</v>
      </c>
      <c r="K85" s="10">
        <v>32.4</v>
      </c>
      <c r="L85" s="10">
        <v>30.4</v>
      </c>
      <c r="M85" s="10">
        <f t="shared" si="22"/>
        <v>2</v>
      </c>
      <c r="N85" s="10">
        <f t="shared" si="23"/>
        <v>2</v>
      </c>
      <c r="O85" s="10">
        <v>11</v>
      </c>
      <c r="P85" s="7">
        <f t="shared" si="24"/>
        <v>11</v>
      </c>
    </row>
    <row r="86" spans="1:16">
      <c r="A86" s="2" t="s">
        <v>11</v>
      </c>
      <c r="B86" s="10">
        <v>69.7</v>
      </c>
      <c r="C86" s="10">
        <v>71.8</v>
      </c>
      <c r="D86" s="10">
        <f t="shared" si="20"/>
        <v>-2.0999999999999943</v>
      </c>
      <c r="E86" s="10">
        <f t="shared" si="21"/>
        <v>2.0999999999999943</v>
      </c>
      <c r="F86" s="10">
        <v>9</v>
      </c>
      <c r="G86" s="7">
        <f>F86</f>
        <v>9</v>
      </c>
      <c r="J86" s="2" t="s">
        <v>11</v>
      </c>
      <c r="K86" s="10">
        <v>27.9</v>
      </c>
      <c r="L86" s="10">
        <v>25.8</v>
      </c>
      <c r="M86" s="10">
        <f t="shared" si="22"/>
        <v>2.0999999999999979</v>
      </c>
      <c r="N86" s="10">
        <f t="shared" si="23"/>
        <v>2.0999999999999979</v>
      </c>
      <c r="O86" s="10">
        <v>12</v>
      </c>
      <c r="P86" s="7">
        <f t="shared" si="24"/>
        <v>12</v>
      </c>
    </row>
    <row r="87" spans="1:16">
      <c r="A87" s="2" t="s">
        <v>12</v>
      </c>
      <c r="B87" s="10">
        <v>72.8</v>
      </c>
      <c r="C87" s="10">
        <v>73.099999999999994</v>
      </c>
      <c r="D87" s="10">
        <f t="shared" si="20"/>
        <v>-0.29999999999999716</v>
      </c>
      <c r="E87" s="10">
        <f t="shared" si="21"/>
        <v>0.29999999999999716</v>
      </c>
      <c r="F87" s="10">
        <v>2</v>
      </c>
      <c r="G87" s="7">
        <f>F87</f>
        <v>2</v>
      </c>
      <c r="J87" s="2" t="s">
        <v>12</v>
      </c>
      <c r="K87" s="10">
        <v>23.6</v>
      </c>
      <c r="L87" s="10">
        <v>21.9</v>
      </c>
      <c r="M87" s="10">
        <f t="shared" si="22"/>
        <v>1.7000000000000028</v>
      </c>
      <c r="N87" s="10">
        <f t="shared" si="23"/>
        <v>1.7000000000000028</v>
      </c>
      <c r="O87" s="10">
        <v>10</v>
      </c>
      <c r="P87" s="7">
        <f t="shared" si="24"/>
        <v>10</v>
      </c>
    </row>
    <row r="88" spans="1:16">
      <c r="A88" s="2" t="s">
        <v>13</v>
      </c>
      <c r="B88" s="10">
        <v>67.099999999999994</v>
      </c>
      <c r="C88" s="10">
        <v>64.400000000000006</v>
      </c>
      <c r="D88" s="10">
        <f t="shared" si="20"/>
        <v>2.6999999999999886</v>
      </c>
      <c r="E88" s="10">
        <f t="shared" si="21"/>
        <v>2.6999999999999886</v>
      </c>
      <c r="F88" s="10">
        <v>11</v>
      </c>
      <c r="G88" s="7">
        <f>F88</f>
        <v>11</v>
      </c>
      <c r="J88" s="2" t="s">
        <v>13</v>
      </c>
      <c r="K88" s="10">
        <v>28.2</v>
      </c>
      <c r="L88" s="10">
        <v>28.1</v>
      </c>
      <c r="M88" s="10">
        <f t="shared" si="22"/>
        <v>9.9999999999997868E-2</v>
      </c>
      <c r="N88" s="10">
        <f t="shared" si="23"/>
        <v>9.9999999999997868E-2</v>
      </c>
      <c r="O88" s="10">
        <v>1</v>
      </c>
      <c r="P88" s="7">
        <f t="shared" si="24"/>
        <v>1</v>
      </c>
    </row>
    <row r="89" spans="1:16">
      <c r="A89" s="2" t="s">
        <v>14</v>
      </c>
      <c r="B89" s="10">
        <v>60.7</v>
      </c>
      <c r="C89" s="10">
        <v>60.8</v>
      </c>
      <c r="D89" s="10">
        <f t="shared" si="20"/>
        <v>-9.9999999999994316E-2</v>
      </c>
      <c r="E89" s="10">
        <f t="shared" si="21"/>
        <v>9.9999999999994316E-2</v>
      </c>
      <c r="F89" s="10">
        <v>1</v>
      </c>
      <c r="G89" s="7">
        <f>F89</f>
        <v>1</v>
      </c>
      <c r="J89" s="2" t="s">
        <v>14</v>
      </c>
      <c r="K89" s="10">
        <v>35</v>
      </c>
      <c r="L89" s="10">
        <v>34.5</v>
      </c>
      <c r="M89" s="10">
        <f t="shared" si="22"/>
        <v>0.5</v>
      </c>
      <c r="N89" s="10">
        <f t="shared" si="23"/>
        <v>0.5</v>
      </c>
      <c r="O89" s="10">
        <v>3</v>
      </c>
      <c r="P89" s="7">
        <f t="shared" si="24"/>
        <v>3</v>
      </c>
    </row>
    <row r="90" spans="1:16">
      <c r="A90" s="2" t="s">
        <v>15</v>
      </c>
      <c r="B90" s="10">
        <v>58.4</v>
      </c>
      <c r="C90" s="10">
        <v>61.7</v>
      </c>
      <c r="D90" s="10">
        <f t="shared" si="20"/>
        <v>-3.3000000000000043</v>
      </c>
      <c r="E90" s="10">
        <f t="shared" si="21"/>
        <v>3.3000000000000043</v>
      </c>
      <c r="F90" s="10">
        <v>12</v>
      </c>
      <c r="G90" s="7">
        <f>F90</f>
        <v>12</v>
      </c>
      <c r="J90" s="2" t="s">
        <v>15</v>
      </c>
      <c r="K90" s="10">
        <v>37.299999999999997</v>
      </c>
      <c r="L90" s="10">
        <v>34.5</v>
      </c>
      <c r="M90" s="10">
        <f t="shared" si="22"/>
        <v>2.7999999999999972</v>
      </c>
      <c r="N90" s="10">
        <f t="shared" si="23"/>
        <v>2.7999999999999972</v>
      </c>
      <c r="O90" s="10">
        <v>13</v>
      </c>
      <c r="P90" s="7">
        <f t="shared" si="24"/>
        <v>13</v>
      </c>
    </row>
    <row r="91" spans="1:16">
      <c r="A91" s="2" t="s">
        <v>16</v>
      </c>
      <c r="B91" s="10">
        <v>63.7</v>
      </c>
      <c r="C91" s="10">
        <v>64.7</v>
      </c>
      <c r="D91" s="10">
        <f t="shared" si="20"/>
        <v>-1</v>
      </c>
      <c r="E91" s="10">
        <f t="shared" si="21"/>
        <v>1</v>
      </c>
      <c r="F91" s="10">
        <v>6</v>
      </c>
      <c r="G91" s="7">
        <f>F91</f>
        <v>6</v>
      </c>
      <c r="J91" s="2" t="s">
        <v>16</v>
      </c>
      <c r="K91" s="10">
        <v>32.4</v>
      </c>
      <c r="L91" s="10">
        <v>31</v>
      </c>
      <c r="M91" s="10">
        <f t="shared" si="22"/>
        <v>1.3999999999999986</v>
      </c>
      <c r="N91" s="10">
        <f t="shared" si="23"/>
        <v>1.3999999999999986</v>
      </c>
      <c r="O91" s="10">
        <v>9</v>
      </c>
      <c r="P91" s="7">
        <f t="shared" si="24"/>
        <v>9</v>
      </c>
    </row>
    <row r="92" spans="1:16">
      <c r="A92" s="2" t="s">
        <v>17</v>
      </c>
      <c r="B92" s="10">
        <v>62.5</v>
      </c>
      <c r="C92" s="10">
        <v>63.4</v>
      </c>
      <c r="D92" s="10">
        <f t="shared" si="20"/>
        <v>-0.89999999999999858</v>
      </c>
      <c r="E92" s="10">
        <f t="shared" si="21"/>
        <v>0.89999999999999858</v>
      </c>
      <c r="F92" s="10">
        <v>5</v>
      </c>
      <c r="G92" s="7">
        <f>F92</f>
        <v>5</v>
      </c>
      <c r="J92" s="2" t="s">
        <v>17</v>
      </c>
      <c r="K92" s="10">
        <v>31.5</v>
      </c>
      <c r="L92" s="10">
        <v>30.7</v>
      </c>
      <c r="M92" s="10">
        <f t="shared" si="22"/>
        <v>0.80000000000000071</v>
      </c>
      <c r="N92" s="10">
        <f t="shared" si="23"/>
        <v>0.80000000000000071</v>
      </c>
      <c r="O92" s="10">
        <v>6</v>
      </c>
      <c r="P92" s="7">
        <f t="shared" si="24"/>
        <v>6</v>
      </c>
    </row>
    <row r="93" spans="1:16">
      <c r="A93" s="2" t="s">
        <v>18</v>
      </c>
      <c r="B93" s="10">
        <v>64</v>
      </c>
      <c r="C93" s="10">
        <v>54.8</v>
      </c>
      <c r="D93" s="10">
        <f t="shared" si="20"/>
        <v>9.2000000000000028</v>
      </c>
      <c r="E93" s="10">
        <f t="shared" si="21"/>
        <v>9.2000000000000028</v>
      </c>
      <c r="F93" s="10">
        <v>14</v>
      </c>
      <c r="G93" s="7">
        <f>F93</f>
        <v>14</v>
      </c>
      <c r="J93" s="2" t="s">
        <v>18</v>
      </c>
      <c r="K93" s="10">
        <v>30.4</v>
      </c>
      <c r="L93" s="10">
        <v>39.6</v>
      </c>
      <c r="M93" s="10">
        <f t="shared" si="22"/>
        <v>-9.2000000000000028</v>
      </c>
      <c r="N93" s="10">
        <f t="shared" si="23"/>
        <v>9.2000000000000028</v>
      </c>
      <c r="O93" s="10">
        <v>3</v>
      </c>
      <c r="P93" s="7">
        <f t="shared" si="24"/>
        <v>3</v>
      </c>
    </row>
    <row r="94" spans="1:16">
      <c r="A94" s="2" t="s">
        <v>19</v>
      </c>
      <c r="B94" s="10">
        <v>57.7</v>
      </c>
      <c r="C94" s="10">
        <v>56.3</v>
      </c>
      <c r="D94" s="10">
        <f t="shared" si="20"/>
        <v>1.4000000000000057</v>
      </c>
      <c r="E94" s="10">
        <f t="shared" si="21"/>
        <v>1.4000000000000057</v>
      </c>
      <c r="F94" s="10">
        <v>7</v>
      </c>
      <c r="G94" s="7">
        <f>F94</f>
        <v>7</v>
      </c>
      <c r="H94" s="15"/>
      <c r="J94" s="2" t="s">
        <v>19</v>
      </c>
      <c r="K94" s="10">
        <v>40.700000000000003</v>
      </c>
      <c r="L94" s="10">
        <v>40.299999999999997</v>
      </c>
      <c r="M94" s="10">
        <f t="shared" si="22"/>
        <v>0.40000000000000568</v>
      </c>
      <c r="N94" s="10">
        <f t="shared" si="23"/>
        <v>0.40000000000000568</v>
      </c>
      <c r="O94" s="10">
        <v>2</v>
      </c>
      <c r="P94" s="7">
        <f t="shared" si="24"/>
        <v>2</v>
      </c>
    </row>
    <row r="95" spans="1:16">
      <c r="A95" s="2" t="s">
        <v>20</v>
      </c>
      <c r="B95" s="10">
        <v>59.4</v>
      </c>
      <c r="C95" s="10">
        <v>55.4</v>
      </c>
      <c r="D95" s="10">
        <f t="shared" si="20"/>
        <v>4</v>
      </c>
      <c r="E95" s="10">
        <f t="shared" si="21"/>
        <v>4</v>
      </c>
      <c r="F95" s="11">
        <v>13</v>
      </c>
      <c r="G95" s="18">
        <f>F95</f>
        <v>13</v>
      </c>
      <c r="J95" s="2" t="s">
        <v>20</v>
      </c>
      <c r="K95" s="10">
        <v>39.200000000000003</v>
      </c>
      <c r="L95" s="10">
        <v>35.5</v>
      </c>
      <c r="M95" s="10">
        <f t="shared" si="22"/>
        <v>3.7000000000000028</v>
      </c>
      <c r="N95" s="10">
        <f t="shared" si="23"/>
        <v>3.7000000000000028</v>
      </c>
      <c r="O95" s="11">
        <v>14</v>
      </c>
      <c r="P95" s="18">
        <f t="shared" si="24"/>
        <v>14</v>
      </c>
    </row>
    <row r="96" spans="1:16">
      <c r="A96" s="4" t="s">
        <v>28</v>
      </c>
      <c r="B96" s="12"/>
      <c r="C96" s="12"/>
      <c r="D96" s="12"/>
      <c r="E96" s="12"/>
      <c r="G96" s="7">
        <f>SUM(G82:G95)</f>
        <v>104</v>
      </c>
      <c r="I96" s="13"/>
      <c r="J96" s="4" t="s">
        <v>28</v>
      </c>
      <c r="K96" s="12"/>
      <c r="L96" s="12"/>
      <c r="M96" s="12"/>
      <c r="N96" s="12"/>
      <c r="P96" s="7">
        <f>SUM(P82:P95)</f>
        <v>104</v>
      </c>
    </row>
    <row r="98" spans="1:16">
      <c r="A98" s="1" t="s">
        <v>24</v>
      </c>
      <c r="J98" s="1" t="s">
        <v>24</v>
      </c>
    </row>
    <row r="99" spans="1:16">
      <c r="A99" s="1"/>
    </row>
    <row r="100" spans="1:16">
      <c r="A100" s="1" t="s">
        <v>21</v>
      </c>
      <c r="B100" s="3" t="s">
        <v>1</v>
      </c>
      <c r="C100" s="3" t="s">
        <v>2</v>
      </c>
      <c r="D100" s="3" t="s">
        <v>3</v>
      </c>
      <c r="E100" s="3" t="s">
        <v>4</v>
      </c>
      <c r="F100" s="3" t="s">
        <v>5</v>
      </c>
      <c r="G100" s="16" t="s">
        <v>6</v>
      </c>
      <c r="J100" s="1" t="s">
        <v>22</v>
      </c>
      <c r="K100" s="3" t="s">
        <v>1</v>
      </c>
      <c r="L100" s="3" t="s">
        <v>2</v>
      </c>
      <c r="M100" s="3" t="s">
        <v>3</v>
      </c>
      <c r="N100" s="3" t="s">
        <v>4</v>
      </c>
      <c r="O100" s="3" t="s">
        <v>5</v>
      </c>
      <c r="P100" s="16" t="s">
        <v>6</v>
      </c>
    </row>
    <row r="101" spans="1:16">
      <c r="A101" s="2" t="s">
        <v>7</v>
      </c>
      <c r="B101" s="10">
        <v>62.3</v>
      </c>
      <c r="C101" s="10">
        <v>61.5</v>
      </c>
      <c r="D101" s="10">
        <f>B101-C101</f>
        <v>0.79999999999999716</v>
      </c>
      <c r="E101" s="10">
        <f>ABS(D101)</f>
        <v>0.79999999999999716</v>
      </c>
      <c r="F101" s="10">
        <v>6</v>
      </c>
      <c r="G101" s="7">
        <f>F101</f>
        <v>6</v>
      </c>
      <c r="J101" s="2" t="s">
        <v>7</v>
      </c>
      <c r="K101" s="10">
        <v>30.2</v>
      </c>
      <c r="L101" s="10">
        <v>27.8</v>
      </c>
      <c r="M101" s="10">
        <f>K101-L101</f>
        <v>2.3999999999999986</v>
      </c>
      <c r="N101" s="10">
        <f>ABS(M101)</f>
        <v>2.3999999999999986</v>
      </c>
      <c r="O101" s="10">
        <v>6</v>
      </c>
      <c r="P101" s="7">
        <f>O101</f>
        <v>6</v>
      </c>
    </row>
    <row r="102" spans="1:16">
      <c r="A102" s="2" t="s">
        <v>8</v>
      </c>
      <c r="B102" s="10">
        <v>66.099999999999994</v>
      </c>
      <c r="C102" s="10">
        <v>66.3</v>
      </c>
      <c r="D102" s="10">
        <f t="shared" ref="D102:D114" si="25">B102-C102</f>
        <v>-0.20000000000000284</v>
      </c>
      <c r="E102" s="10">
        <f t="shared" ref="E102:E114" si="26">ABS(D102)</f>
        <v>0.20000000000000284</v>
      </c>
      <c r="F102" s="10">
        <v>2</v>
      </c>
      <c r="G102" s="7">
        <f>F102</f>
        <v>2</v>
      </c>
      <c r="J102" s="2" t="s">
        <v>8</v>
      </c>
      <c r="K102" s="10">
        <v>29.8</v>
      </c>
      <c r="L102" s="10">
        <v>27.1</v>
      </c>
      <c r="M102" s="10">
        <f t="shared" ref="M102:M114" si="27">K102-L102</f>
        <v>2.6999999999999993</v>
      </c>
      <c r="N102" s="10">
        <f t="shared" ref="N102:N114" si="28">ABS(M102)</f>
        <v>2.6999999999999993</v>
      </c>
      <c r="O102" s="10">
        <v>7</v>
      </c>
      <c r="P102" s="7">
        <f t="shared" ref="P102:P114" si="29">O102</f>
        <v>7</v>
      </c>
    </row>
    <row r="103" spans="1:16">
      <c r="A103" s="2" t="s">
        <v>9</v>
      </c>
      <c r="B103" s="10">
        <v>73.599999999999994</v>
      </c>
      <c r="C103" s="10">
        <v>71.599999999999994</v>
      </c>
      <c r="D103" s="10">
        <f t="shared" si="25"/>
        <v>2</v>
      </c>
      <c r="E103" s="10">
        <f t="shared" si="26"/>
        <v>2</v>
      </c>
      <c r="F103" s="10">
        <v>8</v>
      </c>
      <c r="G103" s="7">
        <f>F103</f>
        <v>8</v>
      </c>
      <c r="J103" s="2" t="s">
        <v>9</v>
      </c>
      <c r="K103" s="10">
        <v>23.4</v>
      </c>
      <c r="L103" s="10">
        <v>22.8</v>
      </c>
      <c r="M103" s="10">
        <f t="shared" si="27"/>
        <v>0.59999999999999787</v>
      </c>
      <c r="N103" s="10">
        <f t="shared" si="28"/>
        <v>0.59999999999999787</v>
      </c>
      <c r="O103" s="10">
        <v>3</v>
      </c>
      <c r="P103" s="7">
        <f t="shared" si="29"/>
        <v>3</v>
      </c>
    </row>
    <row r="104" spans="1:16">
      <c r="A104" s="2" t="s">
        <v>10</v>
      </c>
      <c r="B104" s="10">
        <v>62.8</v>
      </c>
      <c r="C104" s="10">
        <v>63</v>
      </c>
      <c r="D104" s="10">
        <f t="shared" si="25"/>
        <v>-0.20000000000000284</v>
      </c>
      <c r="E104" s="10">
        <f t="shared" si="26"/>
        <v>0.20000000000000284</v>
      </c>
      <c r="F104" s="10">
        <v>2</v>
      </c>
      <c r="G104" s="7">
        <f>F104</f>
        <v>2</v>
      </c>
      <c r="J104" s="2" t="s">
        <v>10</v>
      </c>
      <c r="K104" s="10">
        <v>31.3</v>
      </c>
      <c r="L104" s="10">
        <v>31</v>
      </c>
      <c r="M104" s="10">
        <f t="shared" si="27"/>
        <v>0.30000000000000071</v>
      </c>
      <c r="N104" s="10">
        <f t="shared" si="28"/>
        <v>0.30000000000000071</v>
      </c>
      <c r="O104" s="10">
        <v>1</v>
      </c>
      <c r="P104" s="7">
        <f t="shared" si="29"/>
        <v>1</v>
      </c>
    </row>
    <row r="105" spans="1:16">
      <c r="A105" s="2" t="s">
        <v>11</v>
      </c>
      <c r="B105" s="10">
        <v>68.400000000000006</v>
      </c>
      <c r="C105" s="10">
        <v>69</v>
      </c>
      <c r="D105" s="10">
        <f t="shared" si="25"/>
        <v>-0.59999999999999432</v>
      </c>
      <c r="E105" s="10">
        <f t="shared" si="26"/>
        <v>0.59999999999999432</v>
      </c>
      <c r="F105" s="10">
        <v>4</v>
      </c>
      <c r="G105" s="7">
        <f>F105</f>
        <v>4</v>
      </c>
      <c r="J105" s="2" t="s">
        <v>11</v>
      </c>
      <c r="K105" s="10">
        <v>28.4</v>
      </c>
      <c r="L105" s="10">
        <v>24.5</v>
      </c>
      <c r="M105" s="10">
        <f t="shared" si="27"/>
        <v>3.8999999999999986</v>
      </c>
      <c r="N105" s="10">
        <f t="shared" si="28"/>
        <v>3.8999999999999986</v>
      </c>
      <c r="O105" s="10">
        <v>11</v>
      </c>
      <c r="P105" s="7">
        <f t="shared" si="29"/>
        <v>11</v>
      </c>
    </row>
    <row r="106" spans="1:16">
      <c r="A106" s="2" t="s">
        <v>12</v>
      </c>
      <c r="B106" s="10">
        <v>68.400000000000006</v>
      </c>
      <c r="C106" s="10">
        <v>68.3</v>
      </c>
      <c r="D106" s="10">
        <f t="shared" si="25"/>
        <v>0.10000000000000853</v>
      </c>
      <c r="E106" s="10">
        <f t="shared" si="26"/>
        <v>0.10000000000000853</v>
      </c>
      <c r="F106" s="10">
        <v>1</v>
      </c>
      <c r="G106" s="7">
        <f>F106</f>
        <v>1</v>
      </c>
      <c r="J106" s="2" t="s">
        <v>12</v>
      </c>
      <c r="K106" s="10">
        <v>25</v>
      </c>
      <c r="L106" s="10">
        <v>21.4</v>
      </c>
      <c r="M106" s="10">
        <f t="shared" si="27"/>
        <v>3.6000000000000014</v>
      </c>
      <c r="N106" s="10">
        <f t="shared" si="28"/>
        <v>3.6000000000000014</v>
      </c>
      <c r="O106" s="10">
        <v>10</v>
      </c>
      <c r="P106" s="7">
        <f t="shared" si="29"/>
        <v>10</v>
      </c>
    </row>
    <row r="107" spans="1:16">
      <c r="A107" s="2" t="s">
        <v>13</v>
      </c>
      <c r="B107" s="10">
        <v>60.7</v>
      </c>
      <c r="C107" s="10">
        <v>57.5</v>
      </c>
      <c r="D107" s="10">
        <f t="shared" si="25"/>
        <v>3.2000000000000028</v>
      </c>
      <c r="E107" s="10">
        <f t="shared" si="26"/>
        <v>3.2000000000000028</v>
      </c>
      <c r="F107" s="10">
        <v>11</v>
      </c>
      <c r="G107" s="7">
        <f>F107</f>
        <v>11</v>
      </c>
      <c r="J107" s="2" t="s">
        <v>13</v>
      </c>
      <c r="K107" s="10">
        <v>29.8</v>
      </c>
      <c r="L107" s="10">
        <v>29.4</v>
      </c>
      <c r="M107" s="10">
        <f t="shared" si="27"/>
        <v>0.40000000000000213</v>
      </c>
      <c r="N107" s="10">
        <f t="shared" si="28"/>
        <v>0.40000000000000213</v>
      </c>
      <c r="O107" s="10">
        <v>2</v>
      </c>
      <c r="P107" s="7">
        <f t="shared" si="29"/>
        <v>2</v>
      </c>
    </row>
    <row r="108" spans="1:16">
      <c r="A108" s="2" t="s">
        <v>14</v>
      </c>
      <c r="B108" s="10">
        <v>59.4</v>
      </c>
      <c r="C108" s="10">
        <v>56.5</v>
      </c>
      <c r="D108" s="10">
        <f t="shared" si="25"/>
        <v>2.8999999999999986</v>
      </c>
      <c r="E108" s="10">
        <f t="shared" si="26"/>
        <v>2.8999999999999986</v>
      </c>
      <c r="F108" s="10">
        <v>9</v>
      </c>
      <c r="G108" s="7">
        <f>F108</f>
        <v>9</v>
      </c>
      <c r="J108" s="2" t="s">
        <v>14</v>
      </c>
      <c r="K108" s="10">
        <v>33.200000000000003</v>
      </c>
      <c r="L108" s="10">
        <v>34.200000000000003</v>
      </c>
      <c r="M108" s="10">
        <f t="shared" si="27"/>
        <v>-1</v>
      </c>
      <c r="N108" s="10">
        <f t="shared" si="28"/>
        <v>1</v>
      </c>
      <c r="O108" s="10">
        <v>4</v>
      </c>
      <c r="P108" s="7">
        <f t="shared" si="29"/>
        <v>4</v>
      </c>
    </row>
    <row r="109" spans="1:16">
      <c r="A109" s="2" t="s">
        <v>15</v>
      </c>
      <c r="B109" s="10">
        <v>59.8</v>
      </c>
      <c r="C109" s="10">
        <v>59.1</v>
      </c>
      <c r="D109" s="10">
        <f t="shared" si="25"/>
        <v>0.69999999999999574</v>
      </c>
      <c r="E109" s="10">
        <f t="shared" si="26"/>
        <v>0.69999999999999574</v>
      </c>
      <c r="F109" s="10">
        <v>5</v>
      </c>
      <c r="G109" s="7">
        <f>F109</f>
        <v>5</v>
      </c>
      <c r="J109" s="2" t="s">
        <v>15</v>
      </c>
      <c r="K109" s="10">
        <v>36.299999999999997</v>
      </c>
      <c r="L109" s="10">
        <v>34.6</v>
      </c>
      <c r="M109" s="10">
        <f t="shared" si="27"/>
        <v>1.6999999999999957</v>
      </c>
      <c r="N109" s="10">
        <f t="shared" si="28"/>
        <v>1.6999999999999957</v>
      </c>
      <c r="O109" s="10">
        <v>5</v>
      </c>
      <c r="P109" s="7">
        <f t="shared" si="29"/>
        <v>5</v>
      </c>
    </row>
    <row r="110" spans="1:16">
      <c r="A110" s="2" t="s">
        <v>16</v>
      </c>
      <c r="B110" s="10">
        <v>59</v>
      </c>
      <c r="C110" s="10">
        <v>63.2</v>
      </c>
      <c r="D110" s="10">
        <f t="shared" si="25"/>
        <v>-4.2000000000000028</v>
      </c>
      <c r="E110" s="10">
        <f t="shared" si="26"/>
        <v>4.2000000000000028</v>
      </c>
      <c r="F110" s="10">
        <v>13</v>
      </c>
      <c r="G110" s="7">
        <f>F110</f>
        <v>13</v>
      </c>
      <c r="J110" s="2" t="s">
        <v>16</v>
      </c>
      <c r="K110" s="10">
        <v>34.9</v>
      </c>
      <c r="L110" s="10">
        <v>29.2</v>
      </c>
      <c r="M110" s="10">
        <f t="shared" si="27"/>
        <v>5.6999999999999993</v>
      </c>
      <c r="N110" s="10">
        <f t="shared" si="28"/>
        <v>5.6999999999999993</v>
      </c>
      <c r="O110" s="10">
        <v>13</v>
      </c>
      <c r="P110" s="7">
        <f t="shared" si="29"/>
        <v>13</v>
      </c>
    </row>
    <row r="111" spans="1:16">
      <c r="A111" s="2" t="s">
        <v>17</v>
      </c>
      <c r="B111" s="10">
        <v>58.8</v>
      </c>
      <c r="C111" s="10">
        <v>59.6</v>
      </c>
      <c r="D111" s="10">
        <f t="shared" si="25"/>
        <v>-0.80000000000000426</v>
      </c>
      <c r="E111" s="10">
        <f t="shared" si="26"/>
        <v>0.80000000000000426</v>
      </c>
      <c r="F111" s="10">
        <v>6</v>
      </c>
      <c r="G111" s="7">
        <f>F111</f>
        <v>6</v>
      </c>
      <c r="J111" s="2" t="s">
        <v>17</v>
      </c>
      <c r="K111" s="10">
        <v>34.200000000000003</v>
      </c>
      <c r="L111" s="10">
        <v>29.6</v>
      </c>
      <c r="M111" s="10">
        <f t="shared" si="27"/>
        <v>4.6000000000000014</v>
      </c>
      <c r="N111" s="10">
        <f t="shared" si="28"/>
        <v>4.6000000000000014</v>
      </c>
      <c r="O111" s="10">
        <v>12</v>
      </c>
      <c r="P111" s="7">
        <f t="shared" si="29"/>
        <v>12</v>
      </c>
    </row>
    <row r="112" spans="1:16">
      <c r="A112" s="2" t="s">
        <v>18</v>
      </c>
      <c r="B112" s="10">
        <v>54.4</v>
      </c>
      <c r="C112" s="10">
        <v>45.5</v>
      </c>
      <c r="D112" s="10">
        <f t="shared" si="25"/>
        <v>8.8999999999999986</v>
      </c>
      <c r="E112" s="10">
        <f t="shared" si="26"/>
        <v>8.8999999999999986</v>
      </c>
      <c r="F112" s="10">
        <v>14</v>
      </c>
      <c r="G112" s="7">
        <f>F112</f>
        <v>14</v>
      </c>
      <c r="J112" s="2" t="s">
        <v>18</v>
      </c>
      <c r="K112" s="10">
        <v>39.5</v>
      </c>
      <c r="L112" s="10">
        <v>45.6</v>
      </c>
      <c r="M112" s="10">
        <f t="shared" si="27"/>
        <v>-6.1000000000000014</v>
      </c>
      <c r="N112" s="10">
        <f t="shared" si="28"/>
        <v>6.1000000000000014</v>
      </c>
      <c r="O112" s="10">
        <v>14</v>
      </c>
      <c r="P112" s="7">
        <f t="shared" si="29"/>
        <v>14</v>
      </c>
    </row>
    <row r="113" spans="1:16">
      <c r="A113" s="2" t="s">
        <v>19</v>
      </c>
      <c r="B113" s="10">
        <v>55.3</v>
      </c>
      <c r="C113" s="10">
        <v>51.6</v>
      </c>
      <c r="D113" s="10">
        <f t="shared" si="25"/>
        <v>3.6999999999999957</v>
      </c>
      <c r="E113" s="10">
        <f t="shared" si="26"/>
        <v>3.6999999999999957</v>
      </c>
      <c r="F113" s="10">
        <v>12</v>
      </c>
      <c r="G113" s="7">
        <f>F113</f>
        <v>12</v>
      </c>
      <c r="H113" s="15"/>
      <c r="J113" s="2" t="s">
        <v>19</v>
      </c>
      <c r="K113" s="10">
        <v>41</v>
      </c>
      <c r="L113" s="10">
        <v>44.1</v>
      </c>
      <c r="M113" s="10">
        <f t="shared" si="27"/>
        <v>-3.1000000000000014</v>
      </c>
      <c r="N113" s="10">
        <f t="shared" si="28"/>
        <v>3.1000000000000014</v>
      </c>
      <c r="O113" s="10">
        <v>8</v>
      </c>
      <c r="P113" s="7">
        <f t="shared" si="29"/>
        <v>8</v>
      </c>
    </row>
    <row r="114" spans="1:16">
      <c r="A114" s="2" t="s">
        <v>20</v>
      </c>
      <c r="B114" s="10">
        <v>54</v>
      </c>
      <c r="C114" s="10">
        <v>51.1</v>
      </c>
      <c r="D114" s="10">
        <f t="shared" si="25"/>
        <v>2.8999999999999986</v>
      </c>
      <c r="E114" s="10">
        <f t="shared" si="26"/>
        <v>2.8999999999999986</v>
      </c>
      <c r="F114" s="11">
        <v>9</v>
      </c>
      <c r="G114" s="18">
        <f>F114</f>
        <v>9</v>
      </c>
      <c r="H114" s="15"/>
      <c r="J114" s="2" t="s">
        <v>20</v>
      </c>
      <c r="K114" s="10">
        <v>43.8</v>
      </c>
      <c r="L114" s="10">
        <v>40.700000000000003</v>
      </c>
      <c r="M114" s="10">
        <f t="shared" si="27"/>
        <v>3.0999999999999943</v>
      </c>
      <c r="N114" s="10">
        <f t="shared" si="28"/>
        <v>3.0999999999999943</v>
      </c>
      <c r="O114" s="11">
        <v>8</v>
      </c>
      <c r="P114" s="18">
        <f t="shared" si="29"/>
        <v>8</v>
      </c>
    </row>
    <row r="115" spans="1:16">
      <c r="A115" s="4" t="s">
        <v>28</v>
      </c>
      <c r="B115" s="12"/>
      <c r="C115" s="12"/>
      <c r="D115" s="12"/>
      <c r="E115" s="12"/>
      <c r="G115" s="7">
        <f>SUM(G101:G114)</f>
        <v>102</v>
      </c>
      <c r="I115" s="13"/>
      <c r="J115" s="4" t="s">
        <v>28</v>
      </c>
      <c r="K115" s="12"/>
      <c r="L115" s="12"/>
      <c r="M115" s="12"/>
      <c r="N115" s="12"/>
      <c r="P115" s="7">
        <f>SUM(P101:P114)</f>
        <v>104</v>
      </c>
    </row>
    <row r="116" spans="1:16">
      <c r="A116" s="8"/>
      <c r="B116" s="13"/>
      <c r="C116" s="13"/>
      <c r="D116" s="13"/>
      <c r="E116" s="13"/>
      <c r="I116" s="13"/>
      <c r="J116" s="8"/>
      <c r="K116" s="13"/>
      <c r="L116" s="13"/>
      <c r="M116" s="13"/>
      <c r="N116" s="13"/>
    </row>
    <row r="117" spans="1:16">
      <c r="A117" s="6" t="s">
        <v>32</v>
      </c>
    </row>
    <row r="118" spans="1:16">
      <c r="A118" s="6"/>
    </row>
    <row r="119" spans="1:16">
      <c r="A119" s="6" t="s">
        <v>30</v>
      </c>
      <c r="B119" s="10" t="s">
        <v>33</v>
      </c>
    </row>
    <row r="121" spans="1:16">
      <c r="A121" s="6" t="s">
        <v>31</v>
      </c>
    </row>
    <row r="122" spans="1:16">
      <c r="A122" s="6" t="s">
        <v>30</v>
      </c>
      <c r="B122" s="10" t="s">
        <v>33</v>
      </c>
    </row>
    <row r="124" spans="1:16">
      <c r="A124" s="6" t="s">
        <v>34</v>
      </c>
    </row>
    <row r="126" spans="1:16">
      <c r="A126" s="6" t="s">
        <v>35</v>
      </c>
    </row>
    <row r="127" spans="1:16">
      <c r="A127" s="10" t="s">
        <v>37</v>
      </c>
    </row>
    <row r="129" spans="1:1">
      <c r="A129" s="10" t="s">
        <v>36</v>
      </c>
    </row>
    <row r="131" spans="1:1">
      <c r="A131" s="10" t="s">
        <v>38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 - Percent</vt:lpstr>
      <vt:lpstr>Review - Number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2017-02-26T02:30:54Z</dcterms:created>
  <dcterms:modified xsi:type="dcterms:W3CDTF">2017-03-08T18:04:45Z</dcterms:modified>
</cp:coreProperties>
</file>