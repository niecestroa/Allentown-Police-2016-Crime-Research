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0" yWindow="0" windowWidth="25600" windowHeight="14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<sst xmlns="http://schemas.openxmlformats.org/spreadsheetml/2006/main" count="153" uniqueCount="119">
  <si>
    <t>Names</t>
  </si>
  <si>
    <t>mpop</t>
  </si>
  <si>
    <t>fpop</t>
  </si>
  <si>
    <t>memp</t>
  </si>
  <si>
    <t>femp</t>
  </si>
  <si>
    <t>mmurder</t>
  </si>
  <si>
    <t xml:space="preserve">San Francisco </t>
  </si>
  <si>
    <t>Northampton</t>
  </si>
  <si>
    <t>Baltimore</t>
  </si>
  <si>
    <t>Bloomington</t>
  </si>
  <si>
    <t>Detroit</t>
  </si>
  <si>
    <t>Philadelphia</t>
  </si>
  <si>
    <t>Chicago</t>
  </si>
  <si>
    <t>Los Angeles</t>
  </si>
  <si>
    <t>Memphis</t>
  </si>
  <si>
    <t>New York City</t>
  </si>
  <si>
    <t>Dallas</t>
  </si>
  <si>
    <t>Boston</t>
  </si>
  <si>
    <t>Houston</t>
  </si>
  <si>
    <t>Las Vegas Metro</t>
  </si>
  <si>
    <t>mman</t>
  </si>
  <si>
    <t>mforcerape</t>
  </si>
  <si>
    <t>mrob</t>
  </si>
  <si>
    <t>magassualt</t>
  </si>
  <si>
    <t>mburglary</t>
  </si>
  <si>
    <t>mlartheft</t>
  </si>
  <si>
    <t>marson</t>
  </si>
  <si>
    <t>motherassualts</t>
  </si>
  <si>
    <t>mforge</t>
  </si>
  <si>
    <t>mfraud</t>
  </si>
  <si>
    <t>membezzle</t>
  </si>
  <si>
    <t>mstolenproperty</t>
  </si>
  <si>
    <t>mvandalism</t>
  </si>
  <si>
    <t>mweaponcarry</t>
  </si>
  <si>
    <t>mprositute</t>
  </si>
  <si>
    <t>msexoffense</t>
  </si>
  <si>
    <t>mdrugabuse</t>
  </si>
  <si>
    <t>msalemanufacture</t>
  </si>
  <si>
    <t>mpossession</t>
  </si>
  <si>
    <t>mgambling</t>
  </si>
  <si>
    <t>mfamilyoffense</t>
  </si>
  <si>
    <t>mDUI</t>
  </si>
  <si>
    <t>mliquiorlaws</t>
  </si>
  <si>
    <t>mdurnk</t>
  </si>
  <si>
    <t>mdisorderconduct</t>
  </si>
  <si>
    <t>mvangrancy</t>
  </si>
  <si>
    <t>malloffense</t>
  </si>
  <si>
    <t>msuspicion</t>
  </si>
  <si>
    <t>mcurfewloiter</t>
  </si>
  <si>
    <t>mrunaway</t>
  </si>
  <si>
    <t>mviolentcrime</t>
  </si>
  <si>
    <t>mpropertycrimeindex</t>
  </si>
  <si>
    <t>fmurder</t>
  </si>
  <si>
    <t>fman</t>
  </si>
  <si>
    <t>fforcerape</t>
  </si>
  <si>
    <t>frob</t>
  </si>
  <si>
    <t>fagassualt</t>
  </si>
  <si>
    <t>fburglary</t>
  </si>
  <si>
    <t>flartheft</t>
  </si>
  <si>
    <t>farson</t>
  </si>
  <si>
    <t>fotherassualts</t>
  </si>
  <si>
    <t>fforge</t>
  </si>
  <si>
    <t>ffraud</t>
  </si>
  <si>
    <t>fembezzle</t>
  </si>
  <si>
    <t>fstolenproperty</t>
  </si>
  <si>
    <t>fvandalism</t>
  </si>
  <si>
    <t>fweaponcarry</t>
  </si>
  <si>
    <t>fprositute</t>
  </si>
  <si>
    <t>fsexoffense</t>
  </si>
  <si>
    <t>fdrugabuse</t>
  </si>
  <si>
    <t>fsalemanufacture</t>
  </si>
  <si>
    <t>fpossession</t>
  </si>
  <si>
    <t>fgambling</t>
  </si>
  <si>
    <t>ffamilyoffense</t>
  </si>
  <si>
    <t>fDUI</t>
  </si>
  <si>
    <t>fliquiorlaws</t>
  </si>
  <si>
    <t>fdurnk</t>
  </si>
  <si>
    <t>fdisorderconduct</t>
  </si>
  <si>
    <t>fvangrancy</t>
  </si>
  <si>
    <t>falloffense</t>
  </si>
  <si>
    <t>fsuspicion</t>
  </si>
  <si>
    <t>fbreakcurfew</t>
  </si>
  <si>
    <t>frunaway</t>
  </si>
  <si>
    <t>fviolentcrime</t>
  </si>
  <si>
    <t>fpropertycrimeindex</t>
  </si>
  <si>
    <t>Murder and Non-Negligent Manslaughter</t>
  </si>
  <si>
    <t>Manslaughter by Negligence</t>
  </si>
  <si>
    <t>Forcible Rape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</si>
  <si>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</si>
  <si>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</si>
  <si>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</si>
  <si>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</si>
  <si>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</si>
  <si>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</si>
  <si>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</si>
  <si>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</si>
  <si>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</si>
  <si>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</si>
  <si>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Stolen Property; Buying, Receiving, Possessing</t>
  </si>
  <si>
    <t>Vandalism</t>
  </si>
  <si>
    <t>Weapons; Carrying, Possessing, etc.</t>
  </si>
  <si>
    <t>Prostitution and Commercialized Vice</t>
  </si>
  <si>
    <t>Sex Offense (except forcible rape and prostitution)</t>
  </si>
  <si>
    <t>Drug Abuse Violations -Total</t>
  </si>
  <si>
    <t>     Sale-Manufacturing-Total</t>
  </si>
  <si>
    <t>     Possession-SubTotal</t>
  </si>
  <si>
    <t>Gambling</t>
  </si>
  <si>
    <t>Offenses Against the Family and Children</t>
  </si>
  <si>
    <t>Driving Under the Influence</t>
  </si>
  <si>
    <t>Liquor Laws</t>
  </si>
  <si>
    <t>Drunkenness</t>
  </si>
  <si>
    <t>Disorderly Conduct</t>
  </si>
  <si>
    <t>Vagrancy</t>
  </si>
  <si>
    <t>All Other Offenses (except traffic)</t>
  </si>
  <si>
    <t>Suspicion</t>
  </si>
  <si>
    <t>Curfew and Loitering Law Violations</t>
  </si>
  <si>
    <t>Runaways</t>
  </si>
  <si>
    <t>Violent Crime Index</t>
  </si>
  <si>
    <t>Property Crime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</si>
</sst>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left" vertical="center" wrapText="1"/>
    </xf>
  </cellXfs>
  <cellStyles count="3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mpop</c:v>
                </c:pt>
              </c:strCache>
            </c:strRef>
          </c:tx>
          <c:invertIfNegative val="0"/>
          <c:cat>
            <c:strRef>
              <c:f>Sheet1!$A$2:$A$15</c:f>
              <c:strCache>
                <c:ptCount val="14"/>
                <c:pt idx="0">
                  <c:v>San Francisco </c:v>
                </c:pt>
                <c:pt idx="1">
                  <c:v>Northampton</c:v>
                </c:pt>
                <c:pt idx="2">
                  <c:v>Baltimore</c:v>
                </c:pt>
                <c:pt idx="3">
                  <c:v>Bloomington</c:v>
                </c:pt>
                <c:pt idx="4">
                  <c:v>Detroit</c:v>
                </c:pt>
                <c:pt idx="5">
                  <c:v>Philadelphia</c:v>
                </c:pt>
                <c:pt idx="6">
                  <c:v>Chicago</c:v>
                </c:pt>
                <c:pt idx="7">
                  <c:v>Los Angeles</c:v>
                </c:pt>
                <c:pt idx="8">
                  <c:v>Memphis</c:v>
                </c:pt>
                <c:pt idx="9">
                  <c:v>New York City</c:v>
                </c:pt>
                <c:pt idx="10">
                  <c:v>Dallas</c:v>
                </c:pt>
                <c:pt idx="11">
                  <c:v>Boston</c:v>
                </c:pt>
                <c:pt idx="12">
                  <c:v>Houston</c:v>
                </c:pt>
                <c:pt idx="13">
                  <c:v>Las Vegas Metro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408462.0</c:v>
                </c:pt>
                <c:pt idx="1">
                  <c:v>12312.0</c:v>
                </c:pt>
                <c:pt idx="2">
                  <c:v>292249.0</c:v>
                </c:pt>
                <c:pt idx="3">
                  <c:v>40161.0</c:v>
                </c:pt>
                <c:pt idx="4">
                  <c:v>337679.0</c:v>
                </c:pt>
                <c:pt idx="5">
                  <c:v>719813.0</c:v>
                </c:pt>
                <c:pt idx="6">
                  <c:v>1.308072E6</c:v>
                </c:pt>
                <c:pt idx="7">
                  <c:v>1.889064E6</c:v>
                </c:pt>
                <c:pt idx="8">
                  <c:v>307019.0</c:v>
                </c:pt>
                <c:pt idx="9">
                  <c:v>3.883188E6</c:v>
                </c:pt>
                <c:pt idx="10">
                  <c:v>598962.0</c:v>
                </c:pt>
                <c:pt idx="11">
                  <c:v>295951.0</c:v>
                </c:pt>
                <c:pt idx="12">
                  <c:v>1.053517E6</c:v>
                </c:pt>
                <c:pt idx="13">
                  <c:v>294100.0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fpop</c:v>
                </c:pt>
              </c:strCache>
            </c:strRef>
          </c:tx>
          <c:invertIfNegative val="0"/>
          <c:cat>
            <c:strRef>
              <c:f>Sheet1!$A$2:$A$15</c:f>
              <c:strCache>
                <c:ptCount val="14"/>
                <c:pt idx="0">
                  <c:v>San Francisco </c:v>
                </c:pt>
                <c:pt idx="1">
                  <c:v>Northampton</c:v>
                </c:pt>
                <c:pt idx="2">
                  <c:v>Baltimore</c:v>
                </c:pt>
                <c:pt idx="3">
                  <c:v>Bloomington</c:v>
                </c:pt>
                <c:pt idx="4">
                  <c:v>Detroit</c:v>
                </c:pt>
                <c:pt idx="5">
                  <c:v>Philadelphia</c:v>
                </c:pt>
                <c:pt idx="6">
                  <c:v>Chicago</c:v>
                </c:pt>
                <c:pt idx="7">
                  <c:v>Los Angeles</c:v>
                </c:pt>
                <c:pt idx="8">
                  <c:v>Memphis</c:v>
                </c:pt>
                <c:pt idx="9">
                  <c:v>New York City</c:v>
                </c:pt>
                <c:pt idx="10">
                  <c:v>Dallas</c:v>
                </c:pt>
                <c:pt idx="11">
                  <c:v>Boston</c:v>
                </c:pt>
                <c:pt idx="12">
                  <c:v>Houston</c:v>
                </c:pt>
                <c:pt idx="13">
                  <c:v>Las Vegas Metro</c:v>
                </c:pt>
              </c:strCache>
            </c:str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396773.0</c:v>
                </c:pt>
                <c:pt idx="1">
                  <c:v>16237.0</c:v>
                </c:pt>
                <c:pt idx="2">
                  <c:v>328712.0</c:v>
                </c:pt>
                <c:pt idx="3">
                  <c:v>43162.0</c:v>
                </c:pt>
                <c:pt idx="4">
                  <c:v>376098.0</c:v>
                </c:pt>
                <c:pt idx="5">
                  <c:v>806193.0</c:v>
                </c:pt>
                <c:pt idx="6">
                  <c:v>1.387526E6</c:v>
                </c:pt>
                <c:pt idx="7">
                  <c:v>1.903557E6</c:v>
                </c:pt>
                <c:pt idx="8">
                  <c:v>339870.0</c:v>
                </c:pt>
                <c:pt idx="9">
                  <c:v>4.291945E6</c:v>
                </c:pt>
                <c:pt idx="10">
                  <c:v>598854.0</c:v>
                </c:pt>
                <c:pt idx="11">
                  <c:v>321643.0</c:v>
                </c:pt>
                <c:pt idx="12">
                  <c:v>1.045934E6</c:v>
                </c:pt>
                <c:pt idx="13">
                  <c:v>289656.0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252648"/>
        <c:axId val="-2133249672"/>
      </c:barChart>
      <c:catAx>
        <c:axId val="-213325264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249672"/>
        <c:crosses val="autoZero"/>
        <c:auto val="1"/>
        <c:lblAlgn val="ctr"/>
        <c:lblOffset val="100"/>
        <c:noMultiLvlLbl val="0"/>
      </c:catAx>
      <c:valAx>
        <c:axId val="-2133249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252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memp</c:v>
                </c:pt>
              </c:strCache>
            </c:strRef>
          </c:tx>
          <c:invertIfNegative val="0"/>
          <c:val>
            <c:numRef>
              <c:f>Sheet1!$D$2:$D$15</c:f>
              <c:numCache>
                <c:formatCode>General</c:formatCode>
                <c:ptCount val="14"/>
                <c:pt idx="0">
                  <c:v>1793.0</c:v>
                </c:pt>
                <c:pt idx="1">
                  <c:v>56.0</c:v>
                </c:pt>
                <c:pt idx="2">
                  <c:v>2072.0</c:v>
                </c:pt>
                <c:pt idx="3">
                  <c:v>100.0</c:v>
                </c:pt>
                <c:pt idx="4">
                  <c:v>2241.0</c:v>
                </c:pt>
                <c:pt idx="5">
                  <c:v>4998.0</c:v>
                </c:pt>
                <c:pt idx="6">
                  <c:v>10368.0</c:v>
                </c:pt>
                <c:pt idx="7">
                  <c:v>7584.0</c:v>
                </c:pt>
                <c:pt idx="8">
                  <c:v>1646.0</c:v>
                </c:pt>
                <c:pt idx="9">
                  <c:v>30031.0</c:v>
                </c:pt>
                <c:pt idx="10">
                  <c:v>2573.0</c:v>
                </c:pt>
                <c:pt idx="11">
                  <c:v>1800.0</c:v>
                </c:pt>
                <c:pt idx="12">
                  <c:v>4390.0</c:v>
                </c:pt>
                <c:pt idx="13">
                  <c:v>2214.0</c:v>
                </c:pt>
              </c:numCache>
            </c:numRef>
          </c:val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femp</c:v>
                </c:pt>
              </c:strCache>
            </c:strRef>
          </c:tx>
          <c:invertIfNegative val="0"/>
          <c:val>
            <c:numRef>
              <c:f>Sheet1!$E$2:$E$15</c:f>
              <c:numCache>
                <c:formatCode>General</c:formatCode>
                <c:ptCount val="14"/>
                <c:pt idx="0">
                  <c:v>321.0</c:v>
                </c:pt>
                <c:pt idx="1">
                  <c:v>8.0</c:v>
                </c:pt>
                <c:pt idx="2">
                  <c:v>383.0</c:v>
                </c:pt>
                <c:pt idx="3">
                  <c:v>55.0</c:v>
                </c:pt>
                <c:pt idx="4">
                  <c:v>829.0</c:v>
                </c:pt>
                <c:pt idx="5">
                  <c:v>1666.0</c:v>
                </c:pt>
                <c:pt idx="6">
                  <c:v>3097.0</c:v>
                </c:pt>
                <c:pt idx="7">
                  <c:v>1779.0</c:v>
                </c:pt>
                <c:pt idx="8">
                  <c:v>386.0</c:v>
                </c:pt>
                <c:pt idx="9">
                  <c:v>6151.0</c:v>
                </c:pt>
                <c:pt idx="10">
                  <c:v>527.0</c:v>
                </c:pt>
                <c:pt idx="11">
                  <c:v>293.0</c:v>
                </c:pt>
                <c:pt idx="12">
                  <c:v>656.0</c:v>
                </c:pt>
                <c:pt idx="13">
                  <c:v>219.0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187448"/>
        <c:axId val="-2132184472"/>
      </c:barChart>
      <c:catAx>
        <c:axId val="-213218744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184472"/>
        <c:crosses val="autoZero"/>
        <c:auto val="1"/>
        <c:lblAlgn val="ctr"/>
        <c:lblOffset val="100"/>
        <c:noMultiLvlLbl val="0"/>
      </c:catAx>
      <c:valAx>
        <c:axId val="-2132184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187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mmurder</c:v>
                </c:pt>
              </c:strCache>
            </c:strRef>
          </c:tx>
          <c:invertIfNegative val="0"/>
          <c:val>
            <c:numRef>
              <c:f>Sheet1!$F$2:$F$15</c:f>
              <c:numCache>
                <c:formatCode>General</c:formatCode>
                <c:ptCount val="14"/>
                <c:pt idx="0">
                  <c:v>24.0</c:v>
                </c:pt>
                <c:pt idx="1">
                  <c:v>3.0</c:v>
                </c:pt>
                <c:pt idx="2">
                  <c:v>73.0</c:v>
                </c:pt>
                <c:pt idx="3">
                  <c:v>3.0</c:v>
                </c:pt>
                <c:pt idx="4">
                  <c:v>29.0</c:v>
                </c:pt>
                <c:pt idx="5">
                  <c:v>242.0</c:v>
                </c:pt>
                <c:pt idx="6">
                  <c:v>285.0</c:v>
                </c:pt>
                <c:pt idx="7">
                  <c:v>145.0</c:v>
                </c:pt>
                <c:pt idx="8">
                  <c:v>59.0</c:v>
                </c:pt>
                <c:pt idx="9">
                  <c:v>574.0</c:v>
                </c:pt>
                <c:pt idx="10">
                  <c:v>7.0</c:v>
                </c:pt>
                <c:pt idx="11">
                  <c:v>27.0</c:v>
                </c:pt>
                <c:pt idx="12">
                  <c:v>82.0</c:v>
                </c:pt>
                <c:pt idx="13">
                  <c:v>56.0</c:v>
                </c:pt>
              </c:numCache>
            </c:numRef>
          </c:val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fmurder</c:v>
                </c:pt>
              </c:strCache>
            </c:strRef>
          </c:tx>
          <c:invertIfNegative val="0"/>
          <c:val>
            <c:numRef>
              <c:f>Sheet1!$G$2:$G$15</c:f>
              <c:numCache>
                <c:formatCode>General</c:formatCode>
                <c:ptCount val="14"/>
                <c:pt idx="1">
                  <c:v>2.0</c:v>
                </c:pt>
                <c:pt idx="2">
                  <c:v>6.0</c:v>
                </c:pt>
                <c:pt idx="3">
                  <c:v>2.0</c:v>
                </c:pt>
                <c:pt idx="4">
                  <c:v>4.0</c:v>
                </c:pt>
                <c:pt idx="5">
                  <c:v>16.0</c:v>
                </c:pt>
                <c:pt idx="6">
                  <c:v>26.0</c:v>
                </c:pt>
                <c:pt idx="7">
                  <c:v>29.0</c:v>
                </c:pt>
                <c:pt idx="8">
                  <c:v>5.0</c:v>
                </c:pt>
                <c:pt idx="9">
                  <c:v>47.0</c:v>
                </c:pt>
                <c:pt idx="10">
                  <c:v>4.0</c:v>
                </c:pt>
                <c:pt idx="11">
                  <c:v>2.0</c:v>
                </c:pt>
                <c:pt idx="12">
                  <c:v>11.0</c:v>
                </c:pt>
                <c:pt idx="13">
                  <c:v>15.0</c:v>
                </c:pt>
              </c:numCache>
            </c:numRef>
          </c:val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mman</c:v>
                </c:pt>
              </c:strCache>
            </c:strRef>
          </c:tx>
          <c:invertIfNegative val="0"/>
          <c:val>
            <c:numRef>
              <c:f>Sheet1!$H$2:$H$15</c:f>
              <c:numCache>
                <c:formatCode>General</c:formatCode>
                <c:ptCount val="14"/>
                <c:pt idx="0">
                  <c:v>2.0</c:v>
                </c:pt>
                <c:pt idx="1">
                  <c:v>2.0</c:v>
                </c:pt>
                <c:pt idx="2">
                  <c:v>-1.0</c:v>
                </c:pt>
                <c:pt idx="3">
                  <c:v>2.0</c:v>
                </c:pt>
                <c:pt idx="4">
                  <c:v>-1.0</c:v>
                </c:pt>
                <c:pt idx="5">
                  <c:v>12.0</c:v>
                </c:pt>
                <c:pt idx="6">
                  <c:v>12.0</c:v>
                </c:pt>
                <c:pt idx="7">
                  <c:v>8.0</c:v>
                </c:pt>
                <c:pt idx="8">
                  <c:v>5.0</c:v>
                </c:pt>
                <c:pt idx="9">
                  <c:v>12.0</c:v>
                </c:pt>
                <c:pt idx="10">
                  <c:v>10.0</c:v>
                </c:pt>
                <c:pt idx="11">
                  <c:v>4.0</c:v>
                </c:pt>
                <c:pt idx="12">
                  <c:v>9.0</c:v>
                </c:pt>
                <c:pt idx="13">
                  <c:v>10.0</c:v>
                </c:pt>
              </c:numCache>
            </c:numRef>
          </c:val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fman</c:v>
                </c:pt>
              </c:strCache>
            </c:strRef>
          </c:tx>
          <c:invertIfNegative val="0"/>
          <c:val>
            <c:numRef>
              <c:f>Sheet1!$I$2:$I$15</c:f>
              <c:numCache>
                <c:formatCode>General</c:formatCode>
                <c:ptCount val="14"/>
                <c:pt idx="1">
                  <c:v>-1.0</c:v>
                </c:pt>
                <c:pt idx="2">
                  <c:v>-1.0</c:v>
                </c:pt>
                <c:pt idx="3">
                  <c:v>0.0</c:v>
                </c:pt>
                <c:pt idx="4">
                  <c:v>-1.0</c:v>
                </c:pt>
                <c:pt idx="5">
                  <c:v>0.0</c:v>
                </c:pt>
                <c:pt idx="6">
                  <c:v>3.0</c:v>
                </c:pt>
                <c:pt idx="7">
                  <c:v>5.0</c:v>
                </c:pt>
                <c:pt idx="8">
                  <c:v>1.0</c:v>
                </c:pt>
                <c:pt idx="9">
                  <c:v>3.0</c:v>
                </c:pt>
                <c:pt idx="10">
                  <c:v>0.0</c:v>
                </c:pt>
                <c:pt idx="11">
                  <c:v>0.0</c:v>
                </c:pt>
                <c:pt idx="12">
                  <c:v>6.0</c:v>
                </c:pt>
                <c:pt idx="13">
                  <c:v>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525944"/>
        <c:axId val="2081529064"/>
      </c:barChart>
      <c:catAx>
        <c:axId val="2081525944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529064"/>
        <c:crosses val="autoZero"/>
        <c:auto val="1"/>
        <c:lblAlgn val="ctr"/>
        <c:lblOffset val="100"/>
        <c:noMultiLvlLbl val="0"/>
      </c:catAx>
      <c:valAx>
        <c:axId val="2081529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1525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mforcerape</c:v>
                </c:pt>
              </c:strCache>
            </c:strRef>
          </c:tx>
          <c:invertIfNegative val="0"/>
          <c:val>
            <c:numRef>
              <c:f>Sheet1!$J$2:$J$15</c:f>
              <c:numCache>
                <c:formatCode>General</c:formatCode>
                <c:ptCount val="14"/>
                <c:pt idx="0">
                  <c:v>19.0</c:v>
                </c:pt>
                <c:pt idx="1">
                  <c:v>1.0</c:v>
                </c:pt>
                <c:pt idx="2">
                  <c:v>105.0</c:v>
                </c:pt>
                <c:pt idx="3">
                  <c:v>1.0</c:v>
                </c:pt>
                <c:pt idx="4">
                  <c:v>45.0</c:v>
                </c:pt>
                <c:pt idx="5">
                  <c:v>318.0</c:v>
                </c:pt>
                <c:pt idx="6">
                  <c:v>373.0</c:v>
                </c:pt>
                <c:pt idx="7">
                  <c:v>198.0</c:v>
                </c:pt>
                <c:pt idx="8">
                  <c:v>101.0</c:v>
                </c:pt>
                <c:pt idx="9">
                  <c:v>919.0</c:v>
                </c:pt>
                <c:pt idx="10">
                  <c:v>92.0</c:v>
                </c:pt>
                <c:pt idx="11">
                  <c:v>50.0</c:v>
                </c:pt>
                <c:pt idx="12">
                  <c:v>167.0</c:v>
                </c:pt>
                <c:pt idx="13">
                  <c:v>112.0</c:v>
                </c:pt>
              </c:numCache>
            </c:numRef>
          </c:val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fforcerape</c:v>
                </c:pt>
              </c:strCache>
            </c:strRef>
          </c:tx>
          <c:invertIfNegative val="0"/>
          <c:val>
            <c:numRef>
              <c:f>Sheet1!$K$2:$K$15</c:f>
              <c:numCache>
                <c:formatCode>General</c:formatCode>
                <c:ptCount val="14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1.0</c:v>
                </c:pt>
                <c:pt idx="8">
                  <c:v>2.0</c:v>
                </c:pt>
                <c:pt idx="9">
                  <c:v>11.0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554776"/>
        <c:axId val="2081557752"/>
      </c:barChart>
      <c:catAx>
        <c:axId val="2081554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557752"/>
        <c:crosses val="autoZero"/>
        <c:auto val="1"/>
        <c:lblAlgn val="ctr"/>
        <c:lblOffset val="100"/>
        <c:noMultiLvlLbl val="0"/>
      </c:catAx>
      <c:valAx>
        <c:axId val="2081557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1554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mrob</c:v>
                </c:pt>
              </c:strCache>
            </c:strRef>
          </c:tx>
          <c:invertIfNegative val="0"/>
          <c:val>
            <c:numRef>
              <c:f>Sheet1!$L$2:$L$15</c:f>
              <c:numCache>
                <c:formatCode>General</c:formatCode>
                <c:ptCount val="14"/>
                <c:pt idx="0">
                  <c:v>338.0</c:v>
                </c:pt>
                <c:pt idx="1">
                  <c:v>13.0</c:v>
                </c:pt>
                <c:pt idx="2">
                  <c:v>733.0</c:v>
                </c:pt>
                <c:pt idx="3">
                  <c:v>13.0</c:v>
                </c:pt>
                <c:pt idx="4">
                  <c:v>498.0</c:v>
                </c:pt>
                <c:pt idx="5">
                  <c:v>2671.0</c:v>
                </c:pt>
                <c:pt idx="6">
                  <c:v>2216.0</c:v>
                </c:pt>
                <c:pt idx="7">
                  <c:v>2016.0</c:v>
                </c:pt>
                <c:pt idx="8">
                  <c:v>672.0</c:v>
                </c:pt>
                <c:pt idx="9">
                  <c:v>11231.0</c:v>
                </c:pt>
                <c:pt idx="10">
                  <c:v>337.0</c:v>
                </c:pt>
                <c:pt idx="11">
                  <c:v>528.0</c:v>
                </c:pt>
                <c:pt idx="12">
                  <c:v>958.0</c:v>
                </c:pt>
                <c:pt idx="13">
                  <c:v>920.0</c:v>
                </c:pt>
              </c:numCache>
            </c:numRef>
          </c:val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frob</c:v>
                </c:pt>
              </c:strCache>
            </c:strRef>
          </c:tx>
          <c:invertIfNegative val="0"/>
          <c:val>
            <c:numRef>
              <c:f>Sheet1!$M$2:$M$15</c:f>
              <c:numCache>
                <c:formatCode>General</c:formatCode>
                <c:ptCount val="14"/>
                <c:pt idx="1">
                  <c:v>0.0</c:v>
                </c:pt>
                <c:pt idx="2">
                  <c:v>114.0</c:v>
                </c:pt>
                <c:pt idx="3">
                  <c:v>0.0</c:v>
                </c:pt>
                <c:pt idx="4">
                  <c:v>52.0</c:v>
                </c:pt>
                <c:pt idx="5">
                  <c:v>428.0</c:v>
                </c:pt>
                <c:pt idx="6">
                  <c:v>181.0</c:v>
                </c:pt>
                <c:pt idx="7">
                  <c:v>332.0</c:v>
                </c:pt>
                <c:pt idx="8">
                  <c:v>59.0</c:v>
                </c:pt>
                <c:pt idx="9">
                  <c:v>1223.0</c:v>
                </c:pt>
                <c:pt idx="10">
                  <c:v>44.0</c:v>
                </c:pt>
                <c:pt idx="11">
                  <c:v>51.0</c:v>
                </c:pt>
                <c:pt idx="12">
                  <c:v>100.0</c:v>
                </c:pt>
                <c:pt idx="13">
                  <c:v>198.0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4685160"/>
        <c:axId val="-2134682184"/>
      </c:barChart>
      <c:catAx>
        <c:axId val="-213468516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4682184"/>
        <c:crosses val="autoZero"/>
        <c:auto val="1"/>
        <c:lblAlgn val="ctr"/>
        <c:lblOffset val="100"/>
        <c:noMultiLvlLbl val="0"/>
      </c:catAx>
      <c:valAx>
        <c:axId val="-2134682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4685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magassualt</c:v>
                </c:pt>
              </c:strCache>
            </c:strRef>
          </c:tx>
          <c:invertIfNegative val="0"/>
          <c:val>
            <c:numRef>
              <c:f>Sheet1!$N$2:$N$15</c:f>
              <c:numCache>
                <c:formatCode>General</c:formatCode>
                <c:ptCount val="14"/>
                <c:pt idx="0" formatCode="#,##0">
                  <c:v>1107.0</c:v>
                </c:pt>
                <c:pt idx="1">
                  <c:v>71.0</c:v>
                </c:pt>
                <c:pt idx="2">
                  <c:v>841.0</c:v>
                </c:pt>
                <c:pt idx="3">
                  <c:v>71.0</c:v>
                </c:pt>
                <c:pt idx="4">
                  <c:v>1176.0</c:v>
                </c:pt>
                <c:pt idx="5">
                  <c:v>3313.0</c:v>
                </c:pt>
                <c:pt idx="6">
                  <c:v>2666.0</c:v>
                </c:pt>
                <c:pt idx="7">
                  <c:v>6879.0</c:v>
                </c:pt>
                <c:pt idx="8">
                  <c:v>1181.0</c:v>
                </c:pt>
                <c:pt idx="9">
                  <c:v>15374.0</c:v>
                </c:pt>
                <c:pt idx="10">
                  <c:v>922.0</c:v>
                </c:pt>
                <c:pt idx="11">
                  <c:v>1919.0</c:v>
                </c:pt>
                <c:pt idx="12">
                  <c:v>1323.0</c:v>
                </c:pt>
                <c:pt idx="13">
                  <c:v>2037.0</c:v>
                </c:pt>
              </c:numCache>
            </c:numRef>
          </c:val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fagassualt</c:v>
                </c:pt>
              </c:strCache>
            </c:strRef>
          </c:tx>
          <c:invertIfNegative val="0"/>
          <c:val>
            <c:numRef>
              <c:f>Sheet1!$O$2:$O$15</c:f>
              <c:numCache>
                <c:formatCode>General</c:formatCode>
                <c:ptCount val="14"/>
                <c:pt idx="1">
                  <c:v>16.0</c:v>
                </c:pt>
                <c:pt idx="2">
                  <c:v>289.0</c:v>
                </c:pt>
                <c:pt idx="3">
                  <c:v>16.0</c:v>
                </c:pt>
                <c:pt idx="4">
                  <c:v>560.0</c:v>
                </c:pt>
                <c:pt idx="5">
                  <c:v>1494.0</c:v>
                </c:pt>
                <c:pt idx="6">
                  <c:v>584.0</c:v>
                </c:pt>
                <c:pt idx="7">
                  <c:v>1771.0</c:v>
                </c:pt>
                <c:pt idx="8">
                  <c:v>458.0</c:v>
                </c:pt>
                <c:pt idx="9">
                  <c:v>4197.0</c:v>
                </c:pt>
                <c:pt idx="10">
                  <c:v>369.0</c:v>
                </c:pt>
                <c:pt idx="11">
                  <c:v>555.0</c:v>
                </c:pt>
                <c:pt idx="12">
                  <c:v>435.0</c:v>
                </c:pt>
                <c:pt idx="13">
                  <c:v>822.0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4654744"/>
        <c:axId val="2082434536"/>
      </c:barChart>
      <c:catAx>
        <c:axId val="-2134654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082434536"/>
        <c:crosses val="autoZero"/>
        <c:auto val="1"/>
        <c:lblAlgn val="ctr"/>
        <c:lblOffset val="100"/>
        <c:noMultiLvlLbl val="0"/>
      </c:catAx>
      <c:valAx>
        <c:axId val="20824345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134654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mburglary</c:v>
                </c:pt>
              </c:strCache>
            </c:strRef>
          </c:tx>
          <c:invertIfNegative val="0"/>
          <c:val>
            <c:numRef>
              <c:f>Sheet1!$P$2:$P$15</c:f>
              <c:numCache>
                <c:formatCode>General</c:formatCode>
                <c:ptCount val="14"/>
                <c:pt idx="0">
                  <c:v>432.0</c:v>
                </c:pt>
                <c:pt idx="1">
                  <c:v>67.0</c:v>
                </c:pt>
                <c:pt idx="2">
                  <c:v>1309.0</c:v>
                </c:pt>
                <c:pt idx="3">
                  <c:v>67.0</c:v>
                </c:pt>
                <c:pt idx="4">
                  <c:v>855.0</c:v>
                </c:pt>
                <c:pt idx="5">
                  <c:v>1587.0</c:v>
                </c:pt>
                <c:pt idx="6">
                  <c:v>2033.0</c:v>
                </c:pt>
                <c:pt idx="7">
                  <c:v>2087.0</c:v>
                </c:pt>
                <c:pt idx="8">
                  <c:v>1339.0</c:v>
                </c:pt>
                <c:pt idx="9">
                  <c:v>4628.0</c:v>
                </c:pt>
                <c:pt idx="10">
                  <c:v>669.0</c:v>
                </c:pt>
                <c:pt idx="11">
                  <c:v>455.0</c:v>
                </c:pt>
                <c:pt idx="12">
                  <c:v>1186.0</c:v>
                </c:pt>
                <c:pt idx="13">
                  <c:v>927.0</c:v>
                </c:pt>
              </c:numCache>
            </c:numRef>
          </c:val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fburglary</c:v>
                </c:pt>
              </c:strCache>
            </c:strRef>
          </c:tx>
          <c:invertIfNegative val="0"/>
          <c:val>
            <c:numRef>
              <c:f>Sheet1!$Q$2:$Q$15</c:f>
              <c:numCache>
                <c:formatCode>General</c:formatCode>
                <c:ptCount val="14"/>
                <c:pt idx="1">
                  <c:v>12.0</c:v>
                </c:pt>
                <c:pt idx="2">
                  <c:v>230.0</c:v>
                </c:pt>
                <c:pt idx="3">
                  <c:v>12.0</c:v>
                </c:pt>
                <c:pt idx="4">
                  <c:v>66.0</c:v>
                </c:pt>
                <c:pt idx="5">
                  <c:v>182.0</c:v>
                </c:pt>
                <c:pt idx="6">
                  <c:v>104.0</c:v>
                </c:pt>
                <c:pt idx="7">
                  <c:v>432.0</c:v>
                </c:pt>
                <c:pt idx="8">
                  <c:v>105.0</c:v>
                </c:pt>
                <c:pt idx="9">
                  <c:v>453.0</c:v>
                </c:pt>
                <c:pt idx="10">
                  <c:v>62.0</c:v>
                </c:pt>
                <c:pt idx="11">
                  <c:v>53.0</c:v>
                </c:pt>
                <c:pt idx="12">
                  <c:v>108.0</c:v>
                </c:pt>
                <c:pt idx="13">
                  <c:v>192.0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174216"/>
        <c:axId val="-2132171240"/>
      </c:barChart>
      <c:catAx>
        <c:axId val="-213217421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171240"/>
        <c:crosses val="autoZero"/>
        <c:auto val="1"/>
        <c:lblAlgn val="ctr"/>
        <c:lblOffset val="100"/>
        <c:noMultiLvlLbl val="0"/>
      </c:catAx>
      <c:valAx>
        <c:axId val="-2132171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174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mlartheft</c:v>
                </c:pt>
              </c:strCache>
            </c:strRef>
          </c:tx>
          <c:invertIfNegative val="0"/>
          <c:val>
            <c:numRef>
              <c:f>Sheet1!$R$2:$R$15</c:f>
              <c:numCache>
                <c:formatCode>General</c:formatCode>
                <c:ptCount val="14"/>
                <c:pt idx="0">
                  <c:v>536.0</c:v>
                </c:pt>
                <c:pt idx="1">
                  <c:v>225.0</c:v>
                </c:pt>
                <c:pt idx="2">
                  <c:v>1092.0</c:v>
                </c:pt>
                <c:pt idx="3">
                  <c:v>225.0</c:v>
                </c:pt>
                <c:pt idx="4">
                  <c:v>427.0</c:v>
                </c:pt>
                <c:pt idx="5">
                  <c:v>4522.0</c:v>
                </c:pt>
                <c:pt idx="6">
                  <c:v>9111.0</c:v>
                </c:pt>
                <c:pt idx="7">
                  <c:v>4592.0</c:v>
                </c:pt>
                <c:pt idx="8">
                  <c:v>2824.0</c:v>
                </c:pt>
                <c:pt idx="9">
                  <c:v>15151.0</c:v>
                </c:pt>
                <c:pt idx="10">
                  <c:v>2562.0</c:v>
                </c:pt>
                <c:pt idx="11">
                  <c:v>1220.0</c:v>
                </c:pt>
                <c:pt idx="12">
                  <c:v>5885.0</c:v>
                </c:pt>
                <c:pt idx="13">
                  <c:v>4160.0</c:v>
                </c:pt>
              </c:numCache>
            </c:numRef>
          </c:val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flartheft</c:v>
                </c:pt>
              </c:strCache>
            </c:strRef>
          </c:tx>
          <c:invertIfNegative val="0"/>
          <c:val>
            <c:numRef>
              <c:f>Sheet1!$S$2:$S$15</c:f>
              <c:numCache>
                <c:formatCode>General</c:formatCode>
                <c:ptCount val="14"/>
                <c:pt idx="1">
                  <c:v>120.0</c:v>
                </c:pt>
                <c:pt idx="2">
                  <c:v>447.0</c:v>
                </c:pt>
                <c:pt idx="3">
                  <c:v>120.0</c:v>
                </c:pt>
                <c:pt idx="4">
                  <c:v>81.0</c:v>
                </c:pt>
                <c:pt idx="5">
                  <c:v>2651.0</c:v>
                </c:pt>
                <c:pt idx="6">
                  <c:v>3524.0</c:v>
                </c:pt>
                <c:pt idx="7">
                  <c:v>3299.0</c:v>
                </c:pt>
                <c:pt idx="8">
                  <c:v>2147.0</c:v>
                </c:pt>
                <c:pt idx="9">
                  <c:v>7644.0</c:v>
                </c:pt>
                <c:pt idx="10">
                  <c:v>1652.0</c:v>
                </c:pt>
                <c:pt idx="11">
                  <c:v>526.0</c:v>
                </c:pt>
                <c:pt idx="12">
                  <c:v>3842.0</c:v>
                </c:pt>
                <c:pt idx="13">
                  <c:v>2811.0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139672"/>
        <c:axId val="-2132136696"/>
      </c:barChart>
      <c:catAx>
        <c:axId val="-213213967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136696"/>
        <c:crosses val="autoZero"/>
        <c:auto val="1"/>
        <c:lblAlgn val="ctr"/>
        <c:lblOffset val="100"/>
        <c:noMultiLvlLbl val="0"/>
      </c:catAx>
      <c:valAx>
        <c:axId val="-2132136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139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marson</c:v>
                </c:pt>
              </c:strCache>
            </c:strRef>
          </c:tx>
          <c:invertIfNegative val="0"/>
          <c:val>
            <c:numRef>
              <c:f>Sheet1!$T$2:$T$15</c:f>
              <c:numCache>
                <c:formatCode>General</c:formatCode>
                <c:ptCount val="14"/>
                <c:pt idx="0">
                  <c:v>130.0</c:v>
                </c:pt>
                <c:pt idx="1">
                  <c:v>3.0</c:v>
                </c:pt>
                <c:pt idx="2">
                  <c:v>57.0</c:v>
                </c:pt>
                <c:pt idx="3">
                  <c:v>3.0</c:v>
                </c:pt>
                <c:pt idx="4">
                  <c:v>34.0</c:v>
                </c:pt>
                <c:pt idx="5">
                  <c:v>63.0</c:v>
                </c:pt>
                <c:pt idx="6">
                  <c:v>32.0</c:v>
                </c:pt>
                <c:pt idx="7">
                  <c:v>38.0</c:v>
                </c:pt>
                <c:pt idx="8">
                  <c:v>38.0</c:v>
                </c:pt>
                <c:pt idx="9">
                  <c:v>141.0</c:v>
                </c:pt>
                <c:pt idx="10">
                  <c:v>1.0</c:v>
                </c:pt>
                <c:pt idx="11">
                  <c:v>2.0</c:v>
                </c:pt>
                <c:pt idx="12">
                  <c:v>19.0</c:v>
                </c:pt>
                <c:pt idx="13">
                  <c:v>7.0</c:v>
                </c:pt>
              </c:numCache>
            </c:numRef>
          </c:val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farson</c:v>
                </c:pt>
              </c:strCache>
            </c:strRef>
          </c:tx>
          <c:invertIfNegative val="0"/>
          <c:val>
            <c:numRef>
              <c:f>Sheet1!$U$2:$U$15</c:f>
              <c:numCache>
                <c:formatCode>General</c:formatCode>
                <c:ptCount val="14"/>
                <c:pt idx="1">
                  <c:v>1.0</c:v>
                </c:pt>
                <c:pt idx="2">
                  <c:v>18.0</c:v>
                </c:pt>
                <c:pt idx="3">
                  <c:v>1.0</c:v>
                </c:pt>
                <c:pt idx="4">
                  <c:v>4.0</c:v>
                </c:pt>
                <c:pt idx="5">
                  <c:v>29.0</c:v>
                </c:pt>
                <c:pt idx="6">
                  <c:v>9.0</c:v>
                </c:pt>
                <c:pt idx="7">
                  <c:v>10.0</c:v>
                </c:pt>
                <c:pt idx="8">
                  <c:v>10.0</c:v>
                </c:pt>
                <c:pt idx="9">
                  <c:v>29.0</c:v>
                </c:pt>
                <c:pt idx="10">
                  <c:v>1.0</c:v>
                </c:pt>
                <c:pt idx="11">
                  <c:v>0.0</c:v>
                </c:pt>
                <c:pt idx="12">
                  <c:v>6.0</c:v>
                </c:pt>
                <c:pt idx="13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110536"/>
        <c:axId val="-2132107560"/>
      </c:barChart>
      <c:catAx>
        <c:axId val="-213211053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107560"/>
        <c:crosses val="autoZero"/>
        <c:auto val="1"/>
        <c:lblAlgn val="ctr"/>
        <c:lblOffset val="100"/>
        <c:noMultiLvlLbl val="0"/>
      </c:catAx>
      <c:valAx>
        <c:axId val="-2132107560"/>
        <c:scaling>
          <c:orientation val="minMax"/>
          <c:max val="145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110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motherassualts</c:v>
                </c:pt>
              </c:strCache>
            </c:strRef>
          </c:tx>
          <c:invertIfNegative val="0"/>
          <c:val>
            <c:numRef>
              <c:f>Sheet1!$V$2:$V$15</c:f>
              <c:numCache>
                <c:formatCode>General</c:formatCode>
                <c:ptCount val="14"/>
                <c:pt idx="0">
                  <c:v>20.0</c:v>
                </c:pt>
                <c:pt idx="1">
                  <c:v>193.0</c:v>
                </c:pt>
                <c:pt idx="2">
                  <c:v>5156.0</c:v>
                </c:pt>
                <c:pt idx="3">
                  <c:v>193.0</c:v>
                </c:pt>
                <c:pt idx="4">
                  <c:v>1711.0</c:v>
                </c:pt>
                <c:pt idx="5">
                  <c:v>3925.0</c:v>
                </c:pt>
                <c:pt idx="6">
                  <c:v>13105.0</c:v>
                </c:pt>
                <c:pt idx="7">
                  <c:v>3348.0</c:v>
                </c:pt>
                <c:pt idx="8">
                  <c:v>4592.0</c:v>
                </c:pt>
                <c:pt idx="9">
                  <c:v>23107.0</c:v>
                </c:pt>
                <c:pt idx="10">
                  <c:v>3592.0</c:v>
                </c:pt>
                <c:pt idx="11">
                  <c:v>1507.0</c:v>
                </c:pt>
                <c:pt idx="12">
                  <c:v>7168.0</c:v>
                </c:pt>
                <c:pt idx="13">
                  <c:v>6750.0</c:v>
                </c:pt>
              </c:numCache>
            </c:numRef>
          </c:val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fotherassualts</c:v>
                </c:pt>
              </c:strCache>
            </c:strRef>
          </c:tx>
          <c:invertIfNegative val="0"/>
          <c:val>
            <c:numRef>
              <c:f>Sheet1!$W$2:$W$15</c:f>
              <c:numCache>
                <c:formatCode>General</c:formatCode>
                <c:ptCount val="14"/>
                <c:pt idx="1">
                  <c:v>73.0</c:v>
                </c:pt>
                <c:pt idx="2">
                  <c:v>1974.0</c:v>
                </c:pt>
                <c:pt idx="3">
                  <c:v>73.0</c:v>
                </c:pt>
                <c:pt idx="4">
                  <c:v>398.0</c:v>
                </c:pt>
                <c:pt idx="5">
                  <c:v>1083.0</c:v>
                </c:pt>
                <c:pt idx="6">
                  <c:v>4009.0</c:v>
                </c:pt>
                <c:pt idx="7">
                  <c:v>989.0</c:v>
                </c:pt>
                <c:pt idx="8">
                  <c:v>2238.0</c:v>
                </c:pt>
                <c:pt idx="9">
                  <c:v>6126.0</c:v>
                </c:pt>
                <c:pt idx="10">
                  <c:v>935.0</c:v>
                </c:pt>
                <c:pt idx="11">
                  <c:v>337.0</c:v>
                </c:pt>
                <c:pt idx="12">
                  <c:v>1752.0</c:v>
                </c:pt>
                <c:pt idx="13">
                  <c:v>3248.0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079176"/>
        <c:axId val="-2132076200"/>
      </c:barChart>
      <c:catAx>
        <c:axId val="-213207917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076200"/>
        <c:crosses val="autoZero"/>
        <c:auto val="1"/>
        <c:lblAlgn val="ctr"/>
        <c:lblOffset val="100"/>
        <c:noMultiLvlLbl val="0"/>
      </c:catAx>
      <c:valAx>
        <c:axId val="-2132076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079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mforge</c:v>
                </c:pt>
              </c:strCache>
            </c:strRef>
          </c:tx>
          <c:invertIfNegative val="0"/>
          <c:val>
            <c:numRef>
              <c:f>Sheet1!$X$2:$X$15</c:f>
              <c:numCache>
                <c:formatCode>General</c:formatCode>
                <c:ptCount val="14"/>
                <c:pt idx="0">
                  <c:v>943.0</c:v>
                </c:pt>
                <c:pt idx="1">
                  <c:v>5.0</c:v>
                </c:pt>
                <c:pt idx="2">
                  <c:v>91.0</c:v>
                </c:pt>
                <c:pt idx="3">
                  <c:v>5.0</c:v>
                </c:pt>
                <c:pt idx="4">
                  <c:v>40.0</c:v>
                </c:pt>
                <c:pt idx="5">
                  <c:v>98.0</c:v>
                </c:pt>
                <c:pt idx="6">
                  <c:v>95.0</c:v>
                </c:pt>
                <c:pt idx="7">
                  <c:v>470.0</c:v>
                </c:pt>
                <c:pt idx="8">
                  <c:v>195.0</c:v>
                </c:pt>
                <c:pt idx="9">
                  <c:v>6938.0</c:v>
                </c:pt>
                <c:pt idx="10">
                  <c:v>228.0</c:v>
                </c:pt>
                <c:pt idx="11">
                  <c:v>23.0</c:v>
                </c:pt>
                <c:pt idx="12">
                  <c:v>420.0</c:v>
                </c:pt>
                <c:pt idx="13">
                  <c:v>370.0</c:v>
                </c:pt>
              </c:numCache>
            </c:numRef>
          </c:val>
        </c:ser>
        <c:ser>
          <c:idx val="1"/>
          <c:order val="1"/>
          <c:tx>
            <c:strRef>
              <c:f>Sheet1!$Y$1</c:f>
              <c:strCache>
                <c:ptCount val="1"/>
                <c:pt idx="0">
                  <c:v>fforge</c:v>
                </c:pt>
              </c:strCache>
            </c:strRef>
          </c:tx>
          <c:invertIfNegative val="0"/>
          <c:val>
            <c:numRef>
              <c:f>Sheet1!$Y$2:$Y$15</c:f>
              <c:numCache>
                <c:formatCode>General</c:formatCode>
                <c:ptCount val="14"/>
                <c:pt idx="1">
                  <c:v>5.0</c:v>
                </c:pt>
                <c:pt idx="2">
                  <c:v>33.0</c:v>
                </c:pt>
                <c:pt idx="3">
                  <c:v>5.0</c:v>
                </c:pt>
                <c:pt idx="4">
                  <c:v>13.0</c:v>
                </c:pt>
                <c:pt idx="5">
                  <c:v>28.0</c:v>
                </c:pt>
                <c:pt idx="6">
                  <c:v>57.0</c:v>
                </c:pt>
                <c:pt idx="7">
                  <c:v>131.0</c:v>
                </c:pt>
                <c:pt idx="8">
                  <c:v>98.0</c:v>
                </c:pt>
                <c:pt idx="9">
                  <c:v>670.0</c:v>
                </c:pt>
                <c:pt idx="10">
                  <c:v>97.0</c:v>
                </c:pt>
                <c:pt idx="11">
                  <c:v>19.0</c:v>
                </c:pt>
                <c:pt idx="12">
                  <c:v>224.0</c:v>
                </c:pt>
                <c:pt idx="13">
                  <c:v>238.0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050008"/>
        <c:axId val="-2132047032"/>
      </c:barChart>
      <c:catAx>
        <c:axId val="-213205000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047032"/>
        <c:crosses val="autoZero"/>
        <c:auto val="1"/>
        <c:lblAlgn val="ctr"/>
        <c:lblOffset val="100"/>
        <c:noMultiLvlLbl val="0"/>
      </c:catAx>
      <c:valAx>
        <c:axId val="-2132047032"/>
        <c:scaling>
          <c:orientation val="minMax"/>
          <c:max val="7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050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mfraud</c:v>
                </c:pt>
              </c:strCache>
            </c:strRef>
          </c:tx>
          <c:invertIfNegative val="0"/>
          <c:val>
            <c:numRef>
              <c:f>Sheet1!$Z$2:$Z$15</c:f>
              <c:numCache>
                <c:formatCode>General</c:formatCode>
                <c:ptCount val="14"/>
                <c:pt idx="0">
                  <c:v>46.0</c:v>
                </c:pt>
                <c:pt idx="1">
                  <c:v>6.0</c:v>
                </c:pt>
                <c:pt idx="2">
                  <c:v>23.0</c:v>
                </c:pt>
                <c:pt idx="3">
                  <c:v>6.0</c:v>
                </c:pt>
                <c:pt idx="4">
                  <c:v>89.0</c:v>
                </c:pt>
                <c:pt idx="5">
                  <c:v>414.0</c:v>
                </c:pt>
                <c:pt idx="6">
                  <c:v>145.0</c:v>
                </c:pt>
                <c:pt idx="7">
                  <c:v>292.0</c:v>
                </c:pt>
                <c:pt idx="8">
                  <c:v>243.0</c:v>
                </c:pt>
                <c:pt idx="9">
                  <c:v>18538.0</c:v>
                </c:pt>
                <c:pt idx="10">
                  <c:v>118.0</c:v>
                </c:pt>
                <c:pt idx="11">
                  <c:v>80.0</c:v>
                </c:pt>
                <c:pt idx="12">
                  <c:v>1442.0</c:v>
                </c:pt>
                <c:pt idx="13">
                  <c:v>606.0</c:v>
                </c:pt>
              </c:numCache>
            </c:numRef>
          </c:val>
        </c:ser>
        <c:ser>
          <c:idx val="1"/>
          <c:order val="1"/>
          <c:tx>
            <c:strRef>
              <c:f>Sheet1!$AA$1</c:f>
              <c:strCache>
                <c:ptCount val="1"/>
                <c:pt idx="0">
                  <c:v>ffraud</c:v>
                </c:pt>
              </c:strCache>
            </c:strRef>
          </c:tx>
          <c:invertIfNegative val="0"/>
          <c:val>
            <c:numRef>
              <c:f>Sheet1!$AA$2:$AA$15</c:f>
              <c:numCache>
                <c:formatCode>General</c:formatCode>
                <c:ptCount val="14"/>
                <c:pt idx="1">
                  <c:v>2.0</c:v>
                </c:pt>
                <c:pt idx="2">
                  <c:v>29.0</c:v>
                </c:pt>
                <c:pt idx="3">
                  <c:v>2.0</c:v>
                </c:pt>
                <c:pt idx="4">
                  <c:v>46.0</c:v>
                </c:pt>
                <c:pt idx="5">
                  <c:v>209.0</c:v>
                </c:pt>
                <c:pt idx="6">
                  <c:v>40.0</c:v>
                </c:pt>
                <c:pt idx="7">
                  <c:v>105.0</c:v>
                </c:pt>
                <c:pt idx="8">
                  <c:v>101.0</c:v>
                </c:pt>
                <c:pt idx="9">
                  <c:v>3758.0</c:v>
                </c:pt>
                <c:pt idx="10">
                  <c:v>43.0</c:v>
                </c:pt>
                <c:pt idx="11">
                  <c:v>39.0</c:v>
                </c:pt>
                <c:pt idx="12">
                  <c:v>310.0</c:v>
                </c:pt>
                <c:pt idx="13">
                  <c:v>269.0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020152"/>
        <c:axId val="-2132017176"/>
      </c:barChart>
      <c:catAx>
        <c:axId val="-2132020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017176"/>
        <c:crosses val="autoZero"/>
        <c:auto val="1"/>
        <c:lblAlgn val="ctr"/>
        <c:lblOffset val="100"/>
        <c:noMultiLvlLbl val="0"/>
      </c:catAx>
      <c:valAx>
        <c:axId val="-2132017176"/>
        <c:scaling>
          <c:orientation val="minMax"/>
          <c:max val="19000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020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Sheet1!$AB$1</c:f>
              <c:strCache>
                <c:ptCount val="1"/>
                <c:pt idx="0">
                  <c:v>membezzle</c:v>
                </c:pt>
              </c:strCache>
            </c:strRef>
          </c:tx>
          <c:invertIfNegative val="0"/>
          <c:val>
            <c:numRef>
              <c:f>Sheet1!$AB$2:$AB$15</c:f>
              <c:numCache>
                <c:formatCode>General</c:formatCode>
                <c:ptCount val="14"/>
                <c:pt idx="0">
                  <c:v>50.0</c:v>
                </c:pt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1.0</c:v>
                </c:pt>
                <c:pt idx="5">
                  <c:v>99.0</c:v>
                </c:pt>
                <c:pt idx="6">
                  <c:v>1.0</c:v>
                </c:pt>
                <c:pt idx="7">
                  <c:v>43.0</c:v>
                </c:pt>
                <c:pt idx="8">
                  <c:v>39.0</c:v>
                </c:pt>
                <c:pt idx="9">
                  <c:v>240.0</c:v>
                </c:pt>
                <c:pt idx="10">
                  <c:v>1.0</c:v>
                </c:pt>
                <c:pt idx="11">
                  <c:v>1.0</c:v>
                </c:pt>
                <c:pt idx="12">
                  <c:v>2.0</c:v>
                </c:pt>
                <c:pt idx="13">
                  <c:v>151.0</c:v>
                </c:pt>
              </c:numCache>
            </c:numRef>
          </c:val>
        </c:ser>
        <c:ser>
          <c:idx val="1"/>
          <c:order val="1"/>
          <c:tx>
            <c:strRef>
              <c:f>Sheet1!$AC$1</c:f>
              <c:strCache>
                <c:ptCount val="1"/>
                <c:pt idx="0">
                  <c:v>fembezzle</c:v>
                </c:pt>
              </c:strCache>
            </c:strRef>
          </c:tx>
          <c:invertIfNegative val="0"/>
          <c:val>
            <c:numRef>
              <c:f>Sheet1!$AC$2:$AC$15</c:f>
              <c:numCache>
                <c:formatCode>General</c:formatCode>
                <c:ptCount val="14"/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5.0</c:v>
                </c:pt>
                <c:pt idx="5">
                  <c:v>80.0</c:v>
                </c:pt>
                <c:pt idx="6">
                  <c:v>0.0</c:v>
                </c:pt>
                <c:pt idx="7">
                  <c:v>39.0</c:v>
                </c:pt>
                <c:pt idx="8">
                  <c:v>36.0</c:v>
                </c:pt>
                <c:pt idx="9">
                  <c:v>193.0</c:v>
                </c:pt>
                <c:pt idx="10">
                  <c:v>0.0</c:v>
                </c:pt>
                <c:pt idx="11">
                  <c:v>2.0</c:v>
                </c:pt>
                <c:pt idx="12">
                  <c:v>11.0</c:v>
                </c:pt>
                <c:pt idx="13">
                  <c:v>138.0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989784"/>
        <c:axId val="-2131986808"/>
      </c:barChart>
      <c:catAx>
        <c:axId val="-213198978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986808"/>
        <c:crosses val="autoZero"/>
        <c:auto val="1"/>
        <c:lblAlgn val="ctr"/>
        <c:lblOffset val="100"/>
        <c:noMultiLvlLbl val="0"/>
      </c:catAx>
      <c:valAx>
        <c:axId val="-2131986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989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mstolenproperty</c:v>
                </c:pt>
              </c:strCache>
            </c:strRef>
          </c:tx>
          <c:invertIfNegative val="0"/>
          <c:val>
            <c:numRef>
              <c:f>Sheet1!$AD$2:$AD$15</c:f>
              <c:numCache>
                <c:formatCode>General</c:formatCode>
                <c:ptCount val="14"/>
                <c:pt idx="0">
                  <c:v>3.0</c:v>
                </c:pt>
                <c:pt idx="1">
                  <c:v>33.0</c:v>
                </c:pt>
                <c:pt idx="2">
                  <c:v>-1.0</c:v>
                </c:pt>
                <c:pt idx="3">
                  <c:v>33.0</c:v>
                </c:pt>
                <c:pt idx="4">
                  <c:v>187.0</c:v>
                </c:pt>
                <c:pt idx="5">
                  <c:v>55.0</c:v>
                </c:pt>
                <c:pt idx="6">
                  <c:v>7.0</c:v>
                </c:pt>
                <c:pt idx="7">
                  <c:v>601.0</c:v>
                </c:pt>
                <c:pt idx="8">
                  <c:v>132.0</c:v>
                </c:pt>
                <c:pt idx="9">
                  <c:v>2358.0</c:v>
                </c:pt>
                <c:pt idx="10">
                  <c:v>16.0</c:v>
                </c:pt>
                <c:pt idx="11">
                  <c:v>251.0</c:v>
                </c:pt>
                <c:pt idx="12">
                  <c:v>-1.0</c:v>
                </c:pt>
                <c:pt idx="13">
                  <c:v>694.0</c:v>
                </c:pt>
              </c:numCache>
            </c:numRef>
          </c:val>
        </c:ser>
        <c:ser>
          <c:idx val="1"/>
          <c:order val="1"/>
          <c:tx>
            <c:strRef>
              <c:f>Sheet1!$AE$1</c:f>
              <c:strCache>
                <c:ptCount val="1"/>
                <c:pt idx="0">
                  <c:v>fstolenproperty</c:v>
                </c:pt>
              </c:strCache>
            </c:strRef>
          </c:tx>
          <c:invertIfNegative val="0"/>
          <c:val>
            <c:numRef>
              <c:f>Sheet1!$AE$2:$AE$15</c:f>
              <c:numCache>
                <c:formatCode>General</c:formatCode>
                <c:ptCount val="14"/>
                <c:pt idx="1">
                  <c:v>3.0</c:v>
                </c:pt>
                <c:pt idx="2">
                  <c:v>-1.0</c:v>
                </c:pt>
                <c:pt idx="3">
                  <c:v>3.0</c:v>
                </c:pt>
                <c:pt idx="4">
                  <c:v>21.0</c:v>
                </c:pt>
                <c:pt idx="5">
                  <c:v>12.0</c:v>
                </c:pt>
                <c:pt idx="6">
                  <c:v>6.0</c:v>
                </c:pt>
                <c:pt idx="7">
                  <c:v>96.0</c:v>
                </c:pt>
                <c:pt idx="8">
                  <c:v>35.0</c:v>
                </c:pt>
                <c:pt idx="9">
                  <c:v>298.0</c:v>
                </c:pt>
                <c:pt idx="10">
                  <c:v>1.0</c:v>
                </c:pt>
                <c:pt idx="11">
                  <c:v>39.0</c:v>
                </c:pt>
                <c:pt idx="12">
                  <c:v>-1.0</c:v>
                </c:pt>
                <c:pt idx="13">
                  <c:v>150.0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959224"/>
        <c:axId val="-2131956248"/>
      </c:barChart>
      <c:catAx>
        <c:axId val="-213195922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956248"/>
        <c:crosses val="autoZero"/>
        <c:auto val="1"/>
        <c:lblAlgn val="ctr"/>
        <c:lblOffset val="100"/>
        <c:noMultiLvlLbl val="0"/>
      </c:catAx>
      <c:valAx>
        <c:axId val="-2131956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959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mvandalism</c:v>
                </c:pt>
              </c:strCache>
            </c:strRef>
          </c:tx>
          <c:invertIfNegative val="0"/>
          <c:val>
            <c:numRef>
              <c:f>Sheet1!$AF$2:$AF$15</c:f>
              <c:numCache>
                <c:formatCode>General</c:formatCode>
                <c:ptCount val="14"/>
                <c:pt idx="0">
                  <c:v>156.0</c:v>
                </c:pt>
                <c:pt idx="1">
                  <c:v>46.0</c:v>
                </c:pt>
                <c:pt idx="2">
                  <c:v>417.0</c:v>
                </c:pt>
                <c:pt idx="3">
                  <c:v>46.0</c:v>
                </c:pt>
                <c:pt idx="4">
                  <c:v>190.0</c:v>
                </c:pt>
                <c:pt idx="5">
                  <c:v>432.0</c:v>
                </c:pt>
                <c:pt idx="6">
                  <c:v>2703.0</c:v>
                </c:pt>
                <c:pt idx="7">
                  <c:v>1691.0</c:v>
                </c:pt>
                <c:pt idx="8">
                  <c:v>417.0</c:v>
                </c:pt>
                <c:pt idx="9">
                  <c:v>7614.0</c:v>
                </c:pt>
                <c:pt idx="10">
                  <c:v>181.0</c:v>
                </c:pt>
                <c:pt idx="11">
                  <c:v>294.0</c:v>
                </c:pt>
                <c:pt idx="12">
                  <c:v>912.0</c:v>
                </c:pt>
                <c:pt idx="13">
                  <c:v>989.0</c:v>
                </c:pt>
              </c:numCache>
            </c:numRef>
          </c:val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fvandalism</c:v>
                </c:pt>
              </c:strCache>
            </c:strRef>
          </c:tx>
          <c:invertIfNegative val="0"/>
          <c:val>
            <c:numRef>
              <c:f>Sheet1!$AG$2:$AG$15</c:f>
              <c:numCache>
                <c:formatCode>General</c:formatCode>
                <c:ptCount val="14"/>
                <c:pt idx="1">
                  <c:v>7.0</c:v>
                </c:pt>
                <c:pt idx="2">
                  <c:v>158.0</c:v>
                </c:pt>
                <c:pt idx="3">
                  <c:v>7.0</c:v>
                </c:pt>
                <c:pt idx="4">
                  <c:v>58.0</c:v>
                </c:pt>
                <c:pt idx="5">
                  <c:v>90.0</c:v>
                </c:pt>
                <c:pt idx="6">
                  <c:v>568.0</c:v>
                </c:pt>
                <c:pt idx="7">
                  <c:v>247.0</c:v>
                </c:pt>
                <c:pt idx="8">
                  <c:v>158.0</c:v>
                </c:pt>
                <c:pt idx="9">
                  <c:v>1029.0</c:v>
                </c:pt>
                <c:pt idx="10">
                  <c:v>49.0</c:v>
                </c:pt>
                <c:pt idx="11">
                  <c:v>47.0</c:v>
                </c:pt>
                <c:pt idx="12">
                  <c:v>329.0</c:v>
                </c:pt>
                <c:pt idx="13">
                  <c:v>147.0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197400"/>
        <c:axId val="-2133194456"/>
      </c:barChart>
      <c:catAx>
        <c:axId val="-213319740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194456"/>
        <c:crosses val="autoZero"/>
        <c:auto val="1"/>
        <c:lblAlgn val="ctr"/>
        <c:lblOffset val="100"/>
        <c:noMultiLvlLbl val="0"/>
      </c:catAx>
      <c:valAx>
        <c:axId val="-2133194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197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Sheet1!$AH$1</c:f>
              <c:strCache>
                <c:ptCount val="1"/>
                <c:pt idx="0">
                  <c:v>mweaponcarry</c:v>
                </c:pt>
              </c:strCache>
            </c:strRef>
          </c:tx>
          <c:invertIfNegative val="0"/>
          <c:val>
            <c:numRef>
              <c:f>Sheet1!$AH$2:$AH$15</c:f>
              <c:numCache>
                <c:formatCode>General</c:formatCode>
                <c:ptCount val="14"/>
                <c:pt idx="0">
                  <c:v>258.0</c:v>
                </c:pt>
                <c:pt idx="1">
                  <c:v>7.0</c:v>
                </c:pt>
                <c:pt idx="2">
                  <c:v>961.0</c:v>
                </c:pt>
                <c:pt idx="3">
                  <c:v>7.0</c:v>
                </c:pt>
                <c:pt idx="4">
                  <c:v>1384.0</c:v>
                </c:pt>
                <c:pt idx="5">
                  <c:v>1338.0</c:v>
                </c:pt>
                <c:pt idx="6">
                  <c:v>3750.0</c:v>
                </c:pt>
                <c:pt idx="7">
                  <c:v>2251.0</c:v>
                </c:pt>
                <c:pt idx="8">
                  <c:v>925.0</c:v>
                </c:pt>
                <c:pt idx="9">
                  <c:v>8658.0</c:v>
                </c:pt>
                <c:pt idx="10">
                  <c:v>761.0</c:v>
                </c:pt>
                <c:pt idx="11">
                  <c:v>329.0</c:v>
                </c:pt>
                <c:pt idx="12">
                  <c:v>1424.0</c:v>
                </c:pt>
                <c:pt idx="13">
                  <c:v>849.0</c:v>
                </c:pt>
              </c:numCache>
            </c:numRef>
          </c:val>
        </c:ser>
        <c:ser>
          <c:idx val="1"/>
          <c:order val="1"/>
          <c:tx>
            <c:strRef>
              <c:f>Sheet1!$AI$1</c:f>
              <c:strCache>
                <c:ptCount val="1"/>
                <c:pt idx="0">
                  <c:v>fweaponcarry</c:v>
                </c:pt>
              </c:strCache>
            </c:strRef>
          </c:tx>
          <c:invertIfNegative val="0"/>
          <c:val>
            <c:numRef>
              <c:f>Sheet1!$AI$2:$AI$15</c:f>
              <c:numCache>
                <c:formatCode>General</c:formatCode>
                <c:ptCount val="14"/>
                <c:pt idx="1">
                  <c:v>1.0</c:v>
                </c:pt>
                <c:pt idx="2">
                  <c:v>110.0</c:v>
                </c:pt>
                <c:pt idx="3">
                  <c:v>1.0</c:v>
                </c:pt>
                <c:pt idx="4">
                  <c:v>68.0</c:v>
                </c:pt>
                <c:pt idx="5">
                  <c:v>187.0</c:v>
                </c:pt>
                <c:pt idx="6">
                  <c:v>170.0</c:v>
                </c:pt>
                <c:pt idx="7">
                  <c:v>178.0</c:v>
                </c:pt>
                <c:pt idx="8">
                  <c:v>73.0</c:v>
                </c:pt>
                <c:pt idx="9">
                  <c:v>1169.0</c:v>
                </c:pt>
                <c:pt idx="10">
                  <c:v>59.0</c:v>
                </c:pt>
                <c:pt idx="11">
                  <c:v>13.0</c:v>
                </c:pt>
                <c:pt idx="12">
                  <c:v>55.0</c:v>
                </c:pt>
                <c:pt idx="13">
                  <c:v>101.0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166424"/>
        <c:axId val="-2133163448"/>
      </c:barChart>
      <c:catAx>
        <c:axId val="-213316642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163448"/>
        <c:crosses val="autoZero"/>
        <c:auto val="1"/>
        <c:lblAlgn val="ctr"/>
        <c:lblOffset val="100"/>
        <c:noMultiLvlLbl val="0"/>
      </c:catAx>
      <c:valAx>
        <c:axId val="-2133163448"/>
        <c:scaling>
          <c:orientation val="minMax"/>
          <c:max val="9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166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Sheet1!$AJ$1</c:f>
              <c:strCache>
                <c:ptCount val="1"/>
                <c:pt idx="0">
                  <c:v>mprositute</c:v>
                </c:pt>
              </c:strCache>
            </c:strRef>
          </c:tx>
          <c:invertIfNegative val="0"/>
          <c:val>
            <c:numRef>
              <c:f>Sheet1!$AJ$2:$AJ$15</c:f>
              <c:numCache>
                <c:formatCode>General</c:formatCode>
                <c:ptCount val="14"/>
                <c:pt idx="0">
                  <c:v>77.0</c:v>
                </c:pt>
                <c:pt idx="1">
                  <c:v>-1.0</c:v>
                </c:pt>
                <c:pt idx="2">
                  <c:v>154.0</c:v>
                </c:pt>
                <c:pt idx="3">
                  <c:v>-1.0</c:v>
                </c:pt>
                <c:pt idx="4">
                  <c:v>3.0</c:v>
                </c:pt>
                <c:pt idx="5">
                  <c:v>285.0</c:v>
                </c:pt>
                <c:pt idx="6">
                  <c:v>478.0</c:v>
                </c:pt>
                <c:pt idx="7">
                  <c:v>1799.0</c:v>
                </c:pt>
                <c:pt idx="8">
                  <c:v>498.0</c:v>
                </c:pt>
                <c:pt idx="9">
                  <c:v>3225.0</c:v>
                </c:pt>
                <c:pt idx="10">
                  <c:v>409.0</c:v>
                </c:pt>
                <c:pt idx="11">
                  <c:v>86.0</c:v>
                </c:pt>
                <c:pt idx="12">
                  <c:v>586.0</c:v>
                </c:pt>
                <c:pt idx="13">
                  <c:v>556.0</c:v>
                </c:pt>
              </c:numCache>
            </c:numRef>
          </c:val>
        </c:ser>
        <c:ser>
          <c:idx val="1"/>
          <c:order val="1"/>
          <c:tx>
            <c:strRef>
              <c:f>Sheet1!$AK$1</c:f>
              <c:strCache>
                <c:ptCount val="1"/>
                <c:pt idx="0">
                  <c:v>fprositute</c:v>
                </c:pt>
              </c:strCache>
            </c:strRef>
          </c:tx>
          <c:invertIfNegative val="0"/>
          <c:val>
            <c:numRef>
              <c:f>Sheet1!$AK$2:$AK$15</c:f>
              <c:numCache>
                <c:formatCode>General</c:formatCode>
                <c:ptCount val="14"/>
                <c:pt idx="1">
                  <c:v>-1.0</c:v>
                </c:pt>
                <c:pt idx="2">
                  <c:v>598.0</c:v>
                </c:pt>
                <c:pt idx="3">
                  <c:v>-1.0</c:v>
                </c:pt>
                <c:pt idx="4">
                  <c:v>3.0</c:v>
                </c:pt>
                <c:pt idx="5">
                  <c:v>970.0</c:v>
                </c:pt>
                <c:pt idx="6">
                  <c:v>1634.0</c:v>
                </c:pt>
                <c:pt idx="7">
                  <c:v>2480.0</c:v>
                </c:pt>
                <c:pt idx="8">
                  <c:v>401.0</c:v>
                </c:pt>
                <c:pt idx="9">
                  <c:v>5151.0</c:v>
                </c:pt>
                <c:pt idx="10">
                  <c:v>1278.0</c:v>
                </c:pt>
                <c:pt idx="11">
                  <c:v>162.0</c:v>
                </c:pt>
                <c:pt idx="12">
                  <c:v>2193.0</c:v>
                </c:pt>
                <c:pt idx="13">
                  <c:v>2957.0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939416"/>
        <c:axId val="-2131936440"/>
      </c:barChart>
      <c:catAx>
        <c:axId val="-213193941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936440"/>
        <c:crosses val="autoZero"/>
        <c:auto val="1"/>
        <c:lblAlgn val="ctr"/>
        <c:lblOffset val="100"/>
        <c:noMultiLvlLbl val="0"/>
      </c:catAx>
      <c:valAx>
        <c:axId val="-2131936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939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Sheet1!$AL$1</c:f>
              <c:strCache>
                <c:ptCount val="1"/>
                <c:pt idx="0">
                  <c:v>msexoffense</c:v>
                </c:pt>
              </c:strCache>
            </c:strRef>
          </c:tx>
          <c:invertIfNegative val="0"/>
          <c:val>
            <c:numRef>
              <c:f>Sheet1!$AL$2:$AL$15</c:f>
              <c:numCache>
                <c:formatCode>General</c:formatCode>
                <c:ptCount val="14"/>
                <c:pt idx="0">
                  <c:v>168.0</c:v>
                </c:pt>
                <c:pt idx="1">
                  <c:v>32.0</c:v>
                </c:pt>
                <c:pt idx="2">
                  <c:v>118.0</c:v>
                </c:pt>
                <c:pt idx="3">
                  <c:v>32.0</c:v>
                </c:pt>
                <c:pt idx="4">
                  <c:v>53.0</c:v>
                </c:pt>
                <c:pt idx="5">
                  <c:v>502.0</c:v>
                </c:pt>
                <c:pt idx="6">
                  <c:v>517.0</c:v>
                </c:pt>
                <c:pt idx="7">
                  <c:v>1145.0</c:v>
                </c:pt>
                <c:pt idx="8">
                  <c:v>140.0</c:v>
                </c:pt>
                <c:pt idx="9">
                  <c:v>5287.0</c:v>
                </c:pt>
                <c:pt idx="10">
                  <c:v>187.0</c:v>
                </c:pt>
                <c:pt idx="11">
                  <c:v>131.0</c:v>
                </c:pt>
                <c:pt idx="12">
                  <c:v>442.0</c:v>
                </c:pt>
                <c:pt idx="13">
                  <c:v>818.0</c:v>
                </c:pt>
              </c:numCache>
            </c:numRef>
          </c:val>
        </c:ser>
        <c:ser>
          <c:idx val="1"/>
          <c:order val="1"/>
          <c:tx>
            <c:strRef>
              <c:f>Sheet1!$AM$1</c:f>
              <c:strCache>
                <c:ptCount val="1"/>
                <c:pt idx="0">
                  <c:v>fsexoffense</c:v>
                </c:pt>
              </c:strCache>
            </c:strRef>
          </c:tx>
          <c:invertIfNegative val="0"/>
          <c:val>
            <c:numRef>
              <c:f>Sheet1!$AM$2:$AM$15</c:f>
              <c:numCache>
                <c:formatCode>General</c:formatCode>
                <c:ptCount val="14"/>
                <c:pt idx="1">
                  <c:v>2.0</c:v>
                </c:pt>
                <c:pt idx="2">
                  <c:v>19.0</c:v>
                </c:pt>
                <c:pt idx="3">
                  <c:v>2.0</c:v>
                </c:pt>
                <c:pt idx="4">
                  <c:v>0.0</c:v>
                </c:pt>
                <c:pt idx="5">
                  <c:v>15.0</c:v>
                </c:pt>
                <c:pt idx="6">
                  <c:v>24.0</c:v>
                </c:pt>
                <c:pt idx="7">
                  <c:v>109.0</c:v>
                </c:pt>
                <c:pt idx="8">
                  <c:v>9.0</c:v>
                </c:pt>
                <c:pt idx="9">
                  <c:v>138.0</c:v>
                </c:pt>
                <c:pt idx="10">
                  <c:v>11.0</c:v>
                </c:pt>
                <c:pt idx="11">
                  <c:v>12.0</c:v>
                </c:pt>
                <c:pt idx="12">
                  <c:v>38.0</c:v>
                </c:pt>
                <c:pt idx="13">
                  <c:v>81.0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901064"/>
        <c:axId val="-2131898088"/>
      </c:barChart>
      <c:catAx>
        <c:axId val="-213190106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898088"/>
        <c:crosses val="autoZero"/>
        <c:auto val="1"/>
        <c:lblAlgn val="ctr"/>
        <c:lblOffset val="100"/>
        <c:noMultiLvlLbl val="0"/>
      </c:catAx>
      <c:valAx>
        <c:axId val="-2131898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901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Sheet1!$AN$1</c:f>
              <c:strCache>
                <c:ptCount val="1"/>
                <c:pt idx="0">
                  <c:v>mdrugabuse</c:v>
                </c:pt>
              </c:strCache>
            </c:strRef>
          </c:tx>
          <c:invertIfNegative val="0"/>
          <c:val>
            <c:numRef>
              <c:f>Sheet1!$AN$2:$AN$15</c:f>
              <c:numCache>
                <c:formatCode>General</c:formatCode>
                <c:ptCount val="14"/>
                <c:pt idx="0">
                  <c:v>80.0</c:v>
                </c:pt>
                <c:pt idx="1">
                  <c:v>287.0</c:v>
                </c:pt>
                <c:pt idx="2">
                  <c:v>15119.0</c:v>
                </c:pt>
                <c:pt idx="3">
                  <c:v>287.0</c:v>
                </c:pt>
                <c:pt idx="4">
                  <c:v>2719.0</c:v>
                </c:pt>
                <c:pt idx="5">
                  <c:v>15751.0</c:v>
                </c:pt>
                <c:pt idx="6">
                  <c:v>31901.0</c:v>
                </c:pt>
                <c:pt idx="7">
                  <c:v>9414.0</c:v>
                </c:pt>
                <c:pt idx="8">
                  <c:v>5422.0</c:v>
                </c:pt>
                <c:pt idx="9">
                  <c:v>100696.0</c:v>
                </c:pt>
                <c:pt idx="10">
                  <c:v>4928.0</c:v>
                </c:pt>
                <c:pt idx="11">
                  <c:v>2443.0</c:v>
                </c:pt>
                <c:pt idx="12">
                  <c:v>12223.0</c:v>
                </c:pt>
                <c:pt idx="13">
                  <c:v>8100.0</c:v>
                </c:pt>
              </c:numCache>
            </c:numRef>
          </c:val>
        </c:ser>
        <c:ser>
          <c:idx val="1"/>
          <c:order val="1"/>
          <c:tx>
            <c:strRef>
              <c:f>Sheet1!$AO$1</c:f>
              <c:strCache>
                <c:ptCount val="1"/>
                <c:pt idx="0">
                  <c:v>fdrugabuse</c:v>
                </c:pt>
              </c:strCache>
            </c:strRef>
          </c:tx>
          <c:invertIfNegative val="0"/>
          <c:val>
            <c:numRef>
              <c:f>Sheet1!$AO$2:$AO$15</c:f>
              <c:numCache>
                <c:formatCode>General</c:formatCode>
                <c:ptCount val="14"/>
                <c:pt idx="1">
                  <c:v>65.0</c:v>
                </c:pt>
                <c:pt idx="2">
                  <c:v>2292.0</c:v>
                </c:pt>
                <c:pt idx="3">
                  <c:v>65.0</c:v>
                </c:pt>
                <c:pt idx="4">
                  <c:v>193.0</c:v>
                </c:pt>
                <c:pt idx="5">
                  <c:v>2143.0</c:v>
                </c:pt>
                <c:pt idx="6">
                  <c:v>3197.0</c:v>
                </c:pt>
                <c:pt idx="7">
                  <c:v>2170.0</c:v>
                </c:pt>
                <c:pt idx="8">
                  <c:v>749.0</c:v>
                </c:pt>
                <c:pt idx="9">
                  <c:v>15748.0</c:v>
                </c:pt>
                <c:pt idx="10">
                  <c:v>1005.0</c:v>
                </c:pt>
                <c:pt idx="11">
                  <c:v>408.0</c:v>
                </c:pt>
                <c:pt idx="12">
                  <c:v>2279.0</c:v>
                </c:pt>
                <c:pt idx="13">
                  <c:v>1740.0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140952"/>
        <c:axId val="-2133138008"/>
      </c:barChart>
      <c:catAx>
        <c:axId val="-213314095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138008"/>
        <c:crosses val="autoZero"/>
        <c:auto val="1"/>
        <c:lblAlgn val="ctr"/>
        <c:lblOffset val="100"/>
        <c:noMultiLvlLbl val="0"/>
      </c:catAx>
      <c:valAx>
        <c:axId val="-2133138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140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Sheet1!$AP$1</c:f>
              <c:strCache>
                <c:ptCount val="1"/>
                <c:pt idx="0">
                  <c:v>msalemanufacture</c:v>
                </c:pt>
              </c:strCache>
            </c:strRef>
          </c:tx>
          <c:invertIfNegative val="0"/>
          <c:val>
            <c:numRef>
              <c:f>Sheet1!$AP$2:$AP$15</c:f>
              <c:numCache>
                <c:formatCode>General</c:formatCode>
                <c:ptCount val="14"/>
                <c:pt idx="0" formatCode="#,##0">
                  <c:v>1275.0</c:v>
                </c:pt>
                <c:pt idx="1">
                  <c:v>42.0</c:v>
                </c:pt>
                <c:pt idx="2">
                  <c:v>4423.0</c:v>
                </c:pt>
                <c:pt idx="3">
                  <c:v>42.0</c:v>
                </c:pt>
                <c:pt idx="4">
                  <c:v>589.0</c:v>
                </c:pt>
                <c:pt idx="5">
                  <c:v>7542.0</c:v>
                </c:pt>
                <c:pt idx="6">
                  <c:v>-1.0</c:v>
                </c:pt>
                <c:pt idx="7">
                  <c:v>2295.0</c:v>
                </c:pt>
                <c:pt idx="8">
                  <c:v>1668.0</c:v>
                </c:pt>
                <c:pt idx="9">
                  <c:v>27000.0</c:v>
                </c:pt>
                <c:pt idx="10">
                  <c:v>549.0</c:v>
                </c:pt>
                <c:pt idx="11">
                  <c:v>1625.0</c:v>
                </c:pt>
                <c:pt idx="12">
                  <c:v>-1.0</c:v>
                </c:pt>
                <c:pt idx="13">
                  <c:v>1751.0</c:v>
                </c:pt>
              </c:numCache>
            </c:numRef>
          </c:val>
        </c:ser>
        <c:ser>
          <c:idx val="1"/>
          <c:order val="1"/>
          <c:tx>
            <c:strRef>
              <c:f>Sheet1!$AQ$1</c:f>
              <c:strCache>
                <c:ptCount val="1"/>
                <c:pt idx="0">
                  <c:v>fsalemanufacture</c:v>
                </c:pt>
              </c:strCache>
            </c:strRef>
          </c:tx>
          <c:invertIfNegative val="0"/>
          <c:val>
            <c:numRef>
              <c:f>Sheet1!$AQ$2:$AQ$15</c:f>
              <c:numCache>
                <c:formatCode>General</c:formatCode>
                <c:ptCount val="14"/>
                <c:pt idx="1">
                  <c:v>9.0</c:v>
                </c:pt>
                <c:pt idx="2">
                  <c:v>479.0</c:v>
                </c:pt>
                <c:pt idx="3">
                  <c:v>9.0</c:v>
                </c:pt>
                <c:pt idx="4">
                  <c:v>47.0</c:v>
                </c:pt>
                <c:pt idx="5">
                  <c:v>847.0</c:v>
                </c:pt>
                <c:pt idx="6">
                  <c:v>-1.0</c:v>
                </c:pt>
                <c:pt idx="7">
                  <c:v>372.0</c:v>
                </c:pt>
                <c:pt idx="8">
                  <c:v>252.0</c:v>
                </c:pt>
                <c:pt idx="9">
                  <c:v>4117.0</c:v>
                </c:pt>
                <c:pt idx="10">
                  <c:v>82.0</c:v>
                </c:pt>
                <c:pt idx="11">
                  <c:v>228.0</c:v>
                </c:pt>
                <c:pt idx="12">
                  <c:v>-1.0</c:v>
                </c:pt>
                <c:pt idx="13">
                  <c:v>271.0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106520"/>
        <c:axId val="-2133103544"/>
      </c:barChart>
      <c:catAx>
        <c:axId val="-213310652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103544"/>
        <c:crosses val="autoZero"/>
        <c:auto val="1"/>
        <c:lblAlgn val="ctr"/>
        <c:lblOffset val="100"/>
        <c:noMultiLvlLbl val="0"/>
      </c:catAx>
      <c:valAx>
        <c:axId val="-2133103544"/>
        <c:scaling>
          <c:orientation val="minMax"/>
          <c:max val="30000.0"/>
          <c:min val="0.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133106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Sheet1!$AR$1</c:f>
              <c:strCache>
                <c:ptCount val="1"/>
                <c:pt idx="0">
                  <c:v>mpossession</c:v>
                </c:pt>
              </c:strCache>
            </c:strRef>
          </c:tx>
          <c:invertIfNegative val="0"/>
          <c:val>
            <c:numRef>
              <c:f>Sheet1!$AR$2:$AR$15</c:f>
              <c:numCache>
                <c:formatCode>General</c:formatCode>
                <c:ptCount val="14"/>
                <c:pt idx="0">
                  <c:v>649.0</c:v>
                </c:pt>
                <c:pt idx="1">
                  <c:v>245.0</c:v>
                </c:pt>
                <c:pt idx="2">
                  <c:v>10696.0</c:v>
                </c:pt>
                <c:pt idx="3">
                  <c:v>245.0</c:v>
                </c:pt>
                <c:pt idx="4">
                  <c:v>2127.0</c:v>
                </c:pt>
                <c:pt idx="5">
                  <c:v>8209.0</c:v>
                </c:pt>
                <c:pt idx="6">
                  <c:v>-1.0</c:v>
                </c:pt>
                <c:pt idx="7">
                  <c:v>7119.0</c:v>
                </c:pt>
                <c:pt idx="8">
                  <c:v>3725.0</c:v>
                </c:pt>
                <c:pt idx="9">
                  <c:v>73696.0</c:v>
                </c:pt>
                <c:pt idx="10">
                  <c:v>4379.0</c:v>
                </c:pt>
                <c:pt idx="11">
                  <c:v>818.0</c:v>
                </c:pt>
                <c:pt idx="12">
                  <c:v>12223.0</c:v>
                </c:pt>
                <c:pt idx="13">
                  <c:v>6349.0</c:v>
                </c:pt>
              </c:numCache>
            </c:numRef>
          </c:val>
        </c:ser>
        <c:ser>
          <c:idx val="1"/>
          <c:order val="1"/>
          <c:tx>
            <c:strRef>
              <c:f>Sheet1!$AS$1</c:f>
              <c:strCache>
                <c:ptCount val="1"/>
                <c:pt idx="0">
                  <c:v>fpossession</c:v>
                </c:pt>
              </c:strCache>
            </c:strRef>
          </c:tx>
          <c:invertIfNegative val="0"/>
          <c:val>
            <c:numRef>
              <c:f>Sheet1!$AS$2:$AS$15</c:f>
              <c:numCache>
                <c:formatCode>General</c:formatCode>
                <c:ptCount val="14"/>
                <c:pt idx="0">
                  <c:v>630.0</c:v>
                </c:pt>
                <c:pt idx="1">
                  <c:v>56.0</c:v>
                </c:pt>
                <c:pt idx="2">
                  <c:v>1813.0</c:v>
                </c:pt>
                <c:pt idx="3">
                  <c:v>56.0</c:v>
                </c:pt>
                <c:pt idx="4">
                  <c:v>146.0</c:v>
                </c:pt>
                <c:pt idx="5">
                  <c:v>1296.0</c:v>
                </c:pt>
                <c:pt idx="6">
                  <c:v>-1.0</c:v>
                </c:pt>
                <c:pt idx="7">
                  <c:v>1798.0</c:v>
                </c:pt>
                <c:pt idx="8">
                  <c:v>491.0</c:v>
                </c:pt>
                <c:pt idx="9">
                  <c:v>11631.0</c:v>
                </c:pt>
                <c:pt idx="10">
                  <c:v>923.0</c:v>
                </c:pt>
                <c:pt idx="11">
                  <c:v>180.0</c:v>
                </c:pt>
                <c:pt idx="12">
                  <c:v>2279.0</c:v>
                </c:pt>
                <c:pt idx="13">
                  <c:v>1469.0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076424"/>
        <c:axId val="-2133073448"/>
      </c:barChart>
      <c:catAx>
        <c:axId val="-213307642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073448"/>
        <c:crosses val="autoZero"/>
        <c:auto val="1"/>
        <c:lblAlgn val="ctr"/>
        <c:lblOffset val="100"/>
        <c:noMultiLvlLbl val="0"/>
      </c:catAx>
      <c:valAx>
        <c:axId val="-2133073448"/>
        <c:scaling>
          <c:orientation val="minMax"/>
          <c:max val="75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076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Sheet1!$AT$1</c:f>
              <c:strCache>
                <c:ptCount val="1"/>
                <c:pt idx="0">
                  <c:v>mgambling</c:v>
                </c:pt>
              </c:strCache>
            </c:strRef>
          </c:tx>
          <c:invertIfNegative val="0"/>
          <c:val>
            <c:numRef>
              <c:f>Sheet1!$AT$2:$AT$15</c:f>
              <c:numCache>
                <c:formatCode>General</c:formatCode>
                <c:ptCount val="14"/>
                <c:pt idx="1">
                  <c:v>-1.0</c:v>
                </c:pt>
                <c:pt idx="2">
                  <c:v>130.0</c:v>
                </c:pt>
                <c:pt idx="3">
                  <c:v>-1.0</c:v>
                </c:pt>
                <c:pt idx="4">
                  <c:v>2.0</c:v>
                </c:pt>
                <c:pt idx="5">
                  <c:v>88.0</c:v>
                </c:pt>
                <c:pt idx="6">
                  <c:v>2449.0</c:v>
                </c:pt>
                <c:pt idx="7">
                  <c:v>222.0</c:v>
                </c:pt>
                <c:pt idx="8">
                  <c:v>120.0</c:v>
                </c:pt>
                <c:pt idx="9">
                  <c:v>4861.0</c:v>
                </c:pt>
                <c:pt idx="10">
                  <c:v>3.0</c:v>
                </c:pt>
                <c:pt idx="11">
                  <c:v>4.0</c:v>
                </c:pt>
                <c:pt idx="12">
                  <c:v>73.0</c:v>
                </c:pt>
                <c:pt idx="13">
                  <c:v>8.0</c:v>
                </c:pt>
              </c:numCache>
            </c:numRef>
          </c:val>
        </c:ser>
        <c:ser>
          <c:idx val="1"/>
          <c:order val="1"/>
          <c:tx>
            <c:strRef>
              <c:f>Sheet1!$AU$1</c:f>
              <c:strCache>
                <c:ptCount val="1"/>
                <c:pt idx="0">
                  <c:v>fgambling</c:v>
                </c:pt>
              </c:strCache>
            </c:strRef>
          </c:tx>
          <c:invertIfNegative val="0"/>
          <c:val>
            <c:numRef>
              <c:f>Sheet1!$AU$2:$AU$15</c:f>
              <c:numCache>
                <c:formatCode>General</c:formatCode>
                <c:ptCount val="14"/>
                <c:pt idx="0">
                  <c:v>2.0</c:v>
                </c:pt>
                <c:pt idx="1">
                  <c:v>-1.0</c:v>
                </c:pt>
                <c:pt idx="2">
                  <c:v>5.0</c:v>
                </c:pt>
                <c:pt idx="3">
                  <c:v>-1.0</c:v>
                </c:pt>
                <c:pt idx="4">
                  <c:v>0.0</c:v>
                </c:pt>
                <c:pt idx="5">
                  <c:v>16.0</c:v>
                </c:pt>
                <c:pt idx="6">
                  <c:v>17.0</c:v>
                </c:pt>
                <c:pt idx="7">
                  <c:v>20.0</c:v>
                </c:pt>
                <c:pt idx="8">
                  <c:v>2.0</c:v>
                </c:pt>
                <c:pt idx="9">
                  <c:v>724.0</c:v>
                </c:pt>
                <c:pt idx="10">
                  <c:v>0.0</c:v>
                </c:pt>
                <c:pt idx="11">
                  <c:v>0.0</c:v>
                </c:pt>
                <c:pt idx="12">
                  <c:v>2.0</c:v>
                </c:pt>
                <c:pt idx="13">
                  <c:v>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047096"/>
        <c:axId val="-2133044120"/>
      </c:barChart>
      <c:catAx>
        <c:axId val="-213304709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044120"/>
        <c:crosses val="autoZero"/>
        <c:auto val="1"/>
        <c:lblAlgn val="ctr"/>
        <c:lblOffset val="100"/>
        <c:noMultiLvlLbl val="0"/>
      </c:catAx>
      <c:valAx>
        <c:axId val="-2133044120"/>
        <c:scaling>
          <c:orientation val="minMax"/>
          <c:max val="5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047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Sheet1!$AV$1</c:f>
              <c:strCache>
                <c:ptCount val="1"/>
                <c:pt idx="0">
                  <c:v>mfamilyoffense</c:v>
                </c:pt>
              </c:strCache>
            </c:strRef>
          </c:tx>
          <c:invertIfNegative val="0"/>
          <c:val>
            <c:numRef>
              <c:f>Sheet1!$AV$2:$AV$15</c:f>
              <c:numCache>
                <c:formatCode>General</c:formatCode>
                <c:ptCount val="14"/>
                <c:pt idx="1">
                  <c:v>7.0</c:v>
                </c:pt>
                <c:pt idx="2">
                  <c:v>56.0</c:v>
                </c:pt>
                <c:pt idx="3">
                  <c:v>7.0</c:v>
                </c:pt>
                <c:pt idx="4">
                  <c:v>12.0</c:v>
                </c:pt>
                <c:pt idx="5">
                  <c:v>16.0</c:v>
                </c:pt>
                <c:pt idx="6">
                  <c:v>93.0</c:v>
                </c:pt>
                <c:pt idx="7">
                  <c:v>0.0</c:v>
                </c:pt>
                <c:pt idx="8">
                  <c:v>5.0</c:v>
                </c:pt>
                <c:pt idx="9">
                  <c:v>35.0</c:v>
                </c:pt>
                <c:pt idx="10">
                  <c:v>86.0</c:v>
                </c:pt>
                <c:pt idx="11">
                  <c:v>1.0</c:v>
                </c:pt>
                <c:pt idx="12">
                  <c:v>78.0</c:v>
                </c:pt>
                <c:pt idx="13">
                  <c:v>104.0</c:v>
                </c:pt>
              </c:numCache>
            </c:numRef>
          </c:val>
        </c:ser>
        <c:ser>
          <c:idx val="1"/>
          <c:order val="1"/>
          <c:tx>
            <c:strRef>
              <c:f>Sheet1!$AW$1</c:f>
              <c:strCache>
                <c:ptCount val="1"/>
                <c:pt idx="0">
                  <c:v>ffamilyoffense</c:v>
                </c:pt>
              </c:strCache>
            </c:strRef>
          </c:tx>
          <c:invertIfNegative val="0"/>
          <c:val>
            <c:numRef>
              <c:f>Sheet1!$AW$2:$AW$15</c:f>
              <c:numCache>
                <c:formatCode>General</c:formatCode>
                <c:ptCount val="14"/>
                <c:pt idx="0">
                  <c:v>-1.0</c:v>
                </c:pt>
                <c:pt idx="1">
                  <c:v>14.0</c:v>
                </c:pt>
                <c:pt idx="2">
                  <c:v>36.0</c:v>
                </c:pt>
                <c:pt idx="3">
                  <c:v>14.0</c:v>
                </c:pt>
                <c:pt idx="4">
                  <c:v>5.0</c:v>
                </c:pt>
                <c:pt idx="5">
                  <c:v>34.0</c:v>
                </c:pt>
                <c:pt idx="6">
                  <c:v>125.0</c:v>
                </c:pt>
                <c:pt idx="7">
                  <c:v>4.0</c:v>
                </c:pt>
                <c:pt idx="8">
                  <c:v>3.0</c:v>
                </c:pt>
                <c:pt idx="9">
                  <c:v>28.0</c:v>
                </c:pt>
                <c:pt idx="10">
                  <c:v>41.0</c:v>
                </c:pt>
                <c:pt idx="11">
                  <c:v>0.0</c:v>
                </c:pt>
                <c:pt idx="12">
                  <c:v>3.0</c:v>
                </c:pt>
                <c:pt idx="13">
                  <c:v>157.0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3017368"/>
        <c:axId val="-2133014392"/>
      </c:barChart>
      <c:catAx>
        <c:axId val="-213301736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3014392"/>
        <c:crosses val="autoZero"/>
        <c:auto val="1"/>
        <c:lblAlgn val="ctr"/>
        <c:lblOffset val="100"/>
        <c:noMultiLvlLbl val="0"/>
      </c:catAx>
      <c:valAx>
        <c:axId val="-2133014392"/>
        <c:scaling>
          <c:orientation val="minMax"/>
          <c:max val="160.0"/>
          <c:min val="-2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017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Sheet1!$AX$1</c:f>
              <c:strCache>
                <c:ptCount val="1"/>
                <c:pt idx="0">
                  <c:v>mDUI</c:v>
                </c:pt>
              </c:strCache>
            </c:strRef>
          </c:tx>
          <c:invertIfNegative val="0"/>
          <c:val>
            <c:numRef>
              <c:f>Sheet1!$AX$2:$AX$15</c:f>
              <c:numCache>
                <c:formatCode>General</c:formatCode>
                <c:ptCount val="14"/>
                <c:pt idx="1">
                  <c:v>145.0</c:v>
                </c:pt>
                <c:pt idx="2">
                  <c:v>86.0</c:v>
                </c:pt>
                <c:pt idx="3">
                  <c:v>145.0</c:v>
                </c:pt>
                <c:pt idx="4">
                  <c:v>627.0</c:v>
                </c:pt>
                <c:pt idx="5">
                  <c:v>3863.0</c:v>
                </c:pt>
                <c:pt idx="6">
                  <c:v>3075.0</c:v>
                </c:pt>
                <c:pt idx="7">
                  <c:v>6447.0</c:v>
                </c:pt>
                <c:pt idx="8">
                  <c:v>1008.0</c:v>
                </c:pt>
                <c:pt idx="9">
                  <c:v>4135.0</c:v>
                </c:pt>
                <c:pt idx="10">
                  <c:v>1523.0</c:v>
                </c:pt>
                <c:pt idx="11">
                  <c:v>187.0</c:v>
                </c:pt>
                <c:pt idx="12">
                  <c:v>5363.0</c:v>
                </c:pt>
                <c:pt idx="13">
                  <c:v>5564.0</c:v>
                </c:pt>
              </c:numCache>
            </c:numRef>
          </c:val>
        </c:ser>
        <c:ser>
          <c:idx val="1"/>
          <c:order val="1"/>
          <c:tx>
            <c:strRef>
              <c:f>Sheet1!$AY$1</c:f>
              <c:strCache>
                <c:ptCount val="1"/>
                <c:pt idx="0">
                  <c:v>fDUI</c:v>
                </c:pt>
              </c:strCache>
            </c:strRef>
          </c:tx>
          <c:invertIfNegative val="0"/>
          <c:val>
            <c:numRef>
              <c:f>Sheet1!$AY$2:$AY$15</c:f>
              <c:numCache>
                <c:formatCode>General</c:formatCode>
                <c:ptCount val="14"/>
                <c:pt idx="0">
                  <c:v>392.0</c:v>
                </c:pt>
                <c:pt idx="1">
                  <c:v>61.0</c:v>
                </c:pt>
                <c:pt idx="2">
                  <c:v>18.0</c:v>
                </c:pt>
                <c:pt idx="3">
                  <c:v>61.0</c:v>
                </c:pt>
                <c:pt idx="4">
                  <c:v>188.0</c:v>
                </c:pt>
                <c:pt idx="5">
                  <c:v>828.0</c:v>
                </c:pt>
                <c:pt idx="6">
                  <c:v>515.0</c:v>
                </c:pt>
                <c:pt idx="7">
                  <c:v>1479.0</c:v>
                </c:pt>
                <c:pt idx="8">
                  <c:v>229.0</c:v>
                </c:pt>
                <c:pt idx="9">
                  <c:v>243.0</c:v>
                </c:pt>
                <c:pt idx="10">
                  <c:v>321.0</c:v>
                </c:pt>
                <c:pt idx="11">
                  <c:v>55.0</c:v>
                </c:pt>
                <c:pt idx="12">
                  <c:v>1188.0</c:v>
                </c:pt>
                <c:pt idx="13">
                  <c:v>1899.0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987224"/>
        <c:axId val="-2132984280"/>
      </c:barChart>
      <c:catAx>
        <c:axId val="-213298722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984280"/>
        <c:crosses val="autoZero"/>
        <c:auto val="1"/>
        <c:lblAlgn val="ctr"/>
        <c:lblOffset val="100"/>
        <c:noMultiLvlLbl val="0"/>
      </c:catAx>
      <c:valAx>
        <c:axId val="-2132984280"/>
        <c:scaling>
          <c:orientation val="minMax"/>
          <c:max val="65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987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Sheet1!$AZ$1</c:f>
              <c:strCache>
                <c:ptCount val="1"/>
                <c:pt idx="0">
                  <c:v>mliquiorlaws</c:v>
                </c:pt>
              </c:strCache>
            </c:strRef>
          </c:tx>
          <c:invertIfNegative val="0"/>
          <c:val>
            <c:numRef>
              <c:f>Sheet1!$AZ$2:$AZ$15</c:f>
              <c:numCache>
                <c:formatCode>General</c:formatCode>
                <c:ptCount val="14"/>
                <c:pt idx="1">
                  <c:v>221.0</c:v>
                </c:pt>
                <c:pt idx="2">
                  <c:v>46.0</c:v>
                </c:pt>
                <c:pt idx="3">
                  <c:v>221.0</c:v>
                </c:pt>
                <c:pt idx="4">
                  <c:v>2.0</c:v>
                </c:pt>
                <c:pt idx="5">
                  <c:v>492.0</c:v>
                </c:pt>
                <c:pt idx="6">
                  <c:v>370.0</c:v>
                </c:pt>
                <c:pt idx="7">
                  <c:v>3791.0</c:v>
                </c:pt>
                <c:pt idx="8">
                  <c:v>1538.0</c:v>
                </c:pt>
                <c:pt idx="9">
                  <c:v>140927.0</c:v>
                </c:pt>
                <c:pt idx="10">
                  <c:v>14.0</c:v>
                </c:pt>
                <c:pt idx="11">
                  <c:v>8.0</c:v>
                </c:pt>
                <c:pt idx="12">
                  <c:v>2015.0</c:v>
                </c:pt>
                <c:pt idx="13">
                  <c:v>3184.0</c:v>
                </c:pt>
              </c:numCache>
            </c:numRef>
          </c:val>
        </c:ser>
        <c:ser>
          <c:idx val="1"/>
          <c:order val="1"/>
          <c:tx>
            <c:strRef>
              <c:f>Sheet1!$BA$1</c:f>
              <c:strCache>
                <c:ptCount val="1"/>
                <c:pt idx="0">
                  <c:v>fliquiorlaws</c:v>
                </c:pt>
              </c:strCache>
            </c:strRef>
          </c:tx>
          <c:invertIfNegative val="0"/>
          <c:val>
            <c:numRef>
              <c:f>Sheet1!$BA$2:$BA$15</c:f>
              <c:numCache>
                <c:formatCode>General</c:formatCode>
                <c:ptCount val="14"/>
                <c:pt idx="0">
                  <c:v>59.0</c:v>
                </c:pt>
                <c:pt idx="1">
                  <c:v>97.0</c:v>
                </c:pt>
                <c:pt idx="2">
                  <c:v>13.0</c:v>
                </c:pt>
                <c:pt idx="3">
                  <c:v>97.0</c:v>
                </c:pt>
                <c:pt idx="4">
                  <c:v>0.0</c:v>
                </c:pt>
                <c:pt idx="5">
                  <c:v>126.0</c:v>
                </c:pt>
                <c:pt idx="6">
                  <c:v>28.0</c:v>
                </c:pt>
                <c:pt idx="7">
                  <c:v>947.0</c:v>
                </c:pt>
                <c:pt idx="8">
                  <c:v>231.0</c:v>
                </c:pt>
                <c:pt idx="9">
                  <c:v>16040.0</c:v>
                </c:pt>
                <c:pt idx="10">
                  <c:v>3.0</c:v>
                </c:pt>
                <c:pt idx="11">
                  <c:v>1.0</c:v>
                </c:pt>
                <c:pt idx="12">
                  <c:v>336.0</c:v>
                </c:pt>
                <c:pt idx="13">
                  <c:v>650.0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879432"/>
        <c:axId val="-2131876488"/>
      </c:barChart>
      <c:catAx>
        <c:axId val="-213187943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876488"/>
        <c:crosses val="autoZero"/>
        <c:auto val="1"/>
        <c:lblAlgn val="ctr"/>
        <c:lblOffset val="100"/>
        <c:noMultiLvlLbl val="0"/>
      </c:catAx>
      <c:valAx>
        <c:axId val="-2131876488"/>
        <c:scaling>
          <c:orientation val="minMax"/>
          <c:max val="140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879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Sheet1!$BB$1</c:f>
              <c:strCache>
                <c:ptCount val="1"/>
                <c:pt idx="0">
                  <c:v>mdurnk</c:v>
                </c:pt>
              </c:strCache>
            </c:strRef>
          </c:tx>
          <c:invertIfNegative val="0"/>
          <c:val>
            <c:numRef>
              <c:f>Sheet1!$BB$2:$BB$15</c:f>
              <c:numCache>
                <c:formatCode>General</c:formatCode>
                <c:ptCount val="14"/>
                <c:pt idx="1">
                  <c:v>418.0</c:v>
                </c:pt>
                <c:pt idx="2">
                  <c:v>-1.0</c:v>
                </c:pt>
                <c:pt idx="3">
                  <c:v>418.0</c:v>
                </c:pt>
                <c:pt idx="4">
                  <c:v>3.0</c:v>
                </c:pt>
                <c:pt idx="5">
                  <c:v>299.0</c:v>
                </c:pt>
                <c:pt idx="6">
                  <c:v>-1.0</c:v>
                </c:pt>
                <c:pt idx="7">
                  <c:v>6.0</c:v>
                </c:pt>
                <c:pt idx="8">
                  <c:v>1300.0</c:v>
                </c:pt>
                <c:pt idx="9">
                  <c:v>-1.0</c:v>
                </c:pt>
                <c:pt idx="10">
                  <c:v>8305.0</c:v>
                </c:pt>
                <c:pt idx="11">
                  <c:v>-1.0</c:v>
                </c:pt>
                <c:pt idx="12">
                  <c:v>10782.0</c:v>
                </c:pt>
                <c:pt idx="13">
                  <c:v>1.0</c:v>
                </c:pt>
              </c:numCache>
            </c:numRef>
          </c:val>
        </c:ser>
        <c:ser>
          <c:idx val="1"/>
          <c:order val="1"/>
          <c:tx>
            <c:strRef>
              <c:f>Sheet1!$BC$1</c:f>
              <c:strCache>
                <c:ptCount val="1"/>
                <c:pt idx="0">
                  <c:v>fdurnk</c:v>
                </c:pt>
              </c:strCache>
            </c:strRef>
          </c:tx>
          <c:invertIfNegative val="0"/>
          <c:val>
            <c:numRef>
              <c:f>Sheet1!$BC$2:$BC$15</c:f>
              <c:numCache>
                <c:formatCode>General</c:formatCode>
                <c:ptCount val="14"/>
                <c:pt idx="0" formatCode="#,##0">
                  <c:v>1524.0</c:v>
                </c:pt>
                <c:pt idx="1">
                  <c:v>52.0</c:v>
                </c:pt>
                <c:pt idx="2">
                  <c:v>-1.0</c:v>
                </c:pt>
                <c:pt idx="3">
                  <c:v>52.0</c:v>
                </c:pt>
                <c:pt idx="4">
                  <c:v>1.0</c:v>
                </c:pt>
                <c:pt idx="5">
                  <c:v>43.0</c:v>
                </c:pt>
                <c:pt idx="6">
                  <c:v>-1.0</c:v>
                </c:pt>
                <c:pt idx="7">
                  <c:v>1.0</c:v>
                </c:pt>
                <c:pt idx="8">
                  <c:v>248.0</c:v>
                </c:pt>
                <c:pt idx="9">
                  <c:v>-1.0</c:v>
                </c:pt>
                <c:pt idx="10">
                  <c:v>1395.0</c:v>
                </c:pt>
                <c:pt idx="11">
                  <c:v>-1.0</c:v>
                </c:pt>
                <c:pt idx="12">
                  <c:v>1824.0</c:v>
                </c:pt>
                <c:pt idx="13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841048"/>
        <c:axId val="-2131838072"/>
      </c:barChart>
      <c:catAx>
        <c:axId val="-213184104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838072"/>
        <c:crosses val="autoZero"/>
        <c:auto val="1"/>
        <c:lblAlgn val="ctr"/>
        <c:lblOffset val="100"/>
        <c:noMultiLvlLbl val="0"/>
      </c:catAx>
      <c:valAx>
        <c:axId val="-2131838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841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Sheet1!$BD$1</c:f>
              <c:strCache>
                <c:ptCount val="1"/>
                <c:pt idx="0">
                  <c:v>mdisorderconduct</c:v>
                </c:pt>
              </c:strCache>
            </c:strRef>
          </c:tx>
          <c:invertIfNegative val="0"/>
          <c:val>
            <c:numRef>
              <c:f>Sheet1!$BD$2:$BD$15</c:f>
              <c:numCache>
                <c:formatCode>General</c:formatCode>
                <c:ptCount val="14"/>
                <c:pt idx="1">
                  <c:v>23.0</c:v>
                </c:pt>
                <c:pt idx="2">
                  <c:v>967.0</c:v>
                </c:pt>
                <c:pt idx="3">
                  <c:v>23.0</c:v>
                </c:pt>
                <c:pt idx="4">
                  <c:v>510.0</c:v>
                </c:pt>
                <c:pt idx="5">
                  <c:v>3222.0</c:v>
                </c:pt>
                <c:pt idx="6">
                  <c:v>9156.0</c:v>
                </c:pt>
                <c:pt idx="7">
                  <c:v>141.0</c:v>
                </c:pt>
                <c:pt idx="8">
                  <c:v>3638.0</c:v>
                </c:pt>
                <c:pt idx="9">
                  <c:v>47057.0</c:v>
                </c:pt>
                <c:pt idx="10">
                  <c:v>528.0</c:v>
                </c:pt>
                <c:pt idx="11">
                  <c:v>581.0</c:v>
                </c:pt>
                <c:pt idx="12">
                  <c:v>3279.0</c:v>
                </c:pt>
                <c:pt idx="13">
                  <c:v>779.0</c:v>
                </c:pt>
              </c:numCache>
            </c:numRef>
          </c:val>
        </c:ser>
        <c:ser>
          <c:idx val="1"/>
          <c:order val="1"/>
          <c:tx>
            <c:strRef>
              <c:f>Sheet1!$BE$1</c:f>
              <c:strCache>
                <c:ptCount val="1"/>
                <c:pt idx="0">
                  <c:v>fdisorderconduct</c:v>
                </c:pt>
              </c:strCache>
            </c:strRef>
          </c:tx>
          <c:invertIfNegative val="0"/>
          <c:val>
            <c:numRef>
              <c:f>Sheet1!$BE$2:$BE$15</c:f>
              <c:numCache>
                <c:formatCode>General</c:formatCode>
                <c:ptCount val="14"/>
                <c:pt idx="0">
                  <c:v>60.0</c:v>
                </c:pt>
                <c:pt idx="1">
                  <c:v>12.0</c:v>
                </c:pt>
                <c:pt idx="2">
                  <c:v>400.0</c:v>
                </c:pt>
                <c:pt idx="3">
                  <c:v>12.0</c:v>
                </c:pt>
                <c:pt idx="4">
                  <c:v>289.0</c:v>
                </c:pt>
                <c:pt idx="5">
                  <c:v>1043.0</c:v>
                </c:pt>
                <c:pt idx="6">
                  <c:v>1017.0</c:v>
                </c:pt>
                <c:pt idx="7">
                  <c:v>39.0</c:v>
                </c:pt>
                <c:pt idx="8">
                  <c:v>1341.0</c:v>
                </c:pt>
                <c:pt idx="9">
                  <c:v>10369.0</c:v>
                </c:pt>
                <c:pt idx="10">
                  <c:v>71.0</c:v>
                </c:pt>
                <c:pt idx="11">
                  <c:v>118.0</c:v>
                </c:pt>
                <c:pt idx="12">
                  <c:v>1154.0</c:v>
                </c:pt>
                <c:pt idx="13">
                  <c:v>159.0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810584"/>
        <c:axId val="-2131807608"/>
      </c:barChart>
      <c:catAx>
        <c:axId val="-213181058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807608"/>
        <c:crosses val="autoZero"/>
        <c:auto val="1"/>
        <c:lblAlgn val="ctr"/>
        <c:lblOffset val="100"/>
        <c:noMultiLvlLbl val="0"/>
      </c:catAx>
      <c:valAx>
        <c:axId val="-21318076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131810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Sheet1!$BF$1</c:f>
              <c:strCache>
                <c:ptCount val="1"/>
                <c:pt idx="0">
                  <c:v>mvangrancy</c:v>
                </c:pt>
              </c:strCache>
            </c:strRef>
          </c:tx>
          <c:invertIfNegative val="0"/>
          <c:val>
            <c:numRef>
              <c:f>Sheet1!$BF$2:$BF$15</c:f>
              <c:numCache>
                <c:formatCode>General</c:formatCode>
                <c:ptCount val="14"/>
                <c:pt idx="1">
                  <c:v>-1.0</c:v>
                </c:pt>
                <c:pt idx="2">
                  <c:v>64.0</c:v>
                </c:pt>
                <c:pt idx="3">
                  <c:v>-1.0</c:v>
                </c:pt>
                <c:pt idx="4">
                  <c:v>27.0</c:v>
                </c:pt>
                <c:pt idx="5">
                  <c:v>389.0</c:v>
                </c:pt>
                <c:pt idx="6">
                  <c:v>-1.0</c:v>
                </c:pt>
                <c:pt idx="7">
                  <c:v>168.0</c:v>
                </c:pt>
                <c:pt idx="8">
                  <c:v>4.0</c:v>
                </c:pt>
                <c:pt idx="9">
                  <c:v>3280.0</c:v>
                </c:pt>
                <c:pt idx="10">
                  <c:v>-1.0</c:v>
                </c:pt>
                <c:pt idx="11">
                  <c:v>-1.0</c:v>
                </c:pt>
                <c:pt idx="12">
                  <c:v>238.0</c:v>
                </c:pt>
                <c:pt idx="13">
                  <c:v>1285.0</c:v>
                </c:pt>
              </c:numCache>
            </c:numRef>
          </c:val>
        </c:ser>
        <c:ser>
          <c:idx val="1"/>
          <c:order val="1"/>
          <c:tx>
            <c:strRef>
              <c:f>Sheet1!$BG$1</c:f>
              <c:strCache>
                <c:ptCount val="1"/>
                <c:pt idx="0">
                  <c:v>fvangrancy</c:v>
                </c:pt>
              </c:strCache>
            </c:strRef>
          </c:tx>
          <c:invertIfNegative val="0"/>
          <c:val>
            <c:numRef>
              <c:f>Sheet1!$BG$2:$BG$15</c:f>
              <c:numCache>
                <c:formatCode>General</c:formatCode>
                <c:ptCount val="14"/>
                <c:pt idx="0">
                  <c:v>95.0</c:v>
                </c:pt>
                <c:pt idx="1">
                  <c:v>-1.0</c:v>
                </c:pt>
                <c:pt idx="2">
                  <c:v>3.0</c:v>
                </c:pt>
                <c:pt idx="3">
                  <c:v>-1.0</c:v>
                </c:pt>
                <c:pt idx="4">
                  <c:v>6.0</c:v>
                </c:pt>
                <c:pt idx="5">
                  <c:v>35.0</c:v>
                </c:pt>
                <c:pt idx="6">
                  <c:v>-1.0</c:v>
                </c:pt>
                <c:pt idx="7">
                  <c:v>62.0</c:v>
                </c:pt>
                <c:pt idx="8">
                  <c:v>2.0</c:v>
                </c:pt>
                <c:pt idx="9">
                  <c:v>2895.0</c:v>
                </c:pt>
                <c:pt idx="10">
                  <c:v>-1.0</c:v>
                </c:pt>
                <c:pt idx="11">
                  <c:v>-1.0</c:v>
                </c:pt>
                <c:pt idx="12">
                  <c:v>19.0</c:v>
                </c:pt>
                <c:pt idx="13">
                  <c:v>364.0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1781720"/>
        <c:axId val="-2131778744"/>
      </c:barChart>
      <c:catAx>
        <c:axId val="-213178172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778744"/>
        <c:crosses val="autoZero"/>
        <c:auto val="1"/>
        <c:lblAlgn val="ctr"/>
        <c:lblOffset val="100"/>
        <c:noMultiLvlLbl val="0"/>
      </c:catAx>
      <c:valAx>
        <c:axId val="-2131778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781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Sheet1!$BH$1</c:f>
              <c:strCache>
                <c:ptCount val="1"/>
                <c:pt idx="0">
                  <c:v>malloffense</c:v>
                </c:pt>
              </c:strCache>
            </c:strRef>
          </c:tx>
          <c:invertIfNegative val="0"/>
          <c:val>
            <c:numRef>
              <c:f>Sheet1!$BH$2:$BH$15</c:f>
              <c:numCache>
                <c:formatCode>General</c:formatCode>
                <c:ptCount val="14"/>
                <c:pt idx="1">
                  <c:v>746.0</c:v>
                </c:pt>
                <c:pt idx="2">
                  <c:v>12718.0</c:v>
                </c:pt>
                <c:pt idx="3">
                  <c:v>746.0</c:v>
                </c:pt>
                <c:pt idx="4">
                  <c:v>2331.0</c:v>
                </c:pt>
                <c:pt idx="5">
                  <c:v>13100.0</c:v>
                </c:pt>
                <c:pt idx="6">
                  <c:v>12432.0</c:v>
                </c:pt>
                <c:pt idx="7">
                  <c:v>30499.0</c:v>
                </c:pt>
                <c:pt idx="8">
                  <c:v>9964.0</c:v>
                </c:pt>
                <c:pt idx="9">
                  <c:v>299713.0</c:v>
                </c:pt>
                <c:pt idx="10">
                  <c:v>11251.0</c:v>
                </c:pt>
                <c:pt idx="11">
                  <c:v>716.0</c:v>
                </c:pt>
                <c:pt idx="12">
                  <c:v>18891.0</c:v>
                </c:pt>
                <c:pt idx="13">
                  <c:v>21119.0</c:v>
                </c:pt>
              </c:numCache>
            </c:numRef>
          </c:val>
        </c:ser>
        <c:ser>
          <c:idx val="1"/>
          <c:order val="1"/>
          <c:tx>
            <c:strRef>
              <c:f>Sheet1!$BI$1</c:f>
              <c:strCache>
                <c:ptCount val="1"/>
                <c:pt idx="0">
                  <c:v>falloffense</c:v>
                </c:pt>
              </c:strCache>
            </c:strRef>
          </c:tx>
          <c:invertIfNegative val="0"/>
          <c:val>
            <c:numRef>
              <c:f>Sheet1!$BI$2:$BI$15</c:f>
              <c:numCache>
                <c:formatCode>General</c:formatCode>
                <c:ptCount val="14"/>
                <c:pt idx="0" formatCode="#,##0">
                  <c:v>6103.0</c:v>
                </c:pt>
                <c:pt idx="1">
                  <c:v>223.0</c:v>
                </c:pt>
                <c:pt idx="2">
                  <c:v>2783.0</c:v>
                </c:pt>
                <c:pt idx="3">
                  <c:v>223.0</c:v>
                </c:pt>
                <c:pt idx="4">
                  <c:v>326.0</c:v>
                </c:pt>
                <c:pt idx="5">
                  <c:v>2367.0</c:v>
                </c:pt>
                <c:pt idx="6">
                  <c:v>1574.0</c:v>
                </c:pt>
                <c:pt idx="7">
                  <c:v>5159.0</c:v>
                </c:pt>
                <c:pt idx="8">
                  <c:v>2706.0</c:v>
                </c:pt>
                <c:pt idx="9">
                  <c:v>32553.0</c:v>
                </c:pt>
                <c:pt idx="10">
                  <c:v>3479.0</c:v>
                </c:pt>
                <c:pt idx="11">
                  <c:v>94.0</c:v>
                </c:pt>
                <c:pt idx="12">
                  <c:v>6097.0</c:v>
                </c:pt>
                <c:pt idx="13">
                  <c:v>8008.0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632632"/>
        <c:axId val="-2132635624"/>
      </c:barChart>
      <c:catAx>
        <c:axId val="-213263263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635624"/>
        <c:crosses val="autoZero"/>
        <c:auto val="1"/>
        <c:lblAlgn val="ctr"/>
        <c:lblOffset val="100"/>
        <c:noMultiLvlLbl val="0"/>
      </c:catAx>
      <c:valAx>
        <c:axId val="-2132635624"/>
        <c:scaling>
          <c:orientation val="minMax"/>
          <c:max val="300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632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Sheet1!$BJ$1</c:f>
              <c:strCache>
                <c:ptCount val="1"/>
                <c:pt idx="0">
                  <c:v>msuspicion</c:v>
                </c:pt>
              </c:strCache>
            </c:strRef>
          </c:tx>
          <c:invertIfNegative val="0"/>
          <c:val>
            <c:numRef>
              <c:f>Sheet1!$BJ$2:$BJ$15</c:f>
              <c:numCache>
                <c:formatCode>General</c:formatCode>
                <c:ptCount val="14"/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-1.0</c:v>
                </c:pt>
                <c:pt idx="5">
                  <c:v>-1.0</c:v>
                </c:pt>
                <c:pt idx="6">
                  <c:v>-1.0</c:v>
                </c:pt>
                <c:pt idx="7">
                  <c:v>-1.0</c:v>
                </c:pt>
                <c:pt idx="8">
                  <c:v>-1.0</c:v>
                </c:pt>
                <c:pt idx="9">
                  <c:v>-1.0</c:v>
                </c:pt>
                <c:pt idx="10">
                  <c:v>-1.0</c:v>
                </c:pt>
                <c:pt idx="11">
                  <c:v>-1.0</c:v>
                </c:pt>
                <c:pt idx="12">
                  <c:v>-1.0</c:v>
                </c:pt>
                <c:pt idx="13">
                  <c:v>-1.0</c:v>
                </c:pt>
              </c:numCache>
            </c:numRef>
          </c:val>
        </c:ser>
        <c:ser>
          <c:idx val="1"/>
          <c:order val="1"/>
          <c:tx>
            <c:strRef>
              <c:f>Sheet1!$BK$1</c:f>
              <c:strCache>
                <c:ptCount val="1"/>
                <c:pt idx="0">
                  <c:v>fsuspicion</c:v>
                </c:pt>
              </c:strCache>
            </c:strRef>
          </c:tx>
          <c:invertIfNegative val="0"/>
          <c:val>
            <c:numRef>
              <c:f>Sheet1!$BK$2:$BK$15</c:f>
              <c:numCache>
                <c:formatCode>General</c:formatCode>
                <c:ptCount val="14"/>
                <c:pt idx="0">
                  <c:v>-1.0</c:v>
                </c:pt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-1.0</c:v>
                </c:pt>
                <c:pt idx="5">
                  <c:v>-1.0</c:v>
                </c:pt>
                <c:pt idx="6">
                  <c:v>-1.0</c:v>
                </c:pt>
                <c:pt idx="7">
                  <c:v>-1.0</c:v>
                </c:pt>
                <c:pt idx="8">
                  <c:v>-1.0</c:v>
                </c:pt>
                <c:pt idx="9">
                  <c:v>-1.0</c:v>
                </c:pt>
                <c:pt idx="10">
                  <c:v>-1.0</c:v>
                </c:pt>
                <c:pt idx="11">
                  <c:v>-1.0</c:v>
                </c:pt>
                <c:pt idx="12">
                  <c:v>-1.0</c:v>
                </c:pt>
                <c:pt idx="13">
                  <c:v>-1.0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662328"/>
        <c:axId val="-2132665320"/>
      </c:barChart>
      <c:catAx>
        <c:axId val="-213266232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665320"/>
        <c:crosses val="autoZero"/>
        <c:auto val="1"/>
        <c:lblAlgn val="ctr"/>
        <c:lblOffset val="100"/>
        <c:noMultiLvlLbl val="0"/>
      </c:catAx>
      <c:valAx>
        <c:axId val="-21326653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132662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Sheet1!$BL$1</c:f>
              <c:strCache>
                <c:ptCount val="1"/>
                <c:pt idx="0">
                  <c:v>mcurfewloiter</c:v>
                </c:pt>
              </c:strCache>
            </c:strRef>
          </c:tx>
          <c:invertIfNegative val="0"/>
          <c:val>
            <c:numRef>
              <c:f>Sheet1!$BL$2:$BL$15</c:f>
              <c:numCache>
                <c:formatCode>General</c:formatCode>
                <c:ptCount val="14"/>
                <c:pt idx="1">
                  <c:v>10.0</c:v>
                </c:pt>
                <c:pt idx="2">
                  <c:v>153.0</c:v>
                </c:pt>
                <c:pt idx="3">
                  <c:v>10.0</c:v>
                </c:pt>
                <c:pt idx="4">
                  <c:v>27.0</c:v>
                </c:pt>
                <c:pt idx="5">
                  <c:v>11710.0</c:v>
                </c:pt>
                <c:pt idx="6">
                  <c:v>-1.0</c:v>
                </c:pt>
                <c:pt idx="7">
                  <c:v>1283.0</c:v>
                </c:pt>
                <c:pt idx="8">
                  <c:v>274.0</c:v>
                </c:pt>
                <c:pt idx="9">
                  <c:v>-1.0</c:v>
                </c:pt>
                <c:pt idx="10">
                  <c:v>7.0</c:v>
                </c:pt>
                <c:pt idx="11">
                  <c:v>-1.0</c:v>
                </c:pt>
                <c:pt idx="12">
                  <c:v>548.0</c:v>
                </c:pt>
                <c:pt idx="13">
                  <c:v>726.0</c:v>
                </c:pt>
              </c:numCache>
            </c:numRef>
          </c:val>
        </c:ser>
        <c:ser>
          <c:idx val="1"/>
          <c:order val="1"/>
          <c:tx>
            <c:strRef>
              <c:f>Sheet1!$BM$1</c:f>
              <c:strCache>
                <c:ptCount val="1"/>
                <c:pt idx="0">
                  <c:v>fbreakcurfew</c:v>
                </c:pt>
              </c:strCache>
            </c:strRef>
          </c:tx>
          <c:invertIfNegative val="0"/>
          <c:val>
            <c:numRef>
              <c:f>Sheet1!$BM$2:$BM$15</c:f>
              <c:numCache>
                <c:formatCode>General</c:formatCode>
                <c:ptCount val="14"/>
                <c:pt idx="0">
                  <c:v>-1.0</c:v>
                </c:pt>
                <c:pt idx="1">
                  <c:v>9.0</c:v>
                </c:pt>
                <c:pt idx="2">
                  <c:v>20.0</c:v>
                </c:pt>
                <c:pt idx="3">
                  <c:v>9.0</c:v>
                </c:pt>
                <c:pt idx="4">
                  <c:v>9.0</c:v>
                </c:pt>
                <c:pt idx="5">
                  <c:v>3069.0</c:v>
                </c:pt>
                <c:pt idx="6">
                  <c:v>-1.0</c:v>
                </c:pt>
                <c:pt idx="7">
                  <c:v>497.0</c:v>
                </c:pt>
                <c:pt idx="8">
                  <c:v>145.0</c:v>
                </c:pt>
                <c:pt idx="9">
                  <c:v>-1.0</c:v>
                </c:pt>
                <c:pt idx="10">
                  <c:v>0.0</c:v>
                </c:pt>
                <c:pt idx="11">
                  <c:v>-1.0</c:v>
                </c:pt>
                <c:pt idx="12">
                  <c:v>229.0</c:v>
                </c:pt>
                <c:pt idx="13">
                  <c:v>324.0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0589112"/>
        <c:axId val="2080591464"/>
      </c:barChart>
      <c:catAx>
        <c:axId val="20805891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80591464"/>
        <c:crosses val="autoZero"/>
        <c:auto val="1"/>
        <c:lblAlgn val="ctr"/>
        <c:lblOffset val="100"/>
        <c:noMultiLvlLbl val="0"/>
      </c:catAx>
      <c:valAx>
        <c:axId val="2080591464"/>
        <c:scaling>
          <c:orientation val="minMax"/>
          <c:max val="12000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0589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Sheet1!$BN$1</c:f>
              <c:strCache>
                <c:ptCount val="1"/>
                <c:pt idx="0">
                  <c:v>mrunaway</c:v>
                </c:pt>
              </c:strCache>
            </c:strRef>
          </c:tx>
          <c:invertIfNegative val="0"/>
          <c:val>
            <c:numRef>
              <c:f>Sheet1!$BN$2:$BN$15</c:f>
              <c:numCache>
                <c:formatCode>General</c:formatCode>
                <c:ptCount val="14"/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-1.0</c:v>
                </c:pt>
                <c:pt idx="5">
                  <c:v>-1.0</c:v>
                </c:pt>
                <c:pt idx="6">
                  <c:v>-1.0</c:v>
                </c:pt>
                <c:pt idx="7">
                  <c:v>-1.0</c:v>
                </c:pt>
                <c:pt idx="8">
                  <c:v>-1.0</c:v>
                </c:pt>
                <c:pt idx="9">
                  <c:v>-1.0</c:v>
                </c:pt>
                <c:pt idx="10">
                  <c:v>-1.0</c:v>
                </c:pt>
                <c:pt idx="11">
                  <c:v>-1.0</c:v>
                </c:pt>
                <c:pt idx="12">
                  <c:v>-1.0</c:v>
                </c:pt>
                <c:pt idx="13">
                  <c:v>-1.0</c:v>
                </c:pt>
              </c:numCache>
            </c:numRef>
          </c:val>
        </c:ser>
        <c:ser>
          <c:idx val="1"/>
          <c:order val="1"/>
          <c:tx>
            <c:strRef>
              <c:f>Sheet1!$BO$1</c:f>
              <c:strCache>
                <c:ptCount val="1"/>
                <c:pt idx="0">
                  <c:v>frunaway</c:v>
                </c:pt>
              </c:strCache>
            </c:strRef>
          </c:tx>
          <c:invertIfNegative val="0"/>
          <c:val>
            <c:numRef>
              <c:f>Sheet1!$BO$2:$BO$15</c:f>
              <c:numCache>
                <c:formatCode>General</c:formatCode>
                <c:ptCount val="14"/>
                <c:pt idx="0">
                  <c:v>-1.0</c:v>
                </c:pt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-1.0</c:v>
                </c:pt>
                <c:pt idx="5">
                  <c:v>-1.0</c:v>
                </c:pt>
                <c:pt idx="6">
                  <c:v>-1.0</c:v>
                </c:pt>
                <c:pt idx="7">
                  <c:v>-1.0</c:v>
                </c:pt>
                <c:pt idx="8">
                  <c:v>-1.0</c:v>
                </c:pt>
                <c:pt idx="9">
                  <c:v>-1.0</c:v>
                </c:pt>
                <c:pt idx="10">
                  <c:v>-1.0</c:v>
                </c:pt>
                <c:pt idx="11">
                  <c:v>-1.0</c:v>
                </c:pt>
                <c:pt idx="12">
                  <c:v>-1.0</c:v>
                </c:pt>
                <c:pt idx="13">
                  <c:v>-1.0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288584"/>
        <c:axId val="2081291560"/>
      </c:barChart>
      <c:catAx>
        <c:axId val="20812885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291560"/>
        <c:crosses val="autoZero"/>
        <c:auto val="1"/>
        <c:lblAlgn val="ctr"/>
        <c:lblOffset val="100"/>
        <c:noMultiLvlLbl val="0"/>
      </c:catAx>
      <c:valAx>
        <c:axId val="2081291560"/>
        <c:scaling>
          <c:orientation val="minMax"/>
          <c:max val="1.0"/>
          <c:min val="-1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1288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Sheet1!$BP$1</c:f>
              <c:strCache>
                <c:ptCount val="1"/>
                <c:pt idx="0">
                  <c:v>mviolentcrime</c:v>
                </c:pt>
              </c:strCache>
            </c:strRef>
          </c:tx>
          <c:invertIfNegative val="0"/>
          <c:val>
            <c:numRef>
              <c:f>Sheet1!$BP$2:$BP$15</c:f>
              <c:numCache>
                <c:formatCode>General</c:formatCode>
                <c:ptCount val="14"/>
                <c:pt idx="1">
                  <c:v>88.0</c:v>
                </c:pt>
                <c:pt idx="2">
                  <c:v>1752.0</c:v>
                </c:pt>
                <c:pt idx="3">
                  <c:v>88.0</c:v>
                </c:pt>
                <c:pt idx="4">
                  <c:v>1748.0</c:v>
                </c:pt>
                <c:pt idx="5">
                  <c:v>6544.0</c:v>
                </c:pt>
                <c:pt idx="6">
                  <c:v>5540.0</c:v>
                </c:pt>
                <c:pt idx="7">
                  <c:v>9238.0</c:v>
                </c:pt>
                <c:pt idx="8">
                  <c:v>2013.0</c:v>
                </c:pt>
                <c:pt idx="9">
                  <c:v>28098.0</c:v>
                </c:pt>
                <c:pt idx="10">
                  <c:v>1358.0</c:v>
                </c:pt>
                <c:pt idx="11">
                  <c:v>2524.0</c:v>
                </c:pt>
                <c:pt idx="12">
                  <c:v>2530.0</c:v>
                </c:pt>
                <c:pt idx="13">
                  <c:v>3125.0</c:v>
                </c:pt>
              </c:numCache>
            </c:numRef>
          </c:val>
        </c:ser>
        <c:ser>
          <c:idx val="1"/>
          <c:order val="1"/>
          <c:tx>
            <c:strRef>
              <c:f>Sheet1!$BQ$1</c:f>
              <c:strCache>
                <c:ptCount val="1"/>
                <c:pt idx="0">
                  <c:v>fviolentcrime</c:v>
                </c:pt>
              </c:strCache>
            </c:strRef>
          </c:tx>
          <c:invertIfNegative val="0"/>
          <c:val>
            <c:numRef>
              <c:f>Sheet1!$BQ$2:$BQ$15</c:f>
              <c:numCache>
                <c:formatCode>General</c:formatCode>
                <c:ptCount val="14"/>
                <c:pt idx="0" formatCode="#,##0">
                  <c:v>1488.0</c:v>
                </c:pt>
                <c:pt idx="1">
                  <c:v>18.0</c:v>
                </c:pt>
                <c:pt idx="2">
                  <c:v>409.0</c:v>
                </c:pt>
                <c:pt idx="3">
                  <c:v>18.0</c:v>
                </c:pt>
                <c:pt idx="4">
                  <c:v>616.0</c:v>
                </c:pt>
                <c:pt idx="5">
                  <c:v>1938.0</c:v>
                </c:pt>
                <c:pt idx="6">
                  <c:v>791.0</c:v>
                </c:pt>
                <c:pt idx="7">
                  <c:v>2133.0</c:v>
                </c:pt>
                <c:pt idx="8">
                  <c:v>524.0</c:v>
                </c:pt>
                <c:pt idx="9">
                  <c:v>5478.0</c:v>
                </c:pt>
                <c:pt idx="10">
                  <c:v>417.0</c:v>
                </c:pt>
                <c:pt idx="11">
                  <c:v>608.0</c:v>
                </c:pt>
                <c:pt idx="12">
                  <c:v>546.0</c:v>
                </c:pt>
                <c:pt idx="13">
                  <c:v>1035.0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697592"/>
        <c:axId val="-2132700584"/>
      </c:barChart>
      <c:catAx>
        <c:axId val="-213269759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700584"/>
        <c:crosses val="autoZero"/>
        <c:auto val="1"/>
        <c:lblAlgn val="ctr"/>
        <c:lblOffset val="100"/>
        <c:noMultiLvlLbl val="0"/>
      </c:catAx>
      <c:valAx>
        <c:axId val="-2132700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697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Sheet1!$BR$1</c:f>
              <c:strCache>
                <c:ptCount val="1"/>
                <c:pt idx="0">
                  <c:v>mpropertycrimeindex</c:v>
                </c:pt>
              </c:strCache>
            </c:strRef>
          </c:tx>
          <c:invertIfNegative val="0"/>
          <c:val>
            <c:numRef>
              <c:f>Sheet1!$BR$2:$BR$15</c:f>
              <c:numCache>
                <c:formatCode>General</c:formatCode>
                <c:ptCount val="14"/>
                <c:pt idx="1">
                  <c:v>309.0</c:v>
                </c:pt>
                <c:pt idx="2">
                  <c:v>3018.0</c:v>
                </c:pt>
                <c:pt idx="3">
                  <c:v>309.0</c:v>
                </c:pt>
                <c:pt idx="4">
                  <c:v>1814.0</c:v>
                </c:pt>
                <c:pt idx="5">
                  <c:v>7016.0</c:v>
                </c:pt>
                <c:pt idx="6">
                  <c:v>13234.0</c:v>
                </c:pt>
                <c:pt idx="7">
                  <c:v>7422.0</c:v>
                </c:pt>
                <c:pt idx="8">
                  <c:v>4404.0</c:v>
                </c:pt>
                <c:pt idx="9">
                  <c:v>23097.0</c:v>
                </c:pt>
                <c:pt idx="10">
                  <c:v>3444.0</c:v>
                </c:pt>
                <c:pt idx="11">
                  <c:v>1744.0</c:v>
                </c:pt>
                <c:pt idx="12">
                  <c:v>7105.0</c:v>
                </c:pt>
                <c:pt idx="13">
                  <c:v>5354.0</c:v>
                </c:pt>
              </c:numCache>
            </c:numRef>
          </c:val>
        </c:ser>
        <c:ser>
          <c:idx val="1"/>
          <c:order val="1"/>
          <c:tx>
            <c:strRef>
              <c:f>Sheet1!$BS$1</c:f>
              <c:strCache>
                <c:ptCount val="1"/>
                <c:pt idx="0">
                  <c:v>fpropertycrimeindex</c:v>
                </c:pt>
              </c:strCache>
            </c:strRef>
          </c:tx>
          <c:invertIfNegative val="0"/>
          <c:val>
            <c:numRef>
              <c:f>Sheet1!$BS$2:$BS$15</c:f>
              <c:numCache>
                <c:formatCode>General</c:formatCode>
                <c:ptCount val="14"/>
                <c:pt idx="0" formatCode="#,##0">
                  <c:v>1118.0</c:v>
                </c:pt>
                <c:pt idx="1">
                  <c:v>151.0</c:v>
                </c:pt>
                <c:pt idx="2">
                  <c:v>780.0</c:v>
                </c:pt>
                <c:pt idx="3">
                  <c:v>151.0</c:v>
                </c:pt>
                <c:pt idx="4">
                  <c:v>223.0</c:v>
                </c:pt>
                <c:pt idx="5">
                  <c:v>2980.0</c:v>
                </c:pt>
                <c:pt idx="6">
                  <c:v>3960.0</c:v>
                </c:pt>
                <c:pt idx="7">
                  <c:v>3992.0</c:v>
                </c:pt>
                <c:pt idx="8">
                  <c:v>2313.0</c:v>
                </c:pt>
                <c:pt idx="9">
                  <c:v>8439.0</c:v>
                </c:pt>
                <c:pt idx="10">
                  <c:v>1756.0</c:v>
                </c:pt>
                <c:pt idx="11">
                  <c:v>592.0</c:v>
                </c:pt>
                <c:pt idx="12">
                  <c:v>3956.0</c:v>
                </c:pt>
                <c:pt idx="13">
                  <c:v>3064.0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731944"/>
        <c:axId val="-2132734936"/>
      </c:barChart>
      <c:catAx>
        <c:axId val="-21327319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734936"/>
        <c:crosses val="autoZero"/>
        <c:auto val="1"/>
        <c:lblAlgn val="ctr"/>
        <c:lblOffset val="100"/>
        <c:noMultiLvlLbl val="0"/>
      </c:catAx>
      <c:valAx>
        <c:axId val="-21327349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132731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mpop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354589457567804"/>
                  <c:y val="-0.478792650918635"/>
                </c:manualLayout>
              </c:layout>
              <c:numFmt formatCode="General" sourceLinked="0"/>
            </c:trendlineLbl>
          </c:trendline>
          <c:xVal>
            <c:strRef>
              <c:f>Sheet1!$A$2:$A$15</c:f>
              <c:strCache>
                <c:ptCount val="14"/>
                <c:pt idx="0">
                  <c:v>San Francisco </c:v>
                </c:pt>
                <c:pt idx="1">
                  <c:v>Northampton</c:v>
                </c:pt>
                <c:pt idx="2">
                  <c:v>Baltimore</c:v>
                </c:pt>
                <c:pt idx="3">
                  <c:v>Bloomington</c:v>
                </c:pt>
                <c:pt idx="4">
                  <c:v>Detroit</c:v>
                </c:pt>
                <c:pt idx="5">
                  <c:v>Philadelphia</c:v>
                </c:pt>
                <c:pt idx="6">
                  <c:v>Chicago</c:v>
                </c:pt>
                <c:pt idx="7">
                  <c:v>Los Angeles</c:v>
                </c:pt>
                <c:pt idx="8">
                  <c:v>Memphis</c:v>
                </c:pt>
                <c:pt idx="9">
                  <c:v>New York City</c:v>
                </c:pt>
                <c:pt idx="10">
                  <c:v>Dallas</c:v>
                </c:pt>
                <c:pt idx="11">
                  <c:v>Boston</c:v>
                </c:pt>
                <c:pt idx="12">
                  <c:v>Houston</c:v>
                </c:pt>
                <c:pt idx="13">
                  <c:v>Las Vegas Metro</c:v>
                </c:pt>
              </c:strCache>
            </c:str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408462.0</c:v>
                </c:pt>
                <c:pt idx="1">
                  <c:v>12312.0</c:v>
                </c:pt>
                <c:pt idx="2">
                  <c:v>292249.0</c:v>
                </c:pt>
                <c:pt idx="3">
                  <c:v>40161.0</c:v>
                </c:pt>
                <c:pt idx="4">
                  <c:v>337679.0</c:v>
                </c:pt>
                <c:pt idx="5">
                  <c:v>719813.0</c:v>
                </c:pt>
                <c:pt idx="6">
                  <c:v>1.308072E6</c:v>
                </c:pt>
                <c:pt idx="7">
                  <c:v>1.889064E6</c:v>
                </c:pt>
                <c:pt idx="8">
                  <c:v>307019.0</c:v>
                </c:pt>
                <c:pt idx="9">
                  <c:v>3.883188E6</c:v>
                </c:pt>
                <c:pt idx="10">
                  <c:v>598962.0</c:v>
                </c:pt>
                <c:pt idx="11">
                  <c:v>295951.0</c:v>
                </c:pt>
                <c:pt idx="12">
                  <c:v>1.053517E6</c:v>
                </c:pt>
                <c:pt idx="13">
                  <c:v>294100.0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fpop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351811679790026"/>
                  <c:y val="-0.56295202682998"/>
                </c:manualLayout>
              </c:layout>
              <c:numFmt formatCode="General" sourceLinked="0"/>
            </c:trendlineLbl>
          </c:trendline>
          <c:xVal>
            <c:strRef>
              <c:f>Sheet1!$A$2:$A$15</c:f>
              <c:strCache>
                <c:ptCount val="14"/>
                <c:pt idx="0">
                  <c:v>San Francisco </c:v>
                </c:pt>
                <c:pt idx="1">
                  <c:v>Northampton</c:v>
                </c:pt>
                <c:pt idx="2">
                  <c:v>Baltimore</c:v>
                </c:pt>
                <c:pt idx="3">
                  <c:v>Bloomington</c:v>
                </c:pt>
                <c:pt idx="4">
                  <c:v>Detroit</c:v>
                </c:pt>
                <c:pt idx="5">
                  <c:v>Philadelphia</c:v>
                </c:pt>
                <c:pt idx="6">
                  <c:v>Chicago</c:v>
                </c:pt>
                <c:pt idx="7">
                  <c:v>Los Angeles</c:v>
                </c:pt>
                <c:pt idx="8">
                  <c:v>Memphis</c:v>
                </c:pt>
                <c:pt idx="9">
                  <c:v>New York City</c:v>
                </c:pt>
                <c:pt idx="10">
                  <c:v>Dallas</c:v>
                </c:pt>
                <c:pt idx="11">
                  <c:v>Boston</c:v>
                </c:pt>
                <c:pt idx="12">
                  <c:v>Houston</c:v>
                </c:pt>
                <c:pt idx="13">
                  <c:v>Las Vegas Metro</c:v>
                </c:pt>
              </c:strCache>
            </c:str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396773.0</c:v>
                </c:pt>
                <c:pt idx="1">
                  <c:v>16237.0</c:v>
                </c:pt>
                <c:pt idx="2">
                  <c:v>328712.0</c:v>
                </c:pt>
                <c:pt idx="3">
                  <c:v>43162.0</c:v>
                </c:pt>
                <c:pt idx="4">
                  <c:v>376098.0</c:v>
                </c:pt>
                <c:pt idx="5">
                  <c:v>806193.0</c:v>
                </c:pt>
                <c:pt idx="6">
                  <c:v>1.387526E6</c:v>
                </c:pt>
                <c:pt idx="7">
                  <c:v>1.903557E6</c:v>
                </c:pt>
                <c:pt idx="8">
                  <c:v>339870.0</c:v>
                </c:pt>
                <c:pt idx="9">
                  <c:v>4.291945E6</c:v>
                </c:pt>
                <c:pt idx="10">
                  <c:v>598854.0</c:v>
                </c:pt>
                <c:pt idx="11">
                  <c:v>321643.0</c:v>
                </c:pt>
                <c:pt idx="12">
                  <c:v>1.045934E6</c:v>
                </c:pt>
                <c:pt idx="13">
                  <c:v>289656.0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951784"/>
        <c:axId val="-2132948856"/>
      </c:scatterChart>
      <c:valAx>
        <c:axId val="-213295178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948856"/>
        <c:crosses val="autoZero"/>
        <c:crossBetween val="midCat"/>
      </c:valAx>
      <c:valAx>
        <c:axId val="-2132948856"/>
        <c:scaling>
          <c:orientation val="minMax"/>
          <c:max val="4.5E6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951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9" Type="http://schemas.openxmlformats.org/officeDocument/2006/relationships/chart" Target="../charts/chart9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16933</xdr:colOff>
      <xdr:row>15</xdr:row>
      <xdr:rowOff>186267</xdr:rowOff>
    </xdr:from>
    <xdr:to>
      <xdr:col>6</xdr:col>
      <xdr:colOff>440266</xdr:colOff>
      <xdr:row>30</xdr:row>
      <xdr:rowOff>8467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618066</xdr:colOff>
      <xdr:row>15</xdr:row>
      <xdr:rowOff>190500</xdr:rowOff>
    </xdr:from>
    <xdr:to>
      <xdr:col>12</xdr:col>
      <xdr:colOff>211666</xdr:colOff>
      <xdr:row>30</xdr:row>
      <xdr:rowOff>12700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406400</xdr:colOff>
      <xdr:row>16</xdr:row>
      <xdr:rowOff>4233</xdr:rowOff>
    </xdr:from>
    <xdr:to>
      <xdr:col>18</xdr:col>
      <xdr:colOff>0</xdr:colOff>
      <xdr:row>30</xdr:row>
      <xdr:rowOff>21166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8468</xdr:colOff>
      <xdr:row>31</xdr:row>
      <xdr:rowOff>12700</xdr:rowOff>
    </xdr:from>
    <xdr:to>
      <xdr:col>6</xdr:col>
      <xdr:colOff>431801</xdr:colOff>
      <xdr:row>45</xdr:row>
      <xdr:rowOff>29633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321734</xdr:colOff>
      <xdr:row>16</xdr:row>
      <xdr:rowOff>21167</xdr:rowOff>
    </xdr:from>
    <xdr:to>
      <xdr:col>23</xdr:col>
      <xdr:colOff>745067</xdr:colOff>
      <xdr:row>30</xdr:row>
      <xdr:rowOff>38100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270934</xdr:colOff>
      <xdr:row>31</xdr:row>
      <xdr:rowOff>12700</xdr:rowOff>
    </xdr:from>
    <xdr:to>
      <xdr:col>12</xdr:col>
      <xdr:colOff>694267</xdr:colOff>
      <xdr:row>45</xdr:row>
      <xdr:rowOff>29633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270934</xdr:colOff>
      <xdr:row>31</xdr:row>
      <xdr:rowOff>12700</xdr:rowOff>
    </xdr:from>
    <xdr:to>
      <xdr:col>18</xdr:col>
      <xdr:colOff>694267</xdr:colOff>
      <xdr:row>45</xdr:row>
      <xdr:rowOff>29633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50801</xdr:colOff>
      <xdr:row>30</xdr:row>
      <xdr:rowOff>190500</xdr:rowOff>
    </xdr:from>
    <xdr:to>
      <xdr:col>24</xdr:col>
      <xdr:colOff>474134</xdr:colOff>
      <xdr:row>45</xdr:row>
      <xdr:rowOff>12700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220134</xdr:colOff>
      <xdr:row>16</xdr:row>
      <xdr:rowOff>12701</xdr:rowOff>
    </xdr:from>
    <xdr:to>
      <xdr:col>29</xdr:col>
      <xdr:colOff>643467</xdr:colOff>
      <xdr:row>30</xdr:row>
      <xdr:rowOff>29634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16934</xdr:colOff>
      <xdr:row>31</xdr:row>
      <xdr:rowOff>12701</xdr:rowOff>
    </xdr:from>
    <xdr:to>
      <xdr:col>30</xdr:col>
      <xdr:colOff>440267</xdr:colOff>
      <xdr:row>45</xdr:row>
      <xdr:rowOff>29634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59267</xdr:colOff>
      <xdr:row>46</xdr:row>
      <xdr:rowOff>21168</xdr:rowOff>
    </xdr:from>
    <xdr:to>
      <xdr:col>24</xdr:col>
      <xdr:colOff>482600</xdr:colOff>
      <xdr:row>60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25400</xdr:colOff>
      <xdr:row>46</xdr:row>
      <xdr:rowOff>12700</xdr:rowOff>
    </xdr:from>
    <xdr:to>
      <xdr:col>30</xdr:col>
      <xdr:colOff>448733</xdr:colOff>
      <xdr:row>60</xdr:row>
      <xdr:rowOff>29633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8466</xdr:colOff>
      <xdr:row>16</xdr:row>
      <xdr:rowOff>12701</xdr:rowOff>
    </xdr:from>
    <xdr:to>
      <xdr:col>35</xdr:col>
      <xdr:colOff>431799</xdr:colOff>
      <xdr:row>30</xdr:row>
      <xdr:rowOff>29634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35</xdr:col>
      <xdr:colOff>795866</xdr:colOff>
      <xdr:row>16</xdr:row>
      <xdr:rowOff>4234</xdr:rowOff>
    </xdr:from>
    <xdr:to>
      <xdr:col>41</xdr:col>
      <xdr:colOff>389466</xdr:colOff>
      <xdr:row>30</xdr:row>
      <xdr:rowOff>21167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0</xdr:colOff>
      <xdr:row>30</xdr:row>
      <xdr:rowOff>190500</xdr:rowOff>
    </xdr:from>
    <xdr:to>
      <xdr:col>36</xdr:col>
      <xdr:colOff>423333</xdr:colOff>
      <xdr:row>45</xdr:row>
      <xdr:rowOff>12700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0</xdr:colOff>
      <xdr:row>46</xdr:row>
      <xdr:rowOff>4234</xdr:rowOff>
    </xdr:from>
    <xdr:to>
      <xdr:col>36</xdr:col>
      <xdr:colOff>423333</xdr:colOff>
      <xdr:row>60</xdr:row>
      <xdr:rowOff>21167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37</xdr:col>
      <xdr:colOff>16933</xdr:colOff>
      <xdr:row>31</xdr:row>
      <xdr:rowOff>29634</xdr:rowOff>
    </xdr:from>
    <xdr:to>
      <xdr:col>42</xdr:col>
      <xdr:colOff>440266</xdr:colOff>
      <xdr:row>45</xdr:row>
      <xdr:rowOff>46567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0</xdr:colOff>
      <xdr:row>46</xdr:row>
      <xdr:rowOff>4234</xdr:rowOff>
    </xdr:from>
    <xdr:to>
      <xdr:col>42</xdr:col>
      <xdr:colOff>423333</xdr:colOff>
      <xdr:row>60</xdr:row>
      <xdr:rowOff>21167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42</xdr:col>
      <xdr:colOff>101600</xdr:colOff>
      <xdr:row>16</xdr:row>
      <xdr:rowOff>4234</xdr:rowOff>
    </xdr:from>
    <xdr:to>
      <xdr:col>47</xdr:col>
      <xdr:colOff>524933</xdr:colOff>
      <xdr:row>30</xdr:row>
      <xdr:rowOff>21167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43</xdr:col>
      <xdr:colOff>8467</xdr:colOff>
      <xdr:row>30</xdr:row>
      <xdr:rowOff>182033</xdr:rowOff>
    </xdr:from>
    <xdr:to>
      <xdr:col>48</xdr:col>
      <xdr:colOff>431800</xdr:colOff>
      <xdr:row>45</xdr:row>
      <xdr:rowOff>4233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48</xdr:col>
      <xdr:colOff>16934</xdr:colOff>
      <xdr:row>16</xdr:row>
      <xdr:rowOff>4234</xdr:rowOff>
    </xdr:from>
    <xdr:to>
      <xdr:col>53</xdr:col>
      <xdr:colOff>440267</xdr:colOff>
      <xdr:row>30</xdr:row>
      <xdr:rowOff>21167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43</xdr:col>
      <xdr:colOff>0</xdr:colOff>
      <xdr:row>46</xdr:row>
      <xdr:rowOff>21167</xdr:rowOff>
    </xdr:from>
    <xdr:to>
      <xdr:col>48</xdr:col>
      <xdr:colOff>423333</xdr:colOff>
      <xdr:row>60</xdr:row>
      <xdr:rowOff>38100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48</xdr:col>
      <xdr:colOff>795867</xdr:colOff>
      <xdr:row>30</xdr:row>
      <xdr:rowOff>190501</xdr:rowOff>
    </xdr:from>
    <xdr:to>
      <xdr:col>54</xdr:col>
      <xdr:colOff>389467</xdr:colOff>
      <xdr:row>45</xdr:row>
      <xdr:rowOff>12701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49</xdr:col>
      <xdr:colOff>8467</xdr:colOff>
      <xdr:row>46</xdr:row>
      <xdr:rowOff>12701</xdr:rowOff>
    </xdr:from>
    <xdr:to>
      <xdr:col>54</xdr:col>
      <xdr:colOff>431800</xdr:colOff>
      <xdr:row>60</xdr:row>
      <xdr:rowOff>29634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54</xdr:col>
      <xdr:colOff>33867</xdr:colOff>
      <xdr:row>16</xdr:row>
      <xdr:rowOff>4234</xdr:rowOff>
    </xdr:from>
    <xdr:to>
      <xdr:col>59</xdr:col>
      <xdr:colOff>457200</xdr:colOff>
      <xdr:row>30</xdr:row>
      <xdr:rowOff>21167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55</xdr:col>
      <xdr:colOff>16934</xdr:colOff>
      <xdr:row>30</xdr:row>
      <xdr:rowOff>182033</xdr:rowOff>
    </xdr:from>
    <xdr:to>
      <xdr:col>60</xdr:col>
      <xdr:colOff>440267</xdr:colOff>
      <xdr:row>45</xdr:row>
      <xdr:rowOff>4233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54</xdr:col>
      <xdr:colOff>812801</xdr:colOff>
      <xdr:row>46</xdr:row>
      <xdr:rowOff>38101</xdr:rowOff>
    </xdr:from>
    <xdr:to>
      <xdr:col>60</xdr:col>
      <xdr:colOff>406401</xdr:colOff>
      <xdr:row>60</xdr:row>
      <xdr:rowOff>55034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59</xdr:col>
      <xdr:colOff>821266</xdr:colOff>
      <xdr:row>16</xdr:row>
      <xdr:rowOff>12700</xdr:rowOff>
    </xdr:from>
    <xdr:to>
      <xdr:col>65</xdr:col>
      <xdr:colOff>414866</xdr:colOff>
      <xdr:row>30</xdr:row>
      <xdr:rowOff>29633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61</xdr:col>
      <xdr:colOff>8467</xdr:colOff>
      <xdr:row>31</xdr:row>
      <xdr:rowOff>12700</xdr:rowOff>
    </xdr:from>
    <xdr:to>
      <xdr:col>66</xdr:col>
      <xdr:colOff>431800</xdr:colOff>
      <xdr:row>45</xdr:row>
      <xdr:rowOff>29633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66</xdr:col>
      <xdr:colOff>50800</xdr:colOff>
      <xdr:row>16</xdr:row>
      <xdr:rowOff>4234</xdr:rowOff>
    </xdr:from>
    <xdr:to>
      <xdr:col>71</xdr:col>
      <xdr:colOff>474133</xdr:colOff>
      <xdr:row>30</xdr:row>
      <xdr:rowOff>21167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67</xdr:col>
      <xdr:colOff>16934</xdr:colOff>
      <xdr:row>31</xdr:row>
      <xdr:rowOff>12700</xdr:rowOff>
    </xdr:from>
    <xdr:to>
      <xdr:col>72</xdr:col>
      <xdr:colOff>440267</xdr:colOff>
      <xdr:row>45</xdr:row>
      <xdr:rowOff>29633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65</xdr:col>
      <xdr:colOff>787400</xdr:colOff>
      <xdr:row>45</xdr:row>
      <xdr:rowOff>173567</xdr:rowOff>
    </xdr:from>
    <xdr:to>
      <xdr:col>71</xdr:col>
      <xdr:colOff>381000</xdr:colOff>
      <xdr:row>59</xdr:row>
      <xdr:rowOff>190500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72</xdr:col>
      <xdr:colOff>8467</xdr:colOff>
      <xdr:row>16</xdr:row>
      <xdr:rowOff>4234</xdr:rowOff>
    </xdr:from>
    <xdr:to>
      <xdr:col>77</xdr:col>
      <xdr:colOff>431800</xdr:colOff>
      <xdr:row>30</xdr:row>
      <xdr:rowOff>21167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72</xdr:col>
      <xdr:colOff>110066</xdr:colOff>
      <xdr:row>0</xdr:row>
      <xdr:rowOff>105833</xdr:rowOff>
    </xdr:from>
    <xdr:to>
      <xdr:col>77</xdr:col>
      <xdr:colOff>533399</xdr:colOff>
      <xdr:row>14</xdr:row>
      <xdr:rowOff>122766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25400</xdr:colOff>
      <xdr:row>46</xdr:row>
      <xdr:rowOff>4233</xdr:rowOff>
    </xdr:from>
    <xdr:to>
      <xdr:col>6</xdr:col>
      <xdr:colOff>448733</xdr:colOff>
      <xdr:row>60</xdr:row>
      <xdr:rowOff>21166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8"/>
  <sheetViews>
    <sheetView tabSelected="1" topLeftCell="D1" zoomScale="150" zoomScaleNormal="150" zoomScalePageLayoutView="150" workbookViewId="0">
      <selection activeCell="F2" sqref="F2:BS2"/>
    </sheetView>
  </sheetViews>
  <sheetFormatPr baseColWidth="10" defaultRowHeight="15" x14ac:dyDescent="0"/>
  <cols>
    <col min="2" max="3" width="13.1640625" bestFit="1" customWidth="1"/>
    <col min="4" max="39" width="11" bestFit="1" customWidth="1"/>
    <col min="40" max="40" width="11.1640625" bestFit="1" customWidth="1"/>
    <col min="41" max="51" width="11" bestFit="1" customWidth="1"/>
    <col min="52" max="52" width="11.1640625" bestFit="1" customWidth="1"/>
    <col min="53" max="59" width="11" bestFit="1" customWidth="1"/>
    <col min="60" max="60" width="11.1640625" bestFit="1" customWidth="1"/>
    <col min="61" max="71" width="11" bestFit="1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52</v>
      </c>
      <c r="H1" t="s">
        <v>20</v>
      </c>
      <c r="I1" t="s">
        <v>53</v>
      </c>
      <c r="J1" t="s">
        <v>21</v>
      </c>
      <c r="K1" t="s">
        <v>54</v>
      </c>
      <c r="L1" t="s">
        <v>22</v>
      </c>
      <c r="M1" t="s">
        <v>55</v>
      </c>
      <c r="N1" t="s">
        <v>23</v>
      </c>
      <c r="O1" t="s">
        <v>56</v>
      </c>
      <c r="P1" t="s">
        <v>24</v>
      </c>
      <c r="Q1" t="s">
        <v>57</v>
      </c>
      <c r="R1" t="s">
        <v>25</v>
      </c>
      <c r="S1" t="s">
        <v>58</v>
      </c>
      <c r="T1" t="s">
        <v>26</v>
      </c>
      <c r="U1" t="s">
        <v>59</v>
      </c>
      <c r="V1" t="s">
        <v>27</v>
      </c>
      <c r="W1" t="s">
        <v>60</v>
      </c>
      <c r="X1" t="s">
        <v>28</v>
      </c>
      <c r="Y1" t="s">
        <v>61</v>
      </c>
      <c r="Z1" t="s">
        <v>29</v>
      </c>
      <c r="AA1" t="s">
        <v>62</v>
      </c>
      <c r="AB1" t="s">
        <v>30</v>
      </c>
      <c r="AC1" t="s">
        <v>63</v>
      </c>
      <c r="AD1" t="s">
        <v>31</v>
      </c>
      <c r="AE1" t="s">
        <v>64</v>
      </c>
      <c r="AF1" t="s">
        <v>32</v>
      </c>
      <c r="AG1" t="s">
        <v>65</v>
      </c>
      <c r="AH1" t="s">
        <v>33</v>
      </c>
      <c r="AI1" t="s">
        <v>66</v>
      </c>
      <c r="AJ1" t="s">
        <v>34</v>
      </c>
      <c r="AK1" t="s">
        <v>67</v>
      </c>
      <c r="AL1" t="s">
        <v>35</v>
      </c>
      <c r="AM1" t="s">
        <v>68</v>
      </c>
      <c r="AN1" t="s">
        <v>36</v>
      </c>
      <c r="AO1" t="s">
        <v>69</v>
      </c>
      <c r="AP1" t="s">
        <v>37</v>
      </c>
      <c r="AQ1" t="s">
        <v>70</v>
      </c>
      <c r="AR1" t="s">
        <v>38</v>
      </c>
      <c r="AS1" t="s">
        <v>71</v>
      </c>
      <c r="AT1" t="s">
        <v>39</v>
      </c>
      <c r="AU1" t="s">
        <v>72</v>
      </c>
      <c r="AV1" t="s">
        <v>40</v>
      </c>
      <c r="AW1" t="s">
        <v>73</v>
      </c>
      <c r="AX1" t="s">
        <v>41</v>
      </c>
      <c r="AY1" t="s">
        <v>74</v>
      </c>
      <c r="AZ1" t="s">
        <v>42</v>
      </c>
      <c r="BA1" t="s">
        <v>75</v>
      </c>
      <c r="BB1" t="s">
        <v>43</v>
      </c>
      <c r="BC1" t="s">
        <v>76</v>
      </c>
      <c r="BD1" t="s">
        <v>44</v>
      </c>
      <c r="BE1" t="s">
        <v>77</v>
      </c>
      <c r="BF1" t="s">
        <v>45</v>
      </c>
      <c r="BG1" t="s">
        <v>78</v>
      </c>
      <c r="BH1" t="s">
        <v>46</v>
      </c>
      <c r="BI1" t="s">
        <v>79</v>
      </c>
      <c r="BJ1" t="s">
        <v>47</v>
      </c>
      <c r="BK1" t="s">
        <v>80</v>
      </c>
      <c r="BL1" t="s">
        <v>48</v>
      </c>
      <c r="BM1" t="s">
        <v>81</v>
      </c>
      <c r="BN1" t="s">
        <v>49</v>
      </c>
      <c r="BO1" t="s">
        <v>82</v>
      </c>
      <c r="BP1" t="s">
        <v>50</v>
      </c>
      <c r="BQ1" t="s">
        <v>83</v>
      </c>
      <c r="BR1" t="s">
        <v>51</v>
      </c>
      <c r="BS1" t="s">
        <v>84</v>
      </c>
    </row>
    <row r="2" spans="1:71">
      <c r="A2" t="s">
        <v>6</v>
      </c>
      <c r="B2">
        <v>408462</v>
      </c>
      <c r="C2">
        <v>396773</v>
      </c>
      <c r="D2">
        <v>1793</v>
      </c>
      <c r="E2">
        <v>321</v>
      </c>
      <c r="F2" s="1">
        <v>24</v>
      </c>
      <c r="G2" s="1"/>
      <c r="H2" s="1">
        <v>2</v>
      </c>
      <c r="I2" s="1"/>
      <c r="J2" s="1">
        <v>19</v>
      </c>
      <c r="K2" s="1"/>
      <c r="L2" s="1">
        <v>338</v>
      </c>
      <c r="M2" s="1"/>
      <c r="N2" s="2">
        <v>1107</v>
      </c>
      <c r="O2" s="2"/>
      <c r="P2" s="1">
        <v>432</v>
      </c>
      <c r="Q2" s="1"/>
      <c r="R2" s="1">
        <v>536</v>
      </c>
      <c r="S2" s="1"/>
      <c r="T2" s="1">
        <v>130</v>
      </c>
      <c r="U2" s="1"/>
      <c r="V2" s="1">
        <v>20</v>
      </c>
      <c r="W2" s="1"/>
      <c r="X2" s="1">
        <v>943</v>
      </c>
      <c r="Y2" s="1"/>
      <c r="Z2" s="1">
        <v>46</v>
      </c>
      <c r="AA2" s="1"/>
      <c r="AB2" s="1">
        <v>50</v>
      </c>
      <c r="AC2" s="1"/>
      <c r="AD2" s="1">
        <v>3</v>
      </c>
      <c r="AE2" s="1"/>
      <c r="AF2" s="1">
        <v>156</v>
      </c>
      <c r="AG2" s="1"/>
      <c r="AH2" s="1">
        <v>258</v>
      </c>
      <c r="AI2" s="1"/>
      <c r="AJ2" s="1">
        <v>77</v>
      </c>
      <c r="AK2" s="1"/>
      <c r="AL2" s="1">
        <v>168</v>
      </c>
      <c r="AM2" s="1"/>
      <c r="AN2" s="1">
        <v>80</v>
      </c>
      <c r="AO2" s="1"/>
      <c r="AP2" s="2">
        <v>1275</v>
      </c>
      <c r="AQ2" s="2"/>
      <c r="AR2" s="1">
        <v>649</v>
      </c>
      <c r="AS2" s="1">
        <v>630</v>
      </c>
      <c r="AT2" s="1"/>
      <c r="AU2" s="1">
        <v>2</v>
      </c>
      <c r="AV2" s="1"/>
      <c r="AW2" s="1">
        <v>-1</v>
      </c>
      <c r="AX2" s="1"/>
      <c r="AY2" s="1">
        <v>392</v>
      </c>
      <c r="AZ2" s="1"/>
      <c r="BA2" s="1">
        <v>59</v>
      </c>
      <c r="BB2" s="1"/>
      <c r="BC2" s="2">
        <v>1524</v>
      </c>
      <c r="BD2" s="2"/>
      <c r="BE2" s="1">
        <v>60</v>
      </c>
      <c r="BF2" s="1"/>
      <c r="BG2" s="1">
        <v>95</v>
      </c>
      <c r="BH2" s="1"/>
      <c r="BI2" s="2">
        <v>6103</v>
      </c>
      <c r="BJ2" s="2"/>
      <c r="BK2" s="1">
        <v>-1</v>
      </c>
      <c r="BL2" s="1"/>
      <c r="BM2" s="1">
        <v>-1</v>
      </c>
      <c r="BN2" s="1"/>
      <c r="BO2" s="3">
        <v>-1</v>
      </c>
      <c r="BP2" s="3"/>
      <c r="BQ2" s="2">
        <v>1488</v>
      </c>
      <c r="BR2" s="2"/>
      <c r="BS2" s="2">
        <v>1118</v>
      </c>
    </row>
    <row r="3" spans="1:71">
      <c r="A3" t="s">
        <v>7</v>
      </c>
      <c r="B3">
        <v>12312</v>
      </c>
      <c r="C3">
        <v>16237</v>
      </c>
      <c r="D3">
        <v>56</v>
      </c>
      <c r="E3">
        <v>8</v>
      </c>
      <c r="F3">
        <v>3</v>
      </c>
      <c r="G3">
        <v>2</v>
      </c>
      <c r="H3">
        <v>2</v>
      </c>
      <c r="I3">
        <v>-1</v>
      </c>
      <c r="J3">
        <v>1</v>
      </c>
      <c r="K3">
        <v>0</v>
      </c>
      <c r="L3">
        <v>13</v>
      </c>
      <c r="M3">
        <v>0</v>
      </c>
      <c r="N3">
        <v>71</v>
      </c>
      <c r="O3">
        <v>16</v>
      </c>
      <c r="P3">
        <v>67</v>
      </c>
      <c r="Q3">
        <v>12</v>
      </c>
      <c r="R3">
        <v>225</v>
      </c>
      <c r="S3">
        <v>120</v>
      </c>
      <c r="T3">
        <v>3</v>
      </c>
      <c r="U3">
        <v>1</v>
      </c>
      <c r="V3">
        <v>193</v>
      </c>
      <c r="W3">
        <v>73</v>
      </c>
      <c r="X3">
        <v>5</v>
      </c>
      <c r="Y3">
        <v>5</v>
      </c>
      <c r="Z3">
        <v>6</v>
      </c>
      <c r="AA3">
        <v>2</v>
      </c>
      <c r="AB3">
        <v>-1</v>
      </c>
      <c r="AC3">
        <v>-1</v>
      </c>
      <c r="AD3">
        <v>33</v>
      </c>
      <c r="AE3">
        <v>3</v>
      </c>
      <c r="AF3">
        <v>46</v>
      </c>
      <c r="AG3">
        <v>7</v>
      </c>
      <c r="AH3">
        <v>7</v>
      </c>
      <c r="AI3">
        <v>1</v>
      </c>
      <c r="AJ3">
        <v>-1</v>
      </c>
      <c r="AK3">
        <v>-1</v>
      </c>
      <c r="AL3">
        <v>32</v>
      </c>
      <c r="AM3">
        <v>2</v>
      </c>
      <c r="AN3">
        <v>287</v>
      </c>
      <c r="AO3">
        <v>65</v>
      </c>
      <c r="AP3">
        <v>42</v>
      </c>
      <c r="AQ3">
        <v>9</v>
      </c>
      <c r="AR3">
        <v>245</v>
      </c>
      <c r="AS3">
        <v>56</v>
      </c>
      <c r="AT3">
        <v>-1</v>
      </c>
      <c r="AU3">
        <v>-1</v>
      </c>
      <c r="AV3">
        <v>7</v>
      </c>
      <c r="AW3">
        <v>14</v>
      </c>
      <c r="AX3">
        <v>145</v>
      </c>
      <c r="AY3">
        <v>61</v>
      </c>
      <c r="AZ3">
        <v>221</v>
      </c>
      <c r="BA3">
        <v>97</v>
      </c>
      <c r="BB3">
        <v>418</v>
      </c>
      <c r="BC3">
        <v>52</v>
      </c>
      <c r="BD3">
        <v>23</v>
      </c>
      <c r="BE3">
        <v>12</v>
      </c>
      <c r="BF3">
        <v>-1</v>
      </c>
      <c r="BG3">
        <v>-1</v>
      </c>
      <c r="BH3">
        <v>746</v>
      </c>
      <c r="BI3">
        <v>223</v>
      </c>
      <c r="BJ3">
        <v>-1</v>
      </c>
      <c r="BK3">
        <v>-1</v>
      </c>
      <c r="BL3">
        <v>10</v>
      </c>
      <c r="BM3">
        <v>9</v>
      </c>
      <c r="BN3">
        <v>-1</v>
      </c>
      <c r="BO3">
        <v>-1</v>
      </c>
      <c r="BP3">
        <v>88</v>
      </c>
      <c r="BQ3">
        <v>18</v>
      </c>
      <c r="BR3">
        <v>309</v>
      </c>
      <c r="BS3">
        <v>151</v>
      </c>
    </row>
    <row r="4" spans="1:71">
      <c r="A4" t="s">
        <v>8</v>
      </c>
      <c r="B4">
        <v>292249</v>
      </c>
      <c r="C4">
        <v>328712</v>
      </c>
      <c r="D4">
        <v>2072</v>
      </c>
      <c r="E4">
        <v>383</v>
      </c>
      <c r="F4">
        <v>73</v>
      </c>
      <c r="G4">
        <v>6</v>
      </c>
      <c r="H4">
        <v>-1</v>
      </c>
      <c r="I4">
        <v>-1</v>
      </c>
      <c r="J4">
        <v>105</v>
      </c>
      <c r="K4">
        <v>0</v>
      </c>
      <c r="L4">
        <v>733</v>
      </c>
      <c r="M4">
        <v>114</v>
      </c>
      <c r="N4">
        <v>841</v>
      </c>
      <c r="O4">
        <v>289</v>
      </c>
      <c r="P4">
        <v>1309</v>
      </c>
      <c r="Q4">
        <v>230</v>
      </c>
      <c r="R4">
        <v>1092</v>
      </c>
      <c r="S4">
        <v>447</v>
      </c>
      <c r="T4">
        <v>57</v>
      </c>
      <c r="U4">
        <v>18</v>
      </c>
      <c r="V4">
        <v>5156</v>
      </c>
      <c r="W4">
        <v>1974</v>
      </c>
      <c r="X4">
        <v>91</v>
      </c>
      <c r="Y4">
        <v>33</v>
      </c>
      <c r="Z4">
        <v>23</v>
      </c>
      <c r="AA4">
        <v>29</v>
      </c>
      <c r="AB4">
        <v>-1</v>
      </c>
      <c r="AC4">
        <v>-1</v>
      </c>
      <c r="AD4">
        <v>-1</v>
      </c>
      <c r="AE4">
        <v>-1</v>
      </c>
      <c r="AF4">
        <v>417</v>
      </c>
      <c r="AG4">
        <v>158</v>
      </c>
      <c r="AH4">
        <v>961</v>
      </c>
      <c r="AI4">
        <v>110</v>
      </c>
      <c r="AJ4">
        <v>154</v>
      </c>
      <c r="AK4">
        <v>598</v>
      </c>
      <c r="AL4">
        <v>118</v>
      </c>
      <c r="AM4">
        <v>19</v>
      </c>
      <c r="AN4">
        <v>15119</v>
      </c>
      <c r="AO4">
        <v>2292</v>
      </c>
      <c r="AP4">
        <v>4423</v>
      </c>
      <c r="AQ4">
        <v>479</v>
      </c>
      <c r="AR4">
        <v>10696</v>
      </c>
      <c r="AS4">
        <v>1813</v>
      </c>
      <c r="AT4">
        <v>130</v>
      </c>
      <c r="AU4">
        <v>5</v>
      </c>
      <c r="AV4">
        <v>56</v>
      </c>
      <c r="AW4">
        <v>36</v>
      </c>
      <c r="AX4">
        <v>86</v>
      </c>
      <c r="AY4">
        <v>18</v>
      </c>
      <c r="AZ4">
        <v>46</v>
      </c>
      <c r="BA4">
        <v>13</v>
      </c>
      <c r="BB4">
        <v>-1</v>
      </c>
      <c r="BC4">
        <v>-1</v>
      </c>
      <c r="BD4">
        <v>967</v>
      </c>
      <c r="BE4">
        <v>400</v>
      </c>
      <c r="BF4">
        <v>64</v>
      </c>
      <c r="BG4">
        <v>3</v>
      </c>
      <c r="BH4">
        <v>12718</v>
      </c>
      <c r="BI4">
        <v>2783</v>
      </c>
      <c r="BJ4">
        <v>-1</v>
      </c>
      <c r="BK4">
        <v>-1</v>
      </c>
      <c r="BL4">
        <v>153</v>
      </c>
      <c r="BM4">
        <v>20</v>
      </c>
      <c r="BN4">
        <v>-1</v>
      </c>
      <c r="BO4">
        <v>-1</v>
      </c>
      <c r="BP4">
        <v>1752</v>
      </c>
      <c r="BQ4">
        <v>409</v>
      </c>
      <c r="BR4">
        <v>3018</v>
      </c>
      <c r="BS4">
        <v>780</v>
      </c>
    </row>
    <row r="5" spans="1:71">
      <c r="A5" t="s">
        <v>9</v>
      </c>
      <c r="B5">
        <v>40161</v>
      </c>
      <c r="C5">
        <v>43162</v>
      </c>
      <c r="D5">
        <v>100</v>
      </c>
      <c r="E5">
        <v>55</v>
      </c>
      <c r="F5">
        <v>3</v>
      </c>
      <c r="G5">
        <v>2</v>
      </c>
      <c r="H5">
        <v>2</v>
      </c>
      <c r="I5">
        <v>0</v>
      </c>
      <c r="J5">
        <v>1</v>
      </c>
      <c r="K5">
        <v>0</v>
      </c>
      <c r="L5">
        <v>13</v>
      </c>
      <c r="M5">
        <v>0</v>
      </c>
      <c r="N5">
        <v>71</v>
      </c>
      <c r="O5">
        <v>16</v>
      </c>
      <c r="P5">
        <v>67</v>
      </c>
      <c r="Q5">
        <v>12</v>
      </c>
      <c r="R5">
        <v>225</v>
      </c>
      <c r="S5">
        <v>120</v>
      </c>
      <c r="T5">
        <v>3</v>
      </c>
      <c r="U5">
        <v>1</v>
      </c>
      <c r="V5">
        <v>193</v>
      </c>
      <c r="W5">
        <v>73</v>
      </c>
      <c r="X5">
        <v>5</v>
      </c>
      <c r="Y5">
        <v>5</v>
      </c>
      <c r="Z5">
        <v>6</v>
      </c>
      <c r="AA5">
        <v>2</v>
      </c>
      <c r="AB5">
        <v>-1</v>
      </c>
      <c r="AC5">
        <v>-1</v>
      </c>
      <c r="AD5">
        <v>33</v>
      </c>
      <c r="AE5">
        <v>3</v>
      </c>
      <c r="AF5">
        <v>46</v>
      </c>
      <c r="AG5">
        <v>7</v>
      </c>
      <c r="AH5">
        <v>7</v>
      </c>
      <c r="AI5">
        <v>1</v>
      </c>
      <c r="AJ5">
        <v>-1</v>
      </c>
      <c r="AK5">
        <v>-1</v>
      </c>
      <c r="AL5">
        <v>32</v>
      </c>
      <c r="AM5">
        <v>2</v>
      </c>
      <c r="AN5">
        <v>287</v>
      </c>
      <c r="AO5">
        <v>65</v>
      </c>
      <c r="AP5">
        <v>42</v>
      </c>
      <c r="AQ5">
        <v>9</v>
      </c>
      <c r="AR5">
        <v>245</v>
      </c>
      <c r="AS5">
        <v>56</v>
      </c>
      <c r="AT5">
        <v>-1</v>
      </c>
      <c r="AU5">
        <v>-1</v>
      </c>
      <c r="AV5">
        <v>7</v>
      </c>
      <c r="AW5">
        <v>14</v>
      </c>
      <c r="AX5">
        <v>145</v>
      </c>
      <c r="AY5">
        <v>61</v>
      </c>
      <c r="AZ5">
        <v>221</v>
      </c>
      <c r="BA5">
        <v>97</v>
      </c>
      <c r="BB5">
        <v>418</v>
      </c>
      <c r="BC5">
        <v>52</v>
      </c>
      <c r="BD5">
        <v>23</v>
      </c>
      <c r="BE5">
        <v>12</v>
      </c>
      <c r="BF5">
        <v>-1</v>
      </c>
      <c r="BG5">
        <v>-1</v>
      </c>
      <c r="BH5">
        <v>746</v>
      </c>
      <c r="BI5">
        <v>223</v>
      </c>
      <c r="BJ5">
        <v>-1</v>
      </c>
      <c r="BK5">
        <v>-1</v>
      </c>
      <c r="BL5">
        <v>10</v>
      </c>
      <c r="BM5">
        <v>9</v>
      </c>
      <c r="BN5">
        <v>-1</v>
      </c>
      <c r="BO5">
        <v>-1</v>
      </c>
      <c r="BP5">
        <v>88</v>
      </c>
      <c r="BQ5">
        <v>18</v>
      </c>
      <c r="BR5">
        <v>309</v>
      </c>
      <c r="BS5">
        <v>151</v>
      </c>
    </row>
    <row r="6" spans="1:71">
      <c r="A6" t="s">
        <v>10</v>
      </c>
      <c r="B6">
        <v>337679</v>
      </c>
      <c r="C6">
        <v>376098</v>
      </c>
      <c r="D6">
        <v>2241</v>
      </c>
      <c r="E6">
        <v>829</v>
      </c>
      <c r="F6">
        <v>29</v>
      </c>
      <c r="G6">
        <v>4</v>
      </c>
      <c r="H6">
        <v>-1</v>
      </c>
      <c r="I6">
        <v>-1</v>
      </c>
      <c r="J6">
        <v>45</v>
      </c>
      <c r="K6">
        <v>0</v>
      </c>
      <c r="L6">
        <v>498</v>
      </c>
      <c r="M6">
        <v>52</v>
      </c>
      <c r="N6">
        <v>1176</v>
      </c>
      <c r="O6">
        <v>560</v>
      </c>
      <c r="P6">
        <v>855</v>
      </c>
      <c r="Q6">
        <v>66</v>
      </c>
      <c r="R6">
        <v>427</v>
      </c>
      <c r="S6">
        <v>81</v>
      </c>
      <c r="T6">
        <v>34</v>
      </c>
      <c r="U6">
        <v>4</v>
      </c>
      <c r="V6">
        <v>1711</v>
      </c>
      <c r="W6">
        <v>398</v>
      </c>
      <c r="X6">
        <v>40</v>
      </c>
      <c r="Y6">
        <v>13</v>
      </c>
      <c r="Z6">
        <v>89</v>
      </c>
      <c r="AA6">
        <v>46</v>
      </c>
      <c r="AB6">
        <v>1</v>
      </c>
      <c r="AC6">
        <v>5</v>
      </c>
      <c r="AD6">
        <v>187</v>
      </c>
      <c r="AE6">
        <v>21</v>
      </c>
      <c r="AF6">
        <v>190</v>
      </c>
      <c r="AG6">
        <v>58</v>
      </c>
      <c r="AH6">
        <v>1384</v>
      </c>
      <c r="AI6">
        <v>68</v>
      </c>
      <c r="AJ6">
        <v>3</v>
      </c>
      <c r="AK6">
        <v>3</v>
      </c>
      <c r="AL6">
        <v>53</v>
      </c>
      <c r="AM6">
        <v>0</v>
      </c>
      <c r="AN6">
        <v>2719</v>
      </c>
      <c r="AO6">
        <v>193</v>
      </c>
      <c r="AP6">
        <v>589</v>
      </c>
      <c r="AQ6">
        <v>47</v>
      </c>
      <c r="AR6">
        <v>2127</v>
      </c>
      <c r="AS6">
        <v>146</v>
      </c>
      <c r="AT6">
        <v>2</v>
      </c>
      <c r="AU6">
        <v>0</v>
      </c>
      <c r="AV6">
        <v>12</v>
      </c>
      <c r="AW6">
        <v>5</v>
      </c>
      <c r="AX6">
        <v>627</v>
      </c>
      <c r="AY6">
        <v>188</v>
      </c>
      <c r="AZ6">
        <v>2</v>
      </c>
      <c r="BA6">
        <v>0</v>
      </c>
      <c r="BB6">
        <v>3</v>
      </c>
      <c r="BC6">
        <v>1</v>
      </c>
      <c r="BD6">
        <v>510</v>
      </c>
      <c r="BE6">
        <v>289</v>
      </c>
      <c r="BF6">
        <v>27</v>
      </c>
      <c r="BG6">
        <v>6</v>
      </c>
      <c r="BH6">
        <v>2331</v>
      </c>
      <c r="BI6">
        <v>326</v>
      </c>
      <c r="BJ6">
        <v>-1</v>
      </c>
      <c r="BK6">
        <v>-1</v>
      </c>
      <c r="BL6">
        <v>27</v>
      </c>
      <c r="BM6">
        <v>9</v>
      </c>
      <c r="BN6">
        <v>-1</v>
      </c>
      <c r="BO6">
        <v>-1</v>
      </c>
      <c r="BP6">
        <v>1748</v>
      </c>
      <c r="BQ6">
        <v>616</v>
      </c>
      <c r="BR6">
        <v>1814</v>
      </c>
      <c r="BS6">
        <v>223</v>
      </c>
    </row>
    <row r="7" spans="1:71">
      <c r="A7" t="s">
        <v>11</v>
      </c>
      <c r="B7">
        <v>719813</v>
      </c>
      <c r="C7">
        <v>806193</v>
      </c>
      <c r="D7">
        <v>4998</v>
      </c>
      <c r="E7">
        <v>1666</v>
      </c>
      <c r="F7">
        <v>242</v>
      </c>
      <c r="G7">
        <v>16</v>
      </c>
      <c r="H7">
        <v>12</v>
      </c>
      <c r="I7">
        <v>0</v>
      </c>
      <c r="J7">
        <v>318</v>
      </c>
      <c r="K7">
        <v>0</v>
      </c>
      <c r="L7">
        <v>2671</v>
      </c>
      <c r="M7">
        <v>428</v>
      </c>
      <c r="N7">
        <v>3313</v>
      </c>
      <c r="O7">
        <v>1494</v>
      </c>
      <c r="P7">
        <v>1587</v>
      </c>
      <c r="Q7">
        <v>182</v>
      </c>
      <c r="R7">
        <v>4522</v>
      </c>
      <c r="S7">
        <v>2651</v>
      </c>
      <c r="T7">
        <v>63</v>
      </c>
      <c r="U7">
        <v>29</v>
      </c>
      <c r="V7">
        <v>3925</v>
      </c>
      <c r="W7">
        <v>1083</v>
      </c>
      <c r="X7">
        <v>98</v>
      </c>
      <c r="Y7">
        <v>28</v>
      </c>
      <c r="Z7">
        <v>414</v>
      </c>
      <c r="AA7">
        <v>209</v>
      </c>
      <c r="AB7">
        <v>99</v>
      </c>
      <c r="AC7">
        <v>80</v>
      </c>
      <c r="AD7">
        <v>55</v>
      </c>
      <c r="AE7">
        <v>12</v>
      </c>
      <c r="AF7">
        <v>432</v>
      </c>
      <c r="AG7">
        <v>90</v>
      </c>
      <c r="AH7">
        <v>1338</v>
      </c>
      <c r="AI7">
        <v>187</v>
      </c>
      <c r="AJ7">
        <v>285</v>
      </c>
      <c r="AK7">
        <v>970</v>
      </c>
      <c r="AL7">
        <v>502</v>
      </c>
      <c r="AM7">
        <v>15</v>
      </c>
      <c r="AN7">
        <v>15751</v>
      </c>
      <c r="AO7">
        <v>2143</v>
      </c>
      <c r="AP7">
        <v>7542</v>
      </c>
      <c r="AQ7">
        <v>847</v>
      </c>
      <c r="AR7">
        <v>8209</v>
      </c>
      <c r="AS7">
        <v>1296</v>
      </c>
      <c r="AT7">
        <v>88</v>
      </c>
      <c r="AU7">
        <v>16</v>
      </c>
      <c r="AV7">
        <v>16</v>
      </c>
      <c r="AW7">
        <v>34</v>
      </c>
      <c r="AX7">
        <v>3863</v>
      </c>
      <c r="AY7">
        <v>828</v>
      </c>
      <c r="AZ7">
        <v>492</v>
      </c>
      <c r="BA7">
        <v>126</v>
      </c>
      <c r="BB7">
        <v>299</v>
      </c>
      <c r="BC7">
        <v>43</v>
      </c>
      <c r="BD7">
        <v>3222</v>
      </c>
      <c r="BE7">
        <v>1043</v>
      </c>
      <c r="BF7">
        <v>389</v>
      </c>
      <c r="BG7">
        <v>35</v>
      </c>
      <c r="BH7">
        <v>13100</v>
      </c>
      <c r="BI7">
        <v>2367</v>
      </c>
      <c r="BJ7">
        <v>-1</v>
      </c>
      <c r="BK7">
        <v>-1</v>
      </c>
      <c r="BL7">
        <v>11710</v>
      </c>
      <c r="BM7">
        <v>3069</v>
      </c>
      <c r="BN7">
        <v>-1</v>
      </c>
      <c r="BO7">
        <v>-1</v>
      </c>
      <c r="BP7">
        <v>6544</v>
      </c>
      <c r="BQ7">
        <v>1938</v>
      </c>
      <c r="BR7">
        <v>7016</v>
      </c>
      <c r="BS7">
        <v>2980</v>
      </c>
    </row>
    <row r="8" spans="1:71">
      <c r="A8" t="s">
        <v>12</v>
      </c>
      <c r="B8">
        <v>1308072</v>
      </c>
      <c r="C8">
        <v>1387526</v>
      </c>
      <c r="D8">
        <v>10368</v>
      </c>
      <c r="E8">
        <v>3097</v>
      </c>
      <c r="F8">
        <v>285</v>
      </c>
      <c r="G8">
        <v>26</v>
      </c>
      <c r="H8">
        <v>12</v>
      </c>
      <c r="I8">
        <v>3</v>
      </c>
      <c r="J8">
        <v>373</v>
      </c>
      <c r="K8">
        <v>0</v>
      </c>
      <c r="L8">
        <v>2216</v>
      </c>
      <c r="M8">
        <v>181</v>
      </c>
      <c r="N8">
        <v>2666</v>
      </c>
      <c r="O8">
        <v>584</v>
      </c>
      <c r="P8">
        <v>2033</v>
      </c>
      <c r="Q8">
        <v>104</v>
      </c>
      <c r="R8">
        <v>9111</v>
      </c>
      <c r="S8">
        <v>3524</v>
      </c>
      <c r="T8">
        <v>32</v>
      </c>
      <c r="U8">
        <v>9</v>
      </c>
      <c r="V8">
        <v>13105</v>
      </c>
      <c r="W8">
        <v>4009</v>
      </c>
      <c r="X8">
        <v>95</v>
      </c>
      <c r="Y8">
        <v>57</v>
      </c>
      <c r="Z8">
        <v>145</v>
      </c>
      <c r="AA8">
        <v>40</v>
      </c>
      <c r="AB8">
        <v>1</v>
      </c>
      <c r="AC8">
        <v>0</v>
      </c>
      <c r="AD8">
        <v>7</v>
      </c>
      <c r="AE8">
        <v>6</v>
      </c>
      <c r="AF8">
        <v>2703</v>
      </c>
      <c r="AG8">
        <v>568</v>
      </c>
      <c r="AH8">
        <v>3750</v>
      </c>
      <c r="AI8">
        <v>170</v>
      </c>
      <c r="AJ8">
        <v>478</v>
      </c>
      <c r="AK8">
        <v>1634</v>
      </c>
      <c r="AL8">
        <v>517</v>
      </c>
      <c r="AM8">
        <v>24</v>
      </c>
      <c r="AN8">
        <v>31901</v>
      </c>
      <c r="AO8">
        <v>3197</v>
      </c>
      <c r="AP8">
        <v>-1</v>
      </c>
      <c r="AQ8">
        <v>-1</v>
      </c>
      <c r="AR8">
        <v>-1</v>
      </c>
      <c r="AS8">
        <v>-1</v>
      </c>
      <c r="AT8">
        <v>2449</v>
      </c>
      <c r="AU8">
        <v>17</v>
      </c>
      <c r="AV8">
        <v>93</v>
      </c>
      <c r="AW8">
        <v>125</v>
      </c>
      <c r="AX8">
        <v>3075</v>
      </c>
      <c r="AY8">
        <v>515</v>
      </c>
      <c r="AZ8">
        <v>370</v>
      </c>
      <c r="BA8">
        <v>28</v>
      </c>
      <c r="BB8">
        <v>-1</v>
      </c>
      <c r="BC8">
        <v>-1</v>
      </c>
      <c r="BD8">
        <v>9156</v>
      </c>
      <c r="BE8">
        <v>1017</v>
      </c>
      <c r="BF8">
        <v>-1</v>
      </c>
      <c r="BG8">
        <v>-1</v>
      </c>
      <c r="BH8">
        <v>12432</v>
      </c>
      <c r="BI8">
        <v>1574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5540</v>
      </c>
      <c r="BQ8">
        <v>791</v>
      </c>
      <c r="BR8">
        <v>13234</v>
      </c>
      <c r="BS8">
        <v>3960</v>
      </c>
    </row>
    <row r="9" spans="1:71">
      <c r="A9" t="s">
        <v>13</v>
      </c>
      <c r="B9">
        <v>1889064</v>
      </c>
      <c r="C9">
        <v>1903557</v>
      </c>
      <c r="D9">
        <v>7584</v>
      </c>
      <c r="E9">
        <v>1779</v>
      </c>
      <c r="F9">
        <v>145</v>
      </c>
      <c r="G9">
        <v>29</v>
      </c>
      <c r="H9">
        <v>8</v>
      </c>
      <c r="I9">
        <v>5</v>
      </c>
      <c r="J9">
        <v>198</v>
      </c>
      <c r="K9">
        <v>1</v>
      </c>
      <c r="L9">
        <v>2016</v>
      </c>
      <c r="M9">
        <v>332</v>
      </c>
      <c r="N9">
        <v>6879</v>
      </c>
      <c r="O9">
        <v>1771</v>
      </c>
      <c r="P9">
        <v>2087</v>
      </c>
      <c r="Q9">
        <v>432</v>
      </c>
      <c r="R9">
        <v>4592</v>
      </c>
      <c r="S9">
        <v>3299</v>
      </c>
      <c r="T9">
        <v>38</v>
      </c>
      <c r="U9">
        <v>10</v>
      </c>
      <c r="V9">
        <v>3348</v>
      </c>
      <c r="W9">
        <v>989</v>
      </c>
      <c r="X9">
        <v>470</v>
      </c>
      <c r="Y9">
        <v>131</v>
      </c>
      <c r="Z9">
        <v>292</v>
      </c>
      <c r="AA9">
        <v>105</v>
      </c>
      <c r="AB9">
        <v>43</v>
      </c>
      <c r="AC9">
        <v>39</v>
      </c>
      <c r="AD9">
        <v>601</v>
      </c>
      <c r="AE9">
        <v>96</v>
      </c>
      <c r="AF9">
        <v>1691</v>
      </c>
      <c r="AG9">
        <v>247</v>
      </c>
      <c r="AH9">
        <v>2251</v>
      </c>
      <c r="AI9">
        <v>178</v>
      </c>
      <c r="AJ9">
        <v>1799</v>
      </c>
      <c r="AK9">
        <v>2480</v>
      </c>
      <c r="AL9">
        <v>1145</v>
      </c>
      <c r="AM9">
        <v>109</v>
      </c>
      <c r="AN9">
        <v>9414</v>
      </c>
      <c r="AO9">
        <v>2170</v>
      </c>
      <c r="AP9">
        <v>2295</v>
      </c>
      <c r="AQ9">
        <v>372</v>
      </c>
      <c r="AR9">
        <v>7119</v>
      </c>
      <c r="AS9">
        <v>1798</v>
      </c>
      <c r="AT9">
        <v>222</v>
      </c>
      <c r="AU9">
        <v>20</v>
      </c>
      <c r="AV9">
        <v>0</v>
      </c>
      <c r="AW9">
        <v>4</v>
      </c>
      <c r="AX9">
        <v>6447</v>
      </c>
      <c r="AY9">
        <v>1479</v>
      </c>
      <c r="AZ9">
        <v>3791</v>
      </c>
      <c r="BA9">
        <v>947</v>
      </c>
      <c r="BB9">
        <v>6</v>
      </c>
      <c r="BC9">
        <v>1</v>
      </c>
      <c r="BD9">
        <v>141</v>
      </c>
      <c r="BE9">
        <v>39</v>
      </c>
      <c r="BF9">
        <v>168</v>
      </c>
      <c r="BG9">
        <v>62</v>
      </c>
      <c r="BH9">
        <v>30499</v>
      </c>
      <c r="BI9">
        <v>5159</v>
      </c>
      <c r="BJ9">
        <v>-1</v>
      </c>
      <c r="BK9">
        <v>-1</v>
      </c>
      <c r="BL9">
        <v>1283</v>
      </c>
      <c r="BM9">
        <v>497</v>
      </c>
      <c r="BN9">
        <v>-1</v>
      </c>
      <c r="BO9">
        <v>-1</v>
      </c>
      <c r="BP9">
        <v>9238</v>
      </c>
      <c r="BQ9">
        <v>2133</v>
      </c>
      <c r="BR9">
        <v>7422</v>
      </c>
      <c r="BS9">
        <v>3992</v>
      </c>
    </row>
    <row r="10" spans="1:71">
      <c r="A10" t="s">
        <v>14</v>
      </c>
      <c r="B10">
        <v>307019</v>
      </c>
      <c r="C10">
        <v>339870</v>
      </c>
      <c r="D10">
        <v>1646</v>
      </c>
      <c r="E10">
        <v>386</v>
      </c>
      <c r="F10">
        <v>59</v>
      </c>
      <c r="G10">
        <v>5</v>
      </c>
      <c r="H10">
        <v>5</v>
      </c>
      <c r="I10">
        <v>1</v>
      </c>
      <c r="J10">
        <v>101</v>
      </c>
      <c r="K10">
        <v>2</v>
      </c>
      <c r="L10">
        <v>672</v>
      </c>
      <c r="M10">
        <v>59</v>
      </c>
      <c r="N10">
        <v>1181</v>
      </c>
      <c r="O10">
        <v>458</v>
      </c>
      <c r="P10">
        <v>1339</v>
      </c>
      <c r="Q10">
        <v>105</v>
      </c>
      <c r="R10">
        <v>2824</v>
      </c>
      <c r="S10">
        <v>2147</v>
      </c>
      <c r="T10">
        <v>38</v>
      </c>
      <c r="U10">
        <v>10</v>
      </c>
      <c r="V10">
        <v>4592</v>
      </c>
      <c r="W10">
        <v>2238</v>
      </c>
      <c r="X10">
        <v>195</v>
      </c>
      <c r="Y10">
        <v>98</v>
      </c>
      <c r="Z10">
        <v>243</v>
      </c>
      <c r="AA10">
        <v>101</v>
      </c>
      <c r="AB10">
        <v>39</v>
      </c>
      <c r="AC10">
        <v>36</v>
      </c>
      <c r="AD10">
        <v>132</v>
      </c>
      <c r="AE10">
        <v>35</v>
      </c>
      <c r="AF10">
        <v>417</v>
      </c>
      <c r="AG10">
        <v>158</v>
      </c>
      <c r="AH10">
        <v>925</v>
      </c>
      <c r="AI10">
        <v>73</v>
      </c>
      <c r="AJ10">
        <v>498</v>
      </c>
      <c r="AK10">
        <v>401</v>
      </c>
      <c r="AL10">
        <v>140</v>
      </c>
      <c r="AM10">
        <v>9</v>
      </c>
      <c r="AN10">
        <v>5422</v>
      </c>
      <c r="AO10">
        <v>749</v>
      </c>
      <c r="AP10">
        <v>1668</v>
      </c>
      <c r="AQ10">
        <v>252</v>
      </c>
      <c r="AR10">
        <v>3725</v>
      </c>
      <c r="AS10">
        <v>491</v>
      </c>
      <c r="AT10">
        <v>120</v>
      </c>
      <c r="AU10">
        <v>2</v>
      </c>
      <c r="AV10">
        <v>5</v>
      </c>
      <c r="AW10">
        <v>3</v>
      </c>
      <c r="AX10">
        <v>1008</v>
      </c>
      <c r="AY10">
        <v>229</v>
      </c>
      <c r="AZ10">
        <v>1538</v>
      </c>
      <c r="BA10">
        <v>231</v>
      </c>
      <c r="BB10">
        <v>1300</v>
      </c>
      <c r="BC10">
        <v>248</v>
      </c>
      <c r="BD10">
        <v>3638</v>
      </c>
      <c r="BE10">
        <v>1341</v>
      </c>
      <c r="BF10">
        <v>4</v>
      </c>
      <c r="BG10">
        <v>2</v>
      </c>
      <c r="BH10">
        <v>9964</v>
      </c>
      <c r="BI10">
        <v>2706</v>
      </c>
      <c r="BJ10">
        <v>-1</v>
      </c>
      <c r="BK10">
        <v>-1</v>
      </c>
      <c r="BL10">
        <v>274</v>
      </c>
      <c r="BM10">
        <v>145</v>
      </c>
      <c r="BN10">
        <v>-1</v>
      </c>
      <c r="BO10">
        <v>-1</v>
      </c>
      <c r="BP10">
        <v>2013</v>
      </c>
      <c r="BQ10">
        <v>524</v>
      </c>
      <c r="BR10">
        <v>4404</v>
      </c>
      <c r="BS10">
        <v>2313</v>
      </c>
    </row>
    <row r="11" spans="1:71">
      <c r="A11" t="s">
        <v>15</v>
      </c>
      <c r="B11">
        <f>8175133-4291945</f>
        <v>3883188</v>
      </c>
      <c r="C11">
        <v>4291945</v>
      </c>
      <c r="D11">
        <v>30031</v>
      </c>
      <c r="E11">
        <v>6151</v>
      </c>
      <c r="F11">
        <v>574</v>
      </c>
      <c r="G11">
        <v>47</v>
      </c>
      <c r="H11">
        <v>12</v>
      </c>
      <c r="I11">
        <v>3</v>
      </c>
      <c r="J11">
        <v>919</v>
      </c>
      <c r="K11">
        <v>11</v>
      </c>
      <c r="L11">
        <v>11231</v>
      </c>
      <c r="M11">
        <v>1223</v>
      </c>
      <c r="N11">
        <v>15374</v>
      </c>
      <c r="O11">
        <v>4197</v>
      </c>
      <c r="P11">
        <v>4628</v>
      </c>
      <c r="Q11">
        <v>453</v>
      </c>
      <c r="R11">
        <v>15151</v>
      </c>
      <c r="S11">
        <v>7644</v>
      </c>
      <c r="T11">
        <v>141</v>
      </c>
      <c r="U11">
        <v>29</v>
      </c>
      <c r="V11">
        <v>23107</v>
      </c>
      <c r="W11">
        <v>6126</v>
      </c>
      <c r="X11">
        <v>6938</v>
      </c>
      <c r="Y11">
        <v>670</v>
      </c>
      <c r="Z11">
        <v>18538</v>
      </c>
      <c r="AA11">
        <v>3758</v>
      </c>
      <c r="AB11">
        <v>240</v>
      </c>
      <c r="AC11">
        <v>193</v>
      </c>
      <c r="AD11">
        <v>2358</v>
      </c>
      <c r="AE11">
        <v>298</v>
      </c>
      <c r="AF11">
        <v>7614</v>
      </c>
      <c r="AG11">
        <v>1029</v>
      </c>
      <c r="AH11">
        <v>8658</v>
      </c>
      <c r="AI11">
        <v>1169</v>
      </c>
      <c r="AJ11">
        <v>3225</v>
      </c>
      <c r="AK11">
        <v>5151</v>
      </c>
      <c r="AL11">
        <v>5287</v>
      </c>
      <c r="AM11">
        <v>138</v>
      </c>
      <c r="AN11">
        <v>100696</v>
      </c>
      <c r="AO11">
        <v>15748</v>
      </c>
      <c r="AP11">
        <v>27000</v>
      </c>
      <c r="AQ11">
        <v>4117</v>
      </c>
      <c r="AR11">
        <v>73696</v>
      </c>
      <c r="AS11">
        <v>11631</v>
      </c>
      <c r="AT11">
        <v>4861</v>
      </c>
      <c r="AU11">
        <v>724</v>
      </c>
      <c r="AV11">
        <v>35</v>
      </c>
      <c r="AW11">
        <v>28</v>
      </c>
      <c r="AX11">
        <v>4135</v>
      </c>
      <c r="AY11">
        <v>243</v>
      </c>
      <c r="AZ11">
        <v>140927</v>
      </c>
      <c r="BA11">
        <v>16040</v>
      </c>
      <c r="BB11">
        <v>-1</v>
      </c>
      <c r="BC11">
        <v>-1</v>
      </c>
      <c r="BD11">
        <v>47057</v>
      </c>
      <c r="BE11">
        <v>10369</v>
      </c>
      <c r="BF11">
        <v>3280</v>
      </c>
      <c r="BG11">
        <v>2895</v>
      </c>
      <c r="BH11">
        <v>299713</v>
      </c>
      <c r="BI11">
        <v>32553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28098</v>
      </c>
      <c r="BQ11">
        <v>5478</v>
      </c>
      <c r="BR11">
        <v>23097</v>
      </c>
      <c r="BS11">
        <v>8439</v>
      </c>
    </row>
    <row r="12" spans="1:71">
      <c r="A12" t="s">
        <v>16</v>
      </c>
      <c r="B12">
        <v>598962</v>
      </c>
      <c r="C12">
        <v>598854</v>
      </c>
      <c r="D12">
        <v>2573</v>
      </c>
      <c r="E12">
        <v>527</v>
      </c>
      <c r="F12">
        <v>7</v>
      </c>
      <c r="G12">
        <v>4</v>
      </c>
      <c r="H12">
        <v>10</v>
      </c>
      <c r="I12">
        <v>0</v>
      </c>
      <c r="J12">
        <v>92</v>
      </c>
      <c r="K12">
        <v>0</v>
      </c>
      <c r="L12">
        <v>337</v>
      </c>
      <c r="M12">
        <v>44</v>
      </c>
      <c r="N12">
        <v>922</v>
      </c>
      <c r="O12">
        <v>369</v>
      </c>
      <c r="P12">
        <v>669</v>
      </c>
      <c r="Q12">
        <v>62</v>
      </c>
      <c r="R12">
        <v>2562</v>
      </c>
      <c r="S12">
        <v>1652</v>
      </c>
      <c r="T12">
        <v>1</v>
      </c>
      <c r="U12">
        <v>1</v>
      </c>
      <c r="V12">
        <v>3592</v>
      </c>
      <c r="W12">
        <v>935</v>
      </c>
      <c r="X12">
        <v>228</v>
      </c>
      <c r="Y12">
        <v>97</v>
      </c>
      <c r="Z12">
        <v>118</v>
      </c>
      <c r="AA12">
        <v>43</v>
      </c>
      <c r="AB12">
        <v>1</v>
      </c>
      <c r="AC12">
        <v>0</v>
      </c>
      <c r="AD12">
        <v>16</v>
      </c>
      <c r="AE12">
        <v>1</v>
      </c>
      <c r="AF12">
        <v>181</v>
      </c>
      <c r="AG12">
        <v>49</v>
      </c>
      <c r="AH12">
        <v>761</v>
      </c>
      <c r="AI12">
        <v>59</v>
      </c>
      <c r="AJ12">
        <v>409</v>
      </c>
      <c r="AK12">
        <v>1278</v>
      </c>
      <c r="AL12">
        <v>187</v>
      </c>
      <c r="AM12">
        <v>11</v>
      </c>
      <c r="AN12">
        <v>4928</v>
      </c>
      <c r="AO12">
        <v>1005</v>
      </c>
      <c r="AP12">
        <v>549</v>
      </c>
      <c r="AQ12">
        <v>82</v>
      </c>
      <c r="AR12">
        <v>4379</v>
      </c>
      <c r="AS12">
        <v>923</v>
      </c>
      <c r="AT12">
        <v>3</v>
      </c>
      <c r="AU12">
        <v>0</v>
      </c>
      <c r="AV12">
        <v>86</v>
      </c>
      <c r="AW12">
        <v>41</v>
      </c>
      <c r="AX12">
        <v>1523</v>
      </c>
      <c r="AY12">
        <v>321</v>
      </c>
      <c r="AZ12">
        <v>14</v>
      </c>
      <c r="BA12">
        <v>3</v>
      </c>
      <c r="BB12">
        <v>8305</v>
      </c>
      <c r="BC12">
        <v>1395</v>
      </c>
      <c r="BD12">
        <v>528</v>
      </c>
      <c r="BE12">
        <v>71</v>
      </c>
      <c r="BF12">
        <v>-1</v>
      </c>
      <c r="BG12">
        <v>-1</v>
      </c>
      <c r="BH12">
        <v>11251</v>
      </c>
      <c r="BI12">
        <v>3479</v>
      </c>
      <c r="BJ12">
        <v>-1</v>
      </c>
      <c r="BK12">
        <v>-1</v>
      </c>
      <c r="BL12">
        <v>7</v>
      </c>
      <c r="BM12">
        <v>0</v>
      </c>
      <c r="BN12">
        <v>-1</v>
      </c>
      <c r="BO12">
        <v>-1</v>
      </c>
      <c r="BP12">
        <v>1358</v>
      </c>
      <c r="BQ12">
        <v>417</v>
      </c>
      <c r="BR12">
        <v>3444</v>
      </c>
      <c r="BS12">
        <v>1756</v>
      </c>
    </row>
    <row r="13" spans="1:71">
      <c r="A13" t="s">
        <v>17</v>
      </c>
      <c r="B13">
        <v>295951</v>
      </c>
      <c r="C13">
        <v>321643</v>
      </c>
      <c r="D13">
        <v>1800</v>
      </c>
      <c r="E13">
        <v>293</v>
      </c>
      <c r="F13">
        <v>27</v>
      </c>
      <c r="G13">
        <v>2</v>
      </c>
      <c r="H13">
        <v>4</v>
      </c>
      <c r="I13">
        <v>0</v>
      </c>
      <c r="J13">
        <v>50</v>
      </c>
      <c r="K13">
        <v>0</v>
      </c>
      <c r="L13">
        <v>528</v>
      </c>
      <c r="M13">
        <v>51</v>
      </c>
      <c r="N13">
        <v>1919</v>
      </c>
      <c r="O13">
        <v>555</v>
      </c>
      <c r="P13">
        <v>455</v>
      </c>
      <c r="Q13">
        <v>53</v>
      </c>
      <c r="R13">
        <v>1220</v>
      </c>
      <c r="S13">
        <v>526</v>
      </c>
      <c r="T13">
        <v>2</v>
      </c>
      <c r="U13">
        <v>0</v>
      </c>
      <c r="V13">
        <v>1507</v>
      </c>
      <c r="W13">
        <v>337</v>
      </c>
      <c r="X13">
        <v>23</v>
      </c>
      <c r="Y13">
        <v>19</v>
      </c>
      <c r="Z13">
        <v>80</v>
      </c>
      <c r="AA13">
        <v>39</v>
      </c>
      <c r="AB13">
        <v>1</v>
      </c>
      <c r="AC13">
        <v>2</v>
      </c>
      <c r="AD13">
        <v>251</v>
      </c>
      <c r="AE13">
        <v>39</v>
      </c>
      <c r="AF13">
        <v>294</v>
      </c>
      <c r="AG13">
        <v>47</v>
      </c>
      <c r="AH13">
        <v>329</v>
      </c>
      <c r="AI13">
        <v>13</v>
      </c>
      <c r="AJ13">
        <v>86</v>
      </c>
      <c r="AK13">
        <v>162</v>
      </c>
      <c r="AL13">
        <v>131</v>
      </c>
      <c r="AM13">
        <v>12</v>
      </c>
      <c r="AN13">
        <v>2443</v>
      </c>
      <c r="AO13">
        <v>408</v>
      </c>
      <c r="AP13">
        <v>1625</v>
      </c>
      <c r="AQ13">
        <v>228</v>
      </c>
      <c r="AR13">
        <v>818</v>
      </c>
      <c r="AS13">
        <v>180</v>
      </c>
      <c r="AT13">
        <v>4</v>
      </c>
      <c r="AU13">
        <v>0</v>
      </c>
      <c r="AV13">
        <v>1</v>
      </c>
      <c r="AW13">
        <v>0</v>
      </c>
      <c r="AX13">
        <v>187</v>
      </c>
      <c r="AY13">
        <v>55</v>
      </c>
      <c r="AZ13">
        <v>8</v>
      </c>
      <c r="BA13">
        <v>1</v>
      </c>
      <c r="BB13">
        <v>-1</v>
      </c>
      <c r="BC13">
        <v>-1</v>
      </c>
      <c r="BD13">
        <v>581</v>
      </c>
      <c r="BE13">
        <v>118</v>
      </c>
      <c r="BF13">
        <v>-1</v>
      </c>
      <c r="BG13">
        <v>-1</v>
      </c>
      <c r="BH13">
        <v>716</v>
      </c>
      <c r="BI13">
        <v>94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2524</v>
      </c>
      <c r="BQ13">
        <v>608</v>
      </c>
      <c r="BR13">
        <v>1744</v>
      </c>
      <c r="BS13">
        <v>592</v>
      </c>
    </row>
    <row r="14" spans="1:71">
      <c r="A14" t="s">
        <v>18</v>
      </c>
      <c r="B14">
        <v>1053517</v>
      </c>
      <c r="C14">
        <v>1045934</v>
      </c>
      <c r="D14">
        <v>4390</v>
      </c>
      <c r="E14">
        <v>656</v>
      </c>
      <c r="F14">
        <v>82</v>
      </c>
      <c r="G14">
        <v>11</v>
      </c>
      <c r="H14">
        <v>9</v>
      </c>
      <c r="I14">
        <v>6</v>
      </c>
      <c r="J14">
        <v>167</v>
      </c>
      <c r="K14">
        <v>0</v>
      </c>
      <c r="L14">
        <v>958</v>
      </c>
      <c r="M14">
        <v>100</v>
      </c>
      <c r="N14">
        <v>1323</v>
      </c>
      <c r="O14">
        <v>435</v>
      </c>
      <c r="P14">
        <v>1186</v>
      </c>
      <c r="Q14">
        <v>108</v>
      </c>
      <c r="R14">
        <v>5885</v>
      </c>
      <c r="S14">
        <v>3842</v>
      </c>
      <c r="T14">
        <v>19</v>
      </c>
      <c r="U14">
        <v>6</v>
      </c>
      <c r="V14">
        <v>7168</v>
      </c>
      <c r="W14">
        <v>1752</v>
      </c>
      <c r="X14">
        <v>420</v>
      </c>
      <c r="Y14">
        <v>224</v>
      </c>
      <c r="Z14">
        <v>1442</v>
      </c>
      <c r="AA14">
        <v>310</v>
      </c>
      <c r="AB14">
        <v>2</v>
      </c>
      <c r="AC14">
        <v>11</v>
      </c>
      <c r="AD14">
        <v>-1</v>
      </c>
      <c r="AE14">
        <v>-1</v>
      </c>
      <c r="AF14">
        <v>912</v>
      </c>
      <c r="AG14">
        <v>329</v>
      </c>
      <c r="AH14">
        <v>1424</v>
      </c>
      <c r="AI14">
        <v>55</v>
      </c>
      <c r="AJ14">
        <v>586</v>
      </c>
      <c r="AK14">
        <v>2193</v>
      </c>
      <c r="AL14">
        <v>442</v>
      </c>
      <c r="AM14">
        <v>38</v>
      </c>
      <c r="AN14">
        <v>12223</v>
      </c>
      <c r="AO14">
        <v>2279</v>
      </c>
      <c r="AP14">
        <v>-1</v>
      </c>
      <c r="AQ14">
        <v>-1</v>
      </c>
      <c r="AR14">
        <v>12223</v>
      </c>
      <c r="AS14">
        <v>2279</v>
      </c>
      <c r="AT14">
        <v>73</v>
      </c>
      <c r="AU14">
        <v>2</v>
      </c>
      <c r="AV14">
        <v>78</v>
      </c>
      <c r="AW14">
        <v>3</v>
      </c>
      <c r="AX14">
        <v>5363</v>
      </c>
      <c r="AY14">
        <v>1188</v>
      </c>
      <c r="AZ14">
        <v>2015</v>
      </c>
      <c r="BA14">
        <v>336</v>
      </c>
      <c r="BB14">
        <v>10782</v>
      </c>
      <c r="BC14">
        <v>1824</v>
      </c>
      <c r="BD14">
        <v>3279</v>
      </c>
      <c r="BE14">
        <v>1154</v>
      </c>
      <c r="BF14">
        <v>238</v>
      </c>
      <c r="BG14">
        <v>19</v>
      </c>
      <c r="BH14">
        <v>18891</v>
      </c>
      <c r="BI14">
        <v>6097</v>
      </c>
      <c r="BJ14">
        <v>-1</v>
      </c>
      <c r="BK14">
        <v>-1</v>
      </c>
      <c r="BL14">
        <v>548</v>
      </c>
      <c r="BM14">
        <v>229</v>
      </c>
      <c r="BN14">
        <v>-1</v>
      </c>
      <c r="BO14">
        <v>-1</v>
      </c>
      <c r="BP14">
        <v>2530</v>
      </c>
      <c r="BQ14">
        <v>546</v>
      </c>
      <c r="BR14">
        <v>7105</v>
      </c>
      <c r="BS14">
        <v>3956</v>
      </c>
    </row>
    <row r="15" spans="1:71">
      <c r="A15" t="s">
        <v>19</v>
      </c>
      <c r="B15">
        <v>294100</v>
      </c>
      <c r="C15">
        <v>289656</v>
      </c>
      <c r="D15">
        <v>2214</v>
      </c>
      <c r="E15">
        <v>219</v>
      </c>
      <c r="F15">
        <v>56</v>
      </c>
      <c r="G15">
        <v>15</v>
      </c>
      <c r="H15">
        <v>10</v>
      </c>
      <c r="I15">
        <v>2</v>
      </c>
      <c r="J15">
        <v>112</v>
      </c>
      <c r="K15">
        <v>0</v>
      </c>
      <c r="L15">
        <v>920</v>
      </c>
      <c r="M15">
        <v>198</v>
      </c>
      <c r="N15">
        <v>2037</v>
      </c>
      <c r="O15">
        <v>822</v>
      </c>
      <c r="P15">
        <v>927</v>
      </c>
      <c r="Q15">
        <v>192</v>
      </c>
      <c r="R15">
        <v>4160</v>
      </c>
      <c r="S15">
        <v>2811</v>
      </c>
      <c r="T15">
        <v>7</v>
      </c>
      <c r="U15">
        <v>0</v>
      </c>
      <c r="V15">
        <v>6750</v>
      </c>
      <c r="W15">
        <v>3248</v>
      </c>
      <c r="X15">
        <v>370</v>
      </c>
      <c r="Y15">
        <v>238</v>
      </c>
      <c r="Z15">
        <v>606</v>
      </c>
      <c r="AA15">
        <v>269</v>
      </c>
      <c r="AB15">
        <v>151</v>
      </c>
      <c r="AC15">
        <v>138</v>
      </c>
      <c r="AD15">
        <v>694</v>
      </c>
      <c r="AE15">
        <v>150</v>
      </c>
      <c r="AF15">
        <v>989</v>
      </c>
      <c r="AG15">
        <v>147</v>
      </c>
      <c r="AH15">
        <v>849</v>
      </c>
      <c r="AI15">
        <v>101</v>
      </c>
      <c r="AJ15">
        <v>556</v>
      </c>
      <c r="AK15">
        <v>2957</v>
      </c>
      <c r="AL15">
        <v>818</v>
      </c>
      <c r="AM15">
        <v>81</v>
      </c>
      <c r="AN15">
        <v>8100</v>
      </c>
      <c r="AO15">
        <v>1740</v>
      </c>
      <c r="AP15">
        <v>1751</v>
      </c>
      <c r="AQ15">
        <v>271</v>
      </c>
      <c r="AR15">
        <v>6349</v>
      </c>
      <c r="AS15">
        <v>1469</v>
      </c>
      <c r="AT15">
        <v>8</v>
      </c>
      <c r="AU15">
        <v>3</v>
      </c>
      <c r="AV15">
        <v>104</v>
      </c>
      <c r="AW15">
        <v>157</v>
      </c>
      <c r="AX15">
        <v>5564</v>
      </c>
      <c r="AY15">
        <v>1899</v>
      </c>
      <c r="AZ15">
        <v>3184</v>
      </c>
      <c r="BA15">
        <v>650</v>
      </c>
      <c r="BB15">
        <v>1</v>
      </c>
      <c r="BC15">
        <v>0</v>
      </c>
      <c r="BD15">
        <v>779</v>
      </c>
      <c r="BE15">
        <v>159</v>
      </c>
      <c r="BF15">
        <v>1285</v>
      </c>
      <c r="BG15">
        <v>364</v>
      </c>
      <c r="BH15">
        <v>21119</v>
      </c>
      <c r="BI15">
        <v>8008</v>
      </c>
      <c r="BJ15">
        <v>-1</v>
      </c>
      <c r="BK15">
        <v>-1</v>
      </c>
      <c r="BL15">
        <v>726</v>
      </c>
      <c r="BM15">
        <v>324</v>
      </c>
      <c r="BN15">
        <v>-1</v>
      </c>
      <c r="BO15">
        <v>-1</v>
      </c>
      <c r="BP15">
        <v>3125</v>
      </c>
      <c r="BQ15">
        <v>1035</v>
      </c>
      <c r="BR15">
        <v>5354</v>
      </c>
      <c r="BS15">
        <v>3064</v>
      </c>
    </row>
    <row r="63" spans="1:36" ht="90">
      <c r="A63" s="4" t="s">
        <v>85</v>
      </c>
      <c r="B63" s="1">
        <v>24</v>
      </c>
      <c r="C63" s="4" t="s">
        <v>85</v>
      </c>
      <c r="D63" s="4" t="s">
        <v>86</v>
      </c>
      <c r="E63" s="4" t="s">
        <v>87</v>
      </c>
      <c r="F63" s="4" t="s">
        <v>88</v>
      </c>
      <c r="G63" s="4" t="s">
        <v>89</v>
      </c>
      <c r="H63" s="4" t="s">
        <v>90</v>
      </c>
      <c r="I63" s="4" t="s">
        <v>91</v>
      </c>
      <c r="J63" s="4" t="s">
        <v>92</v>
      </c>
      <c r="K63" s="4" t="s">
        <v>93</v>
      </c>
      <c r="L63" s="4" t="s">
        <v>94</v>
      </c>
      <c r="M63" s="4" t="s">
        <v>95</v>
      </c>
      <c r="N63" s="4" t="s">
        <v>96</v>
      </c>
      <c r="O63" s="4" t="s">
        <v>97</v>
      </c>
      <c r="P63" s="4" t="s">
        <v>98</v>
      </c>
      <c r="Q63" s="4" t="s">
        <v>99</v>
      </c>
      <c r="R63" s="4" t="s">
        <v>100</v>
      </c>
      <c r="S63" s="4" t="s">
        <v>101</v>
      </c>
      <c r="T63" s="4" t="s">
        <v>102</v>
      </c>
      <c r="U63" s="4" t="s">
        <v>103</v>
      </c>
      <c r="V63" s="4" t="s">
        <v>104</v>
      </c>
      <c r="W63" s="4" t="s">
        <v>105</v>
      </c>
      <c r="X63" s="4" t="s">
        <v>106</v>
      </c>
      <c r="Y63" s="4" t="s">
        <v>107</v>
      </c>
      <c r="Z63" s="4" t="s">
        <v>108</v>
      </c>
      <c r="AA63" s="4" t="s">
        <v>109</v>
      </c>
      <c r="AB63" s="4" t="s">
        <v>110</v>
      </c>
      <c r="AC63" s="4" t="s">
        <v>111</v>
      </c>
      <c r="AD63" s="4" t="s">
        <v>112</v>
      </c>
      <c r="AE63" s="4" t="s">
        <v>113</v>
      </c>
      <c r="AF63" s="4" t="s">
        <v>114</v>
      </c>
      <c r="AG63" s="4" t="s">
        <v>115</v>
      </c>
      <c r="AH63" s="4" t="s">
        <v>116</v>
      </c>
      <c r="AI63" s="4" t="s">
        <v>117</v>
      </c>
      <c r="AJ63" s="4" t="s">
        <v>118</v>
      </c>
    </row>
    <row r="64" spans="1:36">
      <c r="A64" s="4"/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68" ht="45">
      <c r="A65" s="4" t="s">
        <v>86</v>
      </c>
      <c r="B65" s="1">
        <v>2</v>
      </c>
      <c r="C65" s="1">
        <v>24</v>
      </c>
      <c r="D65" s="1"/>
      <c r="E65" s="1">
        <v>2</v>
      </c>
      <c r="F65" s="1"/>
      <c r="G65" s="1">
        <v>19</v>
      </c>
      <c r="H65" s="1"/>
      <c r="I65" s="1">
        <v>338</v>
      </c>
      <c r="J65" s="1"/>
      <c r="K65" s="2">
        <v>1107</v>
      </c>
      <c r="L65" s="2"/>
      <c r="M65" s="1">
        <v>432</v>
      </c>
      <c r="N65" s="1"/>
      <c r="O65" s="1">
        <v>536</v>
      </c>
      <c r="P65" s="1"/>
      <c r="Q65" s="1">
        <v>130</v>
      </c>
      <c r="R65" s="1"/>
      <c r="S65" s="1">
        <v>20</v>
      </c>
      <c r="T65" s="1"/>
      <c r="U65" s="1">
        <v>943</v>
      </c>
      <c r="V65" s="1"/>
      <c r="W65" s="1">
        <v>46</v>
      </c>
      <c r="X65" s="1"/>
      <c r="Y65" s="1">
        <v>50</v>
      </c>
      <c r="Z65" s="1"/>
      <c r="AA65" s="1">
        <v>3</v>
      </c>
      <c r="AB65" s="1"/>
      <c r="AC65" s="1">
        <v>156</v>
      </c>
      <c r="AD65" s="1"/>
      <c r="AE65" s="1">
        <v>258</v>
      </c>
      <c r="AF65" s="1"/>
      <c r="AG65" s="1">
        <v>77</v>
      </c>
      <c r="AH65" s="1"/>
      <c r="AI65" s="1">
        <v>168</v>
      </c>
      <c r="AJ65" s="1"/>
      <c r="AK65" s="1">
        <v>80</v>
      </c>
      <c r="AL65" s="1"/>
      <c r="AM65" s="2">
        <v>1275</v>
      </c>
      <c r="AN65" s="2"/>
      <c r="AO65" s="1">
        <v>649</v>
      </c>
      <c r="AP65" s="1">
        <v>630</v>
      </c>
      <c r="AQ65" s="1"/>
      <c r="AR65" s="1">
        <v>2</v>
      </c>
      <c r="AS65" s="1"/>
      <c r="AT65" s="1">
        <v>-1</v>
      </c>
      <c r="AU65" s="1"/>
      <c r="AV65" s="1">
        <v>392</v>
      </c>
      <c r="AW65" s="1"/>
      <c r="AX65" s="1">
        <v>59</v>
      </c>
      <c r="AY65" s="1"/>
      <c r="AZ65" s="2">
        <v>1524</v>
      </c>
      <c r="BA65" s="2"/>
      <c r="BB65" s="1">
        <v>60</v>
      </c>
      <c r="BC65" s="1"/>
      <c r="BD65" s="1">
        <v>95</v>
      </c>
      <c r="BE65" s="1"/>
      <c r="BF65" s="2">
        <v>6103</v>
      </c>
      <c r="BG65" s="2"/>
      <c r="BH65" s="1">
        <v>-1</v>
      </c>
      <c r="BI65" s="1"/>
      <c r="BJ65" s="1">
        <v>-1</v>
      </c>
      <c r="BK65" s="1"/>
      <c r="BL65" s="3">
        <v>-1</v>
      </c>
      <c r="BM65" s="3"/>
      <c r="BN65" s="2">
        <v>1488</v>
      </c>
      <c r="BO65" s="2"/>
      <c r="BP65" s="2">
        <v>1118</v>
      </c>
    </row>
    <row r="66" spans="1:68">
      <c r="A66" s="4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"/>
      <c r="V66" s="1"/>
      <c r="W66" s="1"/>
      <c r="X66" s="1"/>
      <c r="Y66" s="1"/>
      <c r="Z66" s="1"/>
      <c r="AA66" s="1"/>
      <c r="AB66" s="2"/>
      <c r="AC66" s="1"/>
      <c r="AD66" s="1"/>
      <c r="AE66" s="2"/>
      <c r="AF66" s="1"/>
      <c r="AG66" s="1"/>
      <c r="AH66" s="3"/>
      <c r="AI66" s="2"/>
      <c r="AJ66" s="2"/>
    </row>
    <row r="67" spans="1:68" ht="30">
      <c r="A67" s="4" t="s">
        <v>87</v>
      </c>
      <c r="B67" s="1">
        <v>19</v>
      </c>
    </row>
    <row r="68" spans="1:68">
      <c r="A68" s="4"/>
      <c r="B68" s="1"/>
    </row>
    <row r="69" spans="1:68">
      <c r="A69" s="4" t="s">
        <v>88</v>
      </c>
      <c r="B69" s="1">
        <v>338</v>
      </c>
    </row>
    <row r="70" spans="1:68">
      <c r="A70" s="4"/>
      <c r="B70" s="1"/>
    </row>
    <row r="71" spans="1:68" ht="30">
      <c r="A71" s="4" t="s">
        <v>89</v>
      </c>
      <c r="B71" s="2">
        <v>1107</v>
      </c>
    </row>
    <row r="72" spans="1:68">
      <c r="A72" s="4"/>
      <c r="B72" s="2"/>
    </row>
    <row r="73" spans="1:68">
      <c r="A73" s="4" t="s">
        <v>90</v>
      </c>
      <c r="B73" s="1">
        <v>432</v>
      </c>
    </row>
    <row r="74" spans="1:68">
      <c r="A74" s="4"/>
      <c r="B74" s="1"/>
    </row>
    <row r="75" spans="1:68" ht="30">
      <c r="A75" s="4" t="s">
        <v>91</v>
      </c>
      <c r="B75" s="1">
        <v>536</v>
      </c>
    </row>
    <row r="76" spans="1:68">
      <c r="A76" s="4"/>
      <c r="B76" s="1"/>
    </row>
    <row r="77" spans="1:68" ht="45">
      <c r="A77" s="4" t="s">
        <v>92</v>
      </c>
      <c r="B77" s="1">
        <v>130</v>
      </c>
    </row>
    <row r="78" spans="1:68">
      <c r="A78" s="4"/>
      <c r="B78" s="1"/>
    </row>
    <row r="79" spans="1:68">
      <c r="A79" s="4" t="s">
        <v>93</v>
      </c>
      <c r="B79" s="1">
        <v>20</v>
      </c>
    </row>
    <row r="80" spans="1:68">
      <c r="A80" s="4"/>
      <c r="B80" s="1"/>
    </row>
    <row r="81" spans="1:2" ht="30">
      <c r="A81" s="4" t="s">
        <v>94</v>
      </c>
      <c r="B81" s="1">
        <v>943</v>
      </c>
    </row>
    <row r="82" spans="1:2">
      <c r="A82" s="4"/>
      <c r="B82" s="1"/>
    </row>
    <row r="83" spans="1:2" ht="60">
      <c r="A83" s="4" t="s">
        <v>95</v>
      </c>
      <c r="B83" s="1">
        <v>46</v>
      </c>
    </row>
    <row r="84" spans="1:2">
      <c r="A84" s="4"/>
      <c r="B84" s="1"/>
    </row>
    <row r="85" spans="1:2">
      <c r="A85" s="4" t="s">
        <v>96</v>
      </c>
      <c r="B85" s="1">
        <v>50</v>
      </c>
    </row>
    <row r="86" spans="1:2">
      <c r="A86" s="4"/>
      <c r="B86" s="1"/>
    </row>
    <row r="87" spans="1:2" ht="30">
      <c r="A87" s="4" t="s">
        <v>97</v>
      </c>
      <c r="B87" s="1">
        <v>3</v>
      </c>
    </row>
    <row r="88" spans="1:2">
      <c r="A88" s="4"/>
      <c r="B88" s="1"/>
    </row>
    <row r="89" spans="1:2" ht="75">
      <c r="A89" s="4" t="s">
        <v>98</v>
      </c>
      <c r="B89" s="1">
        <v>156</v>
      </c>
    </row>
    <row r="90" spans="1:2">
      <c r="A90" s="4"/>
      <c r="B90" s="1"/>
    </row>
    <row r="91" spans="1:2">
      <c r="A91" s="4" t="s">
        <v>99</v>
      </c>
      <c r="B91" s="1">
        <v>258</v>
      </c>
    </row>
    <row r="92" spans="1:2">
      <c r="A92" s="4"/>
      <c r="B92" s="1"/>
    </row>
    <row r="93" spans="1:2" ht="60">
      <c r="A93" s="4" t="s">
        <v>100</v>
      </c>
      <c r="B93" s="1">
        <v>77</v>
      </c>
    </row>
    <row r="94" spans="1:2">
      <c r="A94" s="4"/>
      <c r="B94" s="1"/>
    </row>
    <row r="95" spans="1:2" ht="60">
      <c r="A95" s="4" t="s">
        <v>101</v>
      </c>
      <c r="B95" s="1">
        <v>168</v>
      </c>
    </row>
    <row r="96" spans="1:2">
      <c r="A96" s="4"/>
      <c r="B96" s="1"/>
    </row>
    <row r="97" spans="1:2" ht="105">
      <c r="A97" s="4" t="s">
        <v>102</v>
      </c>
      <c r="B97" s="1">
        <v>80</v>
      </c>
    </row>
    <row r="98" spans="1:2">
      <c r="A98" s="4"/>
      <c r="B98" s="1"/>
    </row>
    <row r="99" spans="1:2" ht="45">
      <c r="A99" s="4" t="s">
        <v>103</v>
      </c>
      <c r="B99" s="2">
        <v>1275</v>
      </c>
    </row>
    <row r="100" spans="1:2">
      <c r="A100" s="4"/>
      <c r="B100" s="2"/>
    </row>
    <row r="101" spans="1:2" ht="45">
      <c r="A101" s="4" t="s">
        <v>104</v>
      </c>
      <c r="B101" s="1">
        <v>649</v>
      </c>
    </row>
    <row r="102" spans="1:2" ht="45">
      <c r="A102" s="4" t="s">
        <v>105</v>
      </c>
      <c r="B102" s="1">
        <v>630</v>
      </c>
    </row>
    <row r="103" spans="1:2">
      <c r="A103" s="4"/>
      <c r="B103" s="1"/>
    </row>
    <row r="104" spans="1:2">
      <c r="A104" s="4" t="s">
        <v>106</v>
      </c>
      <c r="B104" s="1">
        <v>2</v>
      </c>
    </row>
    <row r="105" spans="1:2">
      <c r="A105" s="4"/>
      <c r="B105" s="1"/>
    </row>
    <row r="106" spans="1:2" ht="60">
      <c r="A106" s="4" t="s">
        <v>107</v>
      </c>
      <c r="B106" s="1">
        <v>-1</v>
      </c>
    </row>
    <row r="107" spans="1:2">
      <c r="A107" s="4"/>
      <c r="B107" s="1"/>
    </row>
    <row r="108" spans="1:2" ht="45">
      <c r="A108" s="4" t="s">
        <v>108</v>
      </c>
      <c r="B108" s="1">
        <v>392</v>
      </c>
    </row>
    <row r="109" spans="1:2">
      <c r="A109" s="4"/>
      <c r="B109" s="1"/>
    </row>
    <row r="110" spans="1:2" ht="30">
      <c r="A110" s="4" t="s">
        <v>109</v>
      </c>
      <c r="B110" s="1">
        <v>59</v>
      </c>
    </row>
    <row r="111" spans="1:2">
      <c r="A111" s="4"/>
      <c r="B111" s="1"/>
    </row>
    <row r="112" spans="1:2" ht="30">
      <c r="A112" s="4" t="s">
        <v>110</v>
      </c>
      <c r="B112" s="2">
        <v>1524</v>
      </c>
    </row>
    <row r="113" spans="1:2">
      <c r="A113" s="4"/>
      <c r="B113" s="2"/>
    </row>
    <row r="114" spans="1:2" ht="30">
      <c r="A114" s="4" t="s">
        <v>111</v>
      </c>
      <c r="B114" s="1">
        <v>60</v>
      </c>
    </row>
    <row r="115" spans="1:2">
      <c r="A115" s="4"/>
      <c r="B115" s="1"/>
    </row>
    <row r="116" spans="1:2">
      <c r="A116" s="4" t="s">
        <v>112</v>
      </c>
      <c r="B116" s="1">
        <v>95</v>
      </c>
    </row>
    <row r="117" spans="1:2">
      <c r="A117" s="4"/>
      <c r="B117" s="1"/>
    </row>
    <row r="118" spans="1:2" ht="60">
      <c r="A118" s="4" t="s">
        <v>113</v>
      </c>
      <c r="B118" s="2">
        <v>6103</v>
      </c>
    </row>
    <row r="119" spans="1:2">
      <c r="A119" s="4"/>
      <c r="B119" s="2"/>
    </row>
    <row r="120" spans="1:2">
      <c r="A120" s="4" t="s">
        <v>114</v>
      </c>
      <c r="B120" s="1">
        <v>-1</v>
      </c>
    </row>
    <row r="121" spans="1:2">
      <c r="A121" s="4"/>
      <c r="B121" s="1"/>
    </row>
    <row r="122" spans="1:2" ht="60">
      <c r="A122" s="4" t="s">
        <v>115</v>
      </c>
      <c r="B122" s="1">
        <v>-1</v>
      </c>
    </row>
    <row r="123" spans="1:2">
      <c r="A123" s="4"/>
      <c r="B123" s="1"/>
    </row>
    <row r="124" spans="1:2">
      <c r="A124" s="4" t="s">
        <v>116</v>
      </c>
      <c r="B124" s="3">
        <v>-1</v>
      </c>
    </row>
    <row r="125" spans="1:2">
      <c r="A125" s="4"/>
      <c r="B125" s="3"/>
    </row>
    <row r="126" spans="1:2" ht="45">
      <c r="A126" s="4" t="s">
        <v>117</v>
      </c>
      <c r="B126" s="2">
        <v>1488</v>
      </c>
    </row>
    <row r="127" spans="1:2">
      <c r="A127" s="4"/>
      <c r="B127" s="2"/>
    </row>
    <row r="128" spans="1:2" ht="45">
      <c r="A128" s="4" t="s">
        <v>118</v>
      </c>
      <c r="B128" s="2">
        <v>1118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2016-07-09T17:20:50Z</dcterms:created>
  <dcterms:modified xsi:type="dcterms:W3CDTF">2016-07-12T17:24:53Z</dcterms:modified>
</cp:coreProperties>
</file>