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0" yWindow="40" windowWidth="25600" windowHeight="14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" i="1" l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F30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F18" i="1"/>
  <c r="F19" i="1"/>
  <c r="F20" i="1"/>
  <c r="F21" i="1"/>
  <c r="F22" i="1"/>
  <c r="F23" i="1"/>
  <c r="F24" i="1"/>
  <c r="F25" i="1"/>
  <c r="F26" i="1"/>
  <c r="F27" i="1"/>
  <c r="F28" i="1"/>
  <c r="F29" i="1"/>
  <c r="BS2" i="1"/>
  <c r="BU2" i="1"/>
  <c r="BR2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EL18" i="1"/>
  <c r="EL19" i="1"/>
  <c r="EL20" i="1"/>
  <c r="EL21" i="1"/>
  <c r="EL22" i="1"/>
  <c r="EL23" i="1"/>
  <c r="EL24" i="1"/>
  <c r="EL25" i="1"/>
  <c r="EL26" i="1"/>
  <c r="EL27" i="1"/>
  <c r="EL28" i="1"/>
  <c r="EL29" i="1"/>
  <c r="EL30" i="1"/>
  <c r="EL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W17" i="1"/>
  <c r="BU17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FE2" i="1"/>
  <c r="GG2" i="1"/>
  <c r="GD2" i="1"/>
  <c r="GE2" i="1"/>
  <c r="GF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GC2" i="1"/>
  <c r="GB2" i="1"/>
  <c r="GA2" i="1"/>
  <c r="FZ2" i="1"/>
  <c r="FY2" i="1"/>
  <c r="FX2" i="1"/>
  <c r="FW2" i="1"/>
  <c r="FV2" i="1"/>
  <c r="EM2" i="1"/>
  <c r="EN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L3" i="1"/>
  <c r="EL4" i="1"/>
  <c r="EL5" i="1"/>
  <c r="EL6" i="1"/>
  <c r="EL7" i="1"/>
  <c r="EL8" i="1"/>
  <c r="EL9" i="1"/>
  <c r="EL10" i="1"/>
  <c r="EL11" i="1"/>
  <c r="EL12" i="1"/>
  <c r="EL13" i="1"/>
  <c r="EL14" i="1"/>
  <c r="EL15" i="1"/>
  <c r="EL2" i="1"/>
  <c r="BS70" i="1"/>
  <c r="BS69" i="1"/>
  <c r="BS68" i="1"/>
  <c r="BS67" i="1"/>
  <c r="BS66" i="1"/>
  <c r="BS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BR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BR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BR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BR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BR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BR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BR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BR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BR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BR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BR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BR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BR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BU15" i="1"/>
  <c r="BU14" i="1"/>
  <c r="BU13" i="1"/>
  <c r="BU12" i="1"/>
  <c r="BU11" i="1"/>
  <c r="BU10" i="1"/>
  <c r="BU9" i="1"/>
  <c r="BU8" i="1"/>
  <c r="BU7" i="1"/>
  <c r="BU6" i="1"/>
  <c r="BU5" i="1"/>
  <c r="BU4" i="1"/>
  <c r="BU3" i="1"/>
</calcChain>
</file>

<file path=xl/sharedStrings.xml><?xml version="1.0" encoding="utf-8"?>
<sst xmlns="http://schemas.openxmlformats.org/spreadsheetml/2006/main" count="251" uniqueCount="223">
  <si>
    <t>Names</t>
  </si>
  <si>
    <t>mpop</t>
  </si>
  <si>
    <t>fpop</t>
  </si>
  <si>
    <t>memp</t>
  </si>
  <si>
    <t>femp</t>
  </si>
  <si>
    <t>mmurder</t>
  </si>
  <si>
    <t>mman</t>
  </si>
  <si>
    <t>mforcerape</t>
  </si>
  <si>
    <t>mrob</t>
  </si>
  <si>
    <t>magassualt</t>
  </si>
  <si>
    <t>mburglary</t>
  </si>
  <si>
    <t>mlartheft</t>
  </si>
  <si>
    <t>mmotortheft</t>
  </si>
  <si>
    <t>marson</t>
  </si>
  <si>
    <t>motherassualts</t>
  </si>
  <si>
    <t>mforge</t>
  </si>
  <si>
    <t>mfraud</t>
  </si>
  <si>
    <t>membezzle</t>
  </si>
  <si>
    <t>mstolenproperty</t>
  </si>
  <si>
    <t>mvandalism</t>
  </si>
  <si>
    <t>mweaponcarry</t>
  </si>
  <si>
    <t>mprositute</t>
  </si>
  <si>
    <t>msexoffense</t>
  </si>
  <si>
    <t>mdrugabuse</t>
  </si>
  <si>
    <t>msalemanufacture</t>
  </si>
  <si>
    <t>mpossession</t>
  </si>
  <si>
    <t>mgambling</t>
  </si>
  <si>
    <t>mfamilyoffense</t>
  </si>
  <si>
    <t>mDUI</t>
  </si>
  <si>
    <t>mliquiorlaws</t>
  </si>
  <si>
    <t>mdurnk</t>
  </si>
  <si>
    <t>mdisorderconduct</t>
  </si>
  <si>
    <t>mvangrancy</t>
  </si>
  <si>
    <t>malloffense</t>
  </si>
  <si>
    <t>mcurfewloiter</t>
  </si>
  <si>
    <t>mviolentcrime</t>
  </si>
  <si>
    <t>mpropertycrimeindex</t>
  </si>
  <si>
    <t>fmurder</t>
  </si>
  <si>
    <t>fman</t>
  </si>
  <si>
    <t>fforcerape</t>
  </si>
  <si>
    <t>frob</t>
  </si>
  <si>
    <t>fagassualt</t>
  </si>
  <si>
    <t>fburglary</t>
  </si>
  <si>
    <t>flartheft</t>
  </si>
  <si>
    <t>fmotortheft</t>
  </si>
  <si>
    <t>farson</t>
  </si>
  <si>
    <t>fotherassualts</t>
  </si>
  <si>
    <t>fforge</t>
  </si>
  <si>
    <t>ffraud</t>
  </si>
  <si>
    <t>fembezzle</t>
  </si>
  <si>
    <t>fstolenproperty</t>
  </si>
  <si>
    <t>fvandalism</t>
  </si>
  <si>
    <t>fweaponcarry</t>
  </si>
  <si>
    <t>fprositute</t>
  </si>
  <si>
    <t>fsexoffense</t>
  </si>
  <si>
    <t>fdrugabuse</t>
  </si>
  <si>
    <t>fsalemanufacture</t>
  </si>
  <si>
    <t>fpossession</t>
  </si>
  <si>
    <t>fgambling</t>
  </si>
  <si>
    <t>ffamilyoffense</t>
  </si>
  <si>
    <t>fDUI</t>
  </si>
  <si>
    <t>fliquiorlaws</t>
  </si>
  <si>
    <t>fdurnk</t>
  </si>
  <si>
    <t>fdisorderconduct</t>
  </si>
  <si>
    <t>fvangrancy</t>
  </si>
  <si>
    <t>falloffense</t>
  </si>
  <si>
    <t>fbreakcurfew</t>
  </si>
  <si>
    <t>fviolentcrime</t>
  </si>
  <si>
    <t>fpropertycrimeindex</t>
  </si>
  <si>
    <t xml:space="preserve">San Francisco </t>
  </si>
  <si>
    <t>Northampton</t>
  </si>
  <si>
    <t>Baltimore</t>
  </si>
  <si>
    <t>Bloomington</t>
  </si>
  <si>
    <t>Detroit</t>
  </si>
  <si>
    <t>Philadelphia</t>
  </si>
  <si>
    <t>Chicago</t>
  </si>
  <si>
    <t>Los Angeles</t>
  </si>
  <si>
    <t>Memphis</t>
  </si>
  <si>
    <t>New York City</t>
  </si>
  <si>
    <t>Dallas</t>
  </si>
  <si>
    <t>Boston</t>
  </si>
  <si>
    <t>Houston</t>
  </si>
  <si>
    <t>Las Vegas Metro</t>
  </si>
  <si>
    <t>MeanAcross</t>
  </si>
  <si>
    <t>MeanDown</t>
  </si>
  <si>
    <t>M1.1</t>
  </si>
  <si>
    <t>M1.2</t>
  </si>
  <si>
    <t>M1.3</t>
  </si>
  <si>
    <t>M1.4</t>
  </si>
  <si>
    <t>M1.5</t>
  </si>
  <si>
    <t>M1.6</t>
  </si>
  <si>
    <t>M1.7</t>
  </si>
  <si>
    <t>M1.8</t>
  </si>
  <si>
    <t>M1.9</t>
  </si>
  <si>
    <t>M1.10</t>
  </si>
  <si>
    <t>M1.11</t>
  </si>
  <si>
    <t>M1.12</t>
  </si>
  <si>
    <t>M1.13</t>
  </si>
  <si>
    <t>M1.14</t>
  </si>
  <si>
    <t>M1.15</t>
  </si>
  <si>
    <t>M1.16</t>
  </si>
  <si>
    <t>M1.17</t>
  </si>
  <si>
    <t>M1.18</t>
  </si>
  <si>
    <t>M1.19</t>
  </si>
  <si>
    <t>M1.20</t>
  </si>
  <si>
    <t>M1.21</t>
  </si>
  <si>
    <t>M1.22</t>
  </si>
  <si>
    <t>M1.23</t>
  </si>
  <si>
    <t>M1.24</t>
  </si>
  <si>
    <t>M1.25</t>
  </si>
  <si>
    <t>M1.26</t>
  </si>
  <si>
    <t>M1.27</t>
  </si>
  <si>
    <t>M1.28</t>
  </si>
  <si>
    <t>M1.29</t>
  </si>
  <si>
    <t>M1.30</t>
  </si>
  <si>
    <t>M1.31</t>
  </si>
  <si>
    <t>M1.32</t>
  </si>
  <si>
    <t>M1.33</t>
  </si>
  <si>
    <t>M1.34</t>
  </si>
  <si>
    <t>M1.35</t>
  </si>
  <si>
    <t>M1.36</t>
  </si>
  <si>
    <t>M1.37</t>
  </si>
  <si>
    <t>M1.38</t>
  </si>
  <si>
    <t>M1.39</t>
  </si>
  <si>
    <t>M1.40</t>
  </si>
  <si>
    <t>M1.41</t>
  </si>
  <si>
    <t>M1.42</t>
  </si>
  <si>
    <t>M1.43</t>
  </si>
  <si>
    <t>M1.44</t>
  </si>
  <si>
    <t>M1.45</t>
  </si>
  <si>
    <t>M1.46</t>
  </si>
  <si>
    <t>M1.47</t>
  </si>
  <si>
    <t>M1.48</t>
  </si>
  <si>
    <t>M1.49</t>
  </si>
  <si>
    <t>M1.50</t>
  </si>
  <si>
    <t>M1.51</t>
  </si>
  <si>
    <t>M1.52</t>
  </si>
  <si>
    <t>M1.53</t>
  </si>
  <si>
    <t>M1.54</t>
  </si>
  <si>
    <t>M1.55</t>
  </si>
  <si>
    <t>M1.56</t>
  </si>
  <si>
    <t>M1.57</t>
  </si>
  <si>
    <t>M1.58</t>
  </si>
  <si>
    <t>M1.59</t>
  </si>
  <si>
    <t>M1.60</t>
  </si>
  <si>
    <t>M1.61</t>
  </si>
  <si>
    <t>M1.62</t>
  </si>
  <si>
    <t>M1.63</t>
  </si>
  <si>
    <t>M1.64</t>
  </si>
  <si>
    <t>M1.65</t>
  </si>
  <si>
    <t>M1.66</t>
  </si>
  <si>
    <t>M1.67</t>
  </si>
  <si>
    <t>M1.68</t>
  </si>
  <si>
    <t>M2.1</t>
  </si>
  <si>
    <t>M2.2</t>
  </si>
  <si>
    <t>M2.3</t>
  </si>
  <si>
    <t>M2.4</t>
  </si>
  <si>
    <t>M2.5</t>
  </si>
  <si>
    <t>M2.6</t>
  </si>
  <si>
    <t>M2.7</t>
  </si>
  <si>
    <t>M2.8</t>
  </si>
  <si>
    <t>M2.9</t>
  </si>
  <si>
    <t>M2.10</t>
  </si>
  <si>
    <t>M2.11</t>
  </si>
  <si>
    <t>M2.12</t>
  </si>
  <si>
    <t>M2.13</t>
  </si>
  <si>
    <t>M2.14</t>
  </si>
  <si>
    <t>M2.15</t>
  </si>
  <si>
    <t>M2.16</t>
  </si>
  <si>
    <t>M2.17</t>
  </si>
  <si>
    <t>M2.18</t>
  </si>
  <si>
    <t>M2.19</t>
  </si>
  <si>
    <t>M2.20</t>
  </si>
  <si>
    <t>M2.21</t>
  </si>
  <si>
    <t>M2.22</t>
  </si>
  <si>
    <t>M2.23</t>
  </si>
  <si>
    <t>M2.24</t>
  </si>
  <si>
    <t>M2.25</t>
  </si>
  <si>
    <t>M2.26</t>
  </si>
  <si>
    <t>M2.27</t>
  </si>
  <si>
    <t>M2.28</t>
  </si>
  <si>
    <t>M2.29</t>
  </si>
  <si>
    <t>M2.30</t>
  </si>
  <si>
    <t>M2.31</t>
  </si>
  <si>
    <t>M2.32</t>
  </si>
  <si>
    <t>M2.33</t>
  </si>
  <si>
    <t>M2.34</t>
  </si>
  <si>
    <t>M2.35</t>
  </si>
  <si>
    <t>M2.36</t>
  </si>
  <si>
    <t>M2.37</t>
  </si>
  <si>
    <t>M2.38</t>
  </si>
  <si>
    <t>M2.39</t>
  </si>
  <si>
    <t>M2.40</t>
  </si>
  <si>
    <t>M2.41</t>
  </si>
  <si>
    <t>M2.42</t>
  </si>
  <si>
    <t>M2.43</t>
  </si>
  <si>
    <t>M2.44</t>
  </si>
  <si>
    <t>M2.45</t>
  </si>
  <si>
    <t>M2.46</t>
  </si>
  <si>
    <t>M2.47</t>
  </si>
  <si>
    <t>M2.48</t>
  </si>
  <si>
    <t>M2.49</t>
  </si>
  <si>
    <t>M2.50</t>
  </si>
  <si>
    <t>M2.51</t>
  </si>
  <si>
    <t>M2.52</t>
  </si>
  <si>
    <t>M2.53</t>
  </si>
  <si>
    <t>M2.54</t>
  </si>
  <si>
    <t>M2.55</t>
  </si>
  <si>
    <t>M2.56</t>
  </si>
  <si>
    <t>M2.57</t>
  </si>
  <si>
    <t>M2.58</t>
  </si>
  <si>
    <t>M2.59</t>
  </si>
  <si>
    <t>M2.60</t>
  </si>
  <si>
    <t>M2.61</t>
  </si>
  <si>
    <t>M2.62</t>
  </si>
  <si>
    <t>M2.63</t>
  </si>
  <si>
    <t>M2.64</t>
  </si>
  <si>
    <t>M2.65</t>
  </si>
  <si>
    <t>M2.66</t>
  </si>
  <si>
    <t>M2.67</t>
  </si>
  <si>
    <t>M2.68</t>
  </si>
  <si>
    <t>Names2</t>
  </si>
  <si>
    <t>Names3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</si>
</sst>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70"/>
  <sheetViews>
    <sheetView tabSelected="1" topLeftCell="D1" zoomScale="150" zoomScaleNormal="150" zoomScalePageLayoutView="150" workbookViewId="0">
      <pane ySplit="1" topLeftCell="A2" activePane="bottomLeft" state="frozen"/>
      <selection activeCell="BL1" sqref="BL1"/>
      <selection pane="bottomLeft" activeCell="F1" sqref="F1:BQ1"/>
    </sheetView>
  </sheetViews>
  <sheetFormatPr baseColWidth="10" defaultRowHeight="15" x14ac:dyDescent="0"/>
  <cols>
    <col min="6" max="6" width="11.1640625" bestFit="1" customWidth="1"/>
    <col min="38" max="38" width="12.1640625" bestFit="1" customWidth="1"/>
  </cols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83</v>
      </c>
      <c r="BS1" t="s">
        <v>84</v>
      </c>
      <c r="BT1" t="s">
        <v>221</v>
      </c>
      <c r="BU1" t="s">
        <v>85</v>
      </c>
      <c r="BV1" t="s">
        <v>86</v>
      </c>
      <c r="BW1" t="s">
        <v>87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120</v>
      </c>
      <c r="DE1" t="s">
        <v>121</v>
      </c>
      <c r="DF1" t="s">
        <v>122</v>
      </c>
      <c r="DG1" t="s">
        <v>123</v>
      </c>
      <c r="DH1" t="s">
        <v>124</v>
      </c>
      <c r="DI1" t="s">
        <v>125</v>
      </c>
      <c r="DJ1" t="s">
        <v>126</v>
      </c>
      <c r="DK1" t="s">
        <v>127</v>
      </c>
      <c r="DL1" t="s">
        <v>128</v>
      </c>
      <c r="DM1" t="s">
        <v>129</v>
      </c>
      <c r="DN1" t="s">
        <v>130</v>
      </c>
      <c r="DO1" t="s">
        <v>131</v>
      </c>
      <c r="DP1" t="s">
        <v>132</v>
      </c>
      <c r="DQ1" t="s">
        <v>133</v>
      </c>
      <c r="DR1" t="s">
        <v>134</v>
      </c>
      <c r="DS1" t="s">
        <v>135</v>
      </c>
      <c r="DT1" t="s">
        <v>136</v>
      </c>
      <c r="DU1" t="s">
        <v>137</v>
      </c>
      <c r="DV1" t="s">
        <v>138</v>
      </c>
      <c r="DW1" t="s">
        <v>139</v>
      </c>
      <c r="DX1" t="s">
        <v>140</v>
      </c>
      <c r="DY1" t="s">
        <v>141</v>
      </c>
      <c r="DZ1" t="s">
        <v>142</v>
      </c>
      <c r="EA1" t="s">
        <v>143</v>
      </c>
      <c r="EB1" t="s">
        <v>144</v>
      </c>
      <c r="EC1" t="s">
        <v>145</v>
      </c>
      <c r="ED1" t="s">
        <v>146</v>
      </c>
      <c r="EE1" t="s">
        <v>147</v>
      </c>
      <c r="EF1" t="s">
        <v>148</v>
      </c>
      <c r="EG1" t="s">
        <v>149</v>
      </c>
      <c r="EH1" t="s">
        <v>150</v>
      </c>
      <c r="EI1" t="s">
        <v>151</v>
      </c>
      <c r="EJ1" t="s">
        <v>152</v>
      </c>
      <c r="EK1" t="s">
        <v>222</v>
      </c>
      <c r="EL1" t="s">
        <v>153</v>
      </c>
      <c r="EM1" t="s">
        <v>154</v>
      </c>
      <c r="EN1" t="s">
        <v>155</v>
      </c>
      <c r="EO1" t="s">
        <v>156</v>
      </c>
      <c r="EP1" t="s">
        <v>157</v>
      </c>
      <c r="EQ1" t="s">
        <v>158</v>
      </c>
      <c r="ER1" t="s">
        <v>159</v>
      </c>
      <c r="ES1" t="s">
        <v>160</v>
      </c>
      <c r="ET1" t="s">
        <v>161</v>
      </c>
      <c r="EU1" t="s">
        <v>162</v>
      </c>
      <c r="EV1" t="s">
        <v>163</v>
      </c>
      <c r="EW1" t="s">
        <v>164</v>
      </c>
      <c r="EX1" t="s">
        <v>165</v>
      </c>
      <c r="EY1" t="s">
        <v>166</v>
      </c>
      <c r="EZ1" t="s">
        <v>167</v>
      </c>
      <c r="FA1" t="s">
        <v>168</v>
      </c>
      <c r="FB1" t="s">
        <v>169</v>
      </c>
      <c r="FC1" t="s">
        <v>170</v>
      </c>
      <c r="FD1" t="s">
        <v>171</v>
      </c>
      <c r="FE1" t="s">
        <v>172</v>
      </c>
      <c r="FF1" t="s">
        <v>173</v>
      </c>
      <c r="FG1" t="s">
        <v>174</v>
      </c>
      <c r="FH1" t="s">
        <v>175</v>
      </c>
      <c r="FI1" t="s">
        <v>176</v>
      </c>
      <c r="FJ1" t="s">
        <v>177</v>
      </c>
      <c r="FK1" t="s">
        <v>178</v>
      </c>
      <c r="FL1" t="s">
        <v>179</v>
      </c>
      <c r="FM1" t="s">
        <v>180</v>
      </c>
      <c r="FN1" t="s">
        <v>181</v>
      </c>
      <c r="FO1" t="s">
        <v>182</v>
      </c>
      <c r="FP1" t="s">
        <v>183</v>
      </c>
      <c r="FQ1" t="s">
        <v>184</v>
      </c>
      <c r="FR1" t="s">
        <v>185</v>
      </c>
      <c r="FS1" t="s">
        <v>186</v>
      </c>
      <c r="FT1" t="s">
        <v>187</v>
      </c>
      <c r="FU1" t="s">
        <v>188</v>
      </c>
      <c r="FV1" t="s">
        <v>189</v>
      </c>
      <c r="FW1" t="s">
        <v>190</v>
      </c>
      <c r="FX1" t="s">
        <v>191</v>
      </c>
      <c r="FY1" t="s">
        <v>192</v>
      </c>
      <c r="FZ1" t="s">
        <v>193</v>
      </c>
      <c r="GA1" t="s">
        <v>194</v>
      </c>
      <c r="GB1" t="s">
        <v>195</v>
      </c>
      <c r="GC1" t="s">
        <v>196</v>
      </c>
      <c r="GD1" t="s">
        <v>197</v>
      </c>
      <c r="GE1" t="s">
        <v>198</v>
      </c>
      <c r="GF1" t="s">
        <v>199</v>
      </c>
      <c r="GG1" t="s">
        <v>200</v>
      </c>
      <c r="GH1" t="s">
        <v>201</v>
      </c>
      <c r="GI1" t="s">
        <v>202</v>
      </c>
      <c r="GJ1" t="s">
        <v>203</v>
      </c>
      <c r="GK1" t="s">
        <v>204</v>
      </c>
      <c r="GL1" t="s">
        <v>205</v>
      </c>
      <c r="GM1" t="s">
        <v>206</v>
      </c>
      <c r="GN1" t="s">
        <v>207</v>
      </c>
      <c r="GO1" t="s">
        <v>208</v>
      </c>
      <c r="GP1" t="s">
        <v>209</v>
      </c>
      <c r="GQ1" t="s">
        <v>210</v>
      </c>
      <c r="GR1" t="s">
        <v>211</v>
      </c>
      <c r="GS1" t="s">
        <v>212</v>
      </c>
      <c r="GT1" t="s">
        <v>213</v>
      </c>
      <c r="GU1" t="s">
        <v>214</v>
      </c>
      <c r="GV1" t="s">
        <v>215</v>
      </c>
      <c r="GW1" t="s">
        <v>216</v>
      </c>
      <c r="GX1" t="s">
        <v>217</v>
      </c>
      <c r="GY1" t="s">
        <v>218</v>
      </c>
      <c r="GZ1" t="s">
        <v>219</v>
      </c>
      <c r="HA1" t="s">
        <v>220</v>
      </c>
    </row>
    <row r="2" spans="1:209">
      <c r="A2" t="s">
        <v>69</v>
      </c>
      <c r="B2">
        <v>408462</v>
      </c>
      <c r="C2">
        <v>396773</v>
      </c>
      <c r="D2">
        <v>1793</v>
      </c>
      <c r="E2">
        <v>321</v>
      </c>
      <c r="F2">
        <v>24</v>
      </c>
      <c r="G2">
        <v>2</v>
      </c>
      <c r="H2">
        <v>19</v>
      </c>
      <c r="I2">
        <v>338</v>
      </c>
      <c r="J2">
        <v>1107</v>
      </c>
      <c r="K2">
        <v>432</v>
      </c>
      <c r="L2">
        <v>536</v>
      </c>
      <c r="M2">
        <v>130</v>
      </c>
      <c r="N2">
        <v>20</v>
      </c>
      <c r="O2">
        <v>943</v>
      </c>
      <c r="P2">
        <v>46</v>
      </c>
      <c r="Q2">
        <v>50</v>
      </c>
      <c r="R2">
        <v>3</v>
      </c>
      <c r="S2">
        <v>156</v>
      </c>
      <c r="T2">
        <v>258</v>
      </c>
      <c r="U2">
        <v>77</v>
      </c>
      <c r="V2">
        <v>168</v>
      </c>
      <c r="W2">
        <v>80</v>
      </c>
      <c r="X2">
        <v>1275</v>
      </c>
      <c r="Y2">
        <v>649</v>
      </c>
      <c r="Z2">
        <v>630</v>
      </c>
      <c r="AA2">
        <v>2</v>
      </c>
      <c r="AB2">
        <v>-1</v>
      </c>
      <c r="AC2">
        <v>392</v>
      </c>
      <c r="AD2">
        <v>59</v>
      </c>
      <c r="AE2">
        <v>1524</v>
      </c>
      <c r="AF2">
        <v>60</v>
      </c>
      <c r="AG2">
        <v>95</v>
      </c>
      <c r="AH2">
        <v>6103</v>
      </c>
      <c r="AI2">
        <v>-1</v>
      </c>
      <c r="AJ2">
        <v>1488</v>
      </c>
      <c r="AK2">
        <v>1118</v>
      </c>
      <c r="AL2">
        <v>1</v>
      </c>
      <c r="AM2">
        <v>1</v>
      </c>
      <c r="AN2">
        <v>0</v>
      </c>
      <c r="AO2">
        <v>63</v>
      </c>
      <c r="AP2">
        <v>277</v>
      </c>
      <c r="AQ2">
        <v>136</v>
      </c>
      <c r="AR2">
        <v>298</v>
      </c>
      <c r="AS2">
        <v>35</v>
      </c>
      <c r="AT2">
        <v>3</v>
      </c>
      <c r="AU2">
        <v>281</v>
      </c>
      <c r="AV2">
        <v>15</v>
      </c>
      <c r="AW2">
        <v>14</v>
      </c>
      <c r="AX2">
        <v>3</v>
      </c>
      <c r="AY2">
        <v>33</v>
      </c>
      <c r="AZ2">
        <v>49</v>
      </c>
      <c r="BA2">
        <v>5</v>
      </c>
      <c r="BB2">
        <v>113</v>
      </c>
      <c r="BC2">
        <v>5</v>
      </c>
      <c r="BD2">
        <v>289</v>
      </c>
      <c r="BE2">
        <v>163</v>
      </c>
      <c r="BF2">
        <v>126</v>
      </c>
      <c r="BG2">
        <v>0</v>
      </c>
      <c r="BH2">
        <v>-1</v>
      </c>
      <c r="BI2">
        <v>115</v>
      </c>
      <c r="BJ2">
        <v>15</v>
      </c>
      <c r="BK2">
        <v>347</v>
      </c>
      <c r="BL2">
        <v>21</v>
      </c>
      <c r="BM2">
        <v>21</v>
      </c>
      <c r="BN2">
        <v>1303</v>
      </c>
      <c r="BO2">
        <v>-1</v>
      </c>
      <c r="BP2">
        <v>341</v>
      </c>
      <c r="BQ2">
        <v>472</v>
      </c>
      <c r="BR2">
        <f>AVERAGE(B2:BQ2)</f>
        <v>12201.088235294117</v>
      </c>
      <c r="BS2">
        <f>AVERAGE(B2:B15)</f>
        <v>817182.07142857148</v>
      </c>
      <c r="BT2" t="s">
        <v>69</v>
      </c>
      <c r="BU2">
        <f>B2/$BR$2*100</f>
        <v>3347.750562269036</v>
      </c>
      <c r="BV2">
        <f t="shared" ref="BV2:EG2" si="0">C2/$BR$2*100</f>
        <v>3251.9476324435864</v>
      </c>
      <c r="BW2">
        <f t="shared" si="0"/>
        <v>14.695410486528445</v>
      </c>
      <c r="BX2">
        <f t="shared" si="0"/>
        <v>2.6309128645709041</v>
      </c>
      <c r="BY2">
        <f t="shared" si="0"/>
        <v>0.19670376557539468</v>
      </c>
      <c r="BZ2">
        <f t="shared" si="0"/>
        <v>1.6391980464616224E-2</v>
      </c>
      <c r="CA2">
        <f t="shared" si="0"/>
        <v>0.15572381441385413</v>
      </c>
      <c r="CB2">
        <f t="shared" si="0"/>
        <v>2.7702446985201421</v>
      </c>
      <c r="CC2">
        <f t="shared" si="0"/>
        <v>9.0729611871650793</v>
      </c>
      <c r="CD2">
        <f t="shared" si="0"/>
        <v>3.5406677803571043</v>
      </c>
      <c r="CE2">
        <f t="shared" si="0"/>
        <v>4.3930507645171479</v>
      </c>
      <c r="CF2">
        <f t="shared" si="0"/>
        <v>1.0654787302000546</v>
      </c>
      <c r="CG2">
        <f t="shared" si="0"/>
        <v>0.16391980464616224</v>
      </c>
      <c r="CH2">
        <f t="shared" si="0"/>
        <v>7.7288187890665494</v>
      </c>
      <c r="CI2">
        <f t="shared" si="0"/>
        <v>0.37701555068617315</v>
      </c>
      <c r="CJ2">
        <f t="shared" si="0"/>
        <v>0.40979951161540562</v>
      </c>
      <c r="CK2">
        <f t="shared" si="0"/>
        <v>2.4587970696924335E-2</v>
      </c>
      <c r="CL2">
        <f t="shared" si="0"/>
        <v>1.2785744762400655</v>
      </c>
      <c r="CM2">
        <f t="shared" si="0"/>
        <v>2.1145654799354929</v>
      </c>
      <c r="CN2">
        <f t="shared" si="0"/>
        <v>0.63109124788772464</v>
      </c>
      <c r="CO2">
        <f t="shared" si="0"/>
        <v>1.3769263590277627</v>
      </c>
      <c r="CP2">
        <f t="shared" si="0"/>
        <v>0.65567921858464895</v>
      </c>
      <c r="CQ2">
        <f t="shared" si="0"/>
        <v>10.449887546192842</v>
      </c>
      <c r="CR2">
        <f t="shared" si="0"/>
        <v>5.3191976607679647</v>
      </c>
      <c r="CS2">
        <f t="shared" si="0"/>
        <v>5.1634738463541101</v>
      </c>
      <c r="CT2">
        <f t="shared" si="0"/>
        <v>1.6391980464616224E-2</v>
      </c>
      <c r="CU2">
        <f t="shared" si="0"/>
        <v>-8.1959902323081122E-3</v>
      </c>
      <c r="CV2">
        <f t="shared" si="0"/>
        <v>3.2128281710647801</v>
      </c>
      <c r="CW2">
        <f t="shared" si="0"/>
        <v>0.48356342370617861</v>
      </c>
      <c r="CX2">
        <f t="shared" si="0"/>
        <v>12.490689114037561</v>
      </c>
      <c r="CY2">
        <f t="shared" si="0"/>
        <v>0.49175941393848671</v>
      </c>
      <c r="CZ2">
        <f t="shared" si="0"/>
        <v>0.77861907206927061</v>
      </c>
      <c r="DA2">
        <f t="shared" si="0"/>
        <v>50.02012838777641</v>
      </c>
      <c r="DB2">
        <f t="shared" si="0"/>
        <v>-8.1959902323081122E-3</v>
      </c>
      <c r="DC2">
        <f t="shared" si="0"/>
        <v>12.19563346567447</v>
      </c>
      <c r="DD2">
        <f t="shared" si="0"/>
        <v>9.1631170797204682</v>
      </c>
      <c r="DE2">
        <f t="shared" si="0"/>
        <v>8.1959902323081122E-3</v>
      </c>
      <c r="DF2">
        <f t="shared" si="0"/>
        <v>8.1959902323081122E-3</v>
      </c>
      <c r="DG2">
        <f t="shared" si="0"/>
        <v>0</v>
      </c>
      <c r="DH2">
        <f t="shared" si="0"/>
        <v>0.51634738463541097</v>
      </c>
      <c r="DI2">
        <f t="shared" si="0"/>
        <v>2.2702892943493471</v>
      </c>
      <c r="DJ2">
        <f t="shared" si="0"/>
        <v>1.1146546715939032</v>
      </c>
      <c r="DK2">
        <f t="shared" si="0"/>
        <v>2.4424050892278175</v>
      </c>
      <c r="DL2">
        <f t="shared" si="0"/>
        <v>0.2868596581307839</v>
      </c>
      <c r="DM2">
        <f t="shared" si="0"/>
        <v>2.4587970696924335E-2</v>
      </c>
      <c r="DN2">
        <f t="shared" si="0"/>
        <v>2.3030732552785795</v>
      </c>
      <c r="DO2">
        <f t="shared" si="0"/>
        <v>0.12293985348462168</v>
      </c>
      <c r="DP2">
        <f t="shared" si="0"/>
        <v>0.11474386325231356</v>
      </c>
      <c r="DQ2">
        <f t="shared" si="0"/>
        <v>2.4587970696924335E-2</v>
      </c>
      <c r="DR2">
        <f t="shared" si="0"/>
        <v>0.27046767766616769</v>
      </c>
      <c r="DS2">
        <f t="shared" si="0"/>
        <v>0.40160352138309752</v>
      </c>
      <c r="DT2">
        <f t="shared" si="0"/>
        <v>4.0979951161540559E-2</v>
      </c>
      <c r="DU2">
        <f t="shared" si="0"/>
        <v>0.9261468962508167</v>
      </c>
      <c r="DV2">
        <f t="shared" si="0"/>
        <v>4.0979951161540559E-2</v>
      </c>
      <c r="DW2">
        <f t="shared" si="0"/>
        <v>2.3686411771370444</v>
      </c>
      <c r="DX2">
        <f t="shared" si="0"/>
        <v>1.3359464078662222</v>
      </c>
      <c r="DY2">
        <f t="shared" si="0"/>
        <v>1.0326947692708219</v>
      </c>
      <c r="DZ2">
        <f t="shared" si="0"/>
        <v>0</v>
      </c>
      <c r="EA2">
        <f t="shared" si="0"/>
        <v>-8.1959902323081122E-3</v>
      </c>
      <c r="EB2">
        <f t="shared" si="0"/>
        <v>0.94253887671543279</v>
      </c>
      <c r="EC2">
        <f t="shared" si="0"/>
        <v>0.12293985348462168</v>
      </c>
      <c r="ED2">
        <f t="shared" si="0"/>
        <v>2.8440086106109148</v>
      </c>
      <c r="EE2">
        <f t="shared" si="0"/>
        <v>0.17211579487847034</v>
      </c>
      <c r="EF2">
        <f t="shared" si="0"/>
        <v>0.17211579487847034</v>
      </c>
      <c r="EG2">
        <f t="shared" si="0"/>
        <v>10.67937527269747</v>
      </c>
      <c r="EH2">
        <f t="shared" ref="EH2:EJ2" si="1">BO2/$BR$2*100</f>
        <v>-8.1959902323081122E-3</v>
      </c>
      <c r="EI2">
        <f t="shared" si="1"/>
        <v>2.7948326692170662</v>
      </c>
      <c r="EJ2">
        <f t="shared" si="1"/>
        <v>3.8685073896494289</v>
      </c>
      <c r="EK2" t="s">
        <v>69</v>
      </c>
      <c r="EL2">
        <f>B2/$BS$2*100</f>
        <v>49.984209673853933</v>
      </c>
      <c r="EM2">
        <f>C2/$BS$2*100</f>
        <v>48.55380629024009</v>
      </c>
      <c r="EN2">
        <f>D2/$BS$3*100</f>
        <v>0.20666613975116416</v>
      </c>
      <c r="EO2">
        <f>E2/$BS$4*100</f>
        <v>3.6999347942065636E-2</v>
      </c>
      <c r="EP2">
        <f>F2/$BS$5*100</f>
        <v>0.46753680460857705</v>
      </c>
      <c r="EQ2">
        <f>G2/$BS$6*100</f>
        <v>0.17104459376908981</v>
      </c>
      <c r="ER2">
        <f>H2/$BS$7*100</f>
        <v>16.573208722741434</v>
      </c>
      <c r="ES2">
        <f>I2/$BS$8*100</f>
        <v>5701.2048192771081</v>
      </c>
      <c r="ET2">
        <f>J2/$BS$9*100</f>
        <v>620.1680672268908</v>
      </c>
      <c r="EU2">
        <f>K2/$BS$10*100</f>
        <v>26.14107883817427</v>
      </c>
      <c r="EV2">
        <f>L2/$BS$11*100</f>
        <v>19.322278298485941</v>
      </c>
      <c r="EW2">
        <f>M2/$BS$12*100</f>
        <v>10.352084636823843</v>
      </c>
      <c r="EX2">
        <f>N2/$BS$13*100</f>
        <v>0.5348512922389258</v>
      </c>
      <c r="EY2">
        <f>O2/$BS$14*100</f>
        <v>151.00080064051241</v>
      </c>
      <c r="EZ2">
        <f>P2/$BS$15*100</f>
        <v>141.85022026431716</v>
      </c>
      <c r="FA2">
        <f>Q2/$BS$16*100</f>
        <v>0.93099962760014898</v>
      </c>
      <c r="FB2">
        <f>R2/$BS$17*100</f>
        <v>0.46568355693535873</v>
      </c>
      <c r="FC2">
        <f>S2/$BS$18*100</f>
        <v>9.9065590129728758</v>
      </c>
      <c r="FD2">
        <f>T2/$BS$19*100</f>
        <v>624.91349480968859</v>
      </c>
      <c r="FE2">
        <f>U2/$BS$20*100</f>
        <v>24.003562680917391</v>
      </c>
      <c r="FF2">
        <f>V2/$BS$21*100</f>
        <v>14.560762706617966</v>
      </c>
      <c r="FG2">
        <f>W2/$BS$22*100</f>
        <v>4.9306625577812024</v>
      </c>
      <c r="FH2">
        <f>X2/$BS$23*100</f>
        <v>216.49484536082474</v>
      </c>
      <c r="FI2">
        <f>Y2/$BS$24*100</f>
        <v>96.097303014278154</v>
      </c>
      <c r="FJ2">
        <f>Z2/$BS$25*100</f>
        <v>4.19366955595601</v>
      </c>
      <c r="FK2">
        <f>AA2/$BS$26*100</f>
        <v>5.8164897484368185E-2</v>
      </c>
      <c r="FL2">
        <f>AB2/$BS$27*100</f>
        <v>-1.0748890560938532E-2</v>
      </c>
      <c r="FM2">
        <f>AC2/$BS$28*100</f>
        <v>68.94472361809045</v>
      </c>
      <c r="FN2">
        <f>AD2/$BS$29*100</f>
        <v>168.22810590631366</v>
      </c>
      <c r="FO2">
        <f>AE2/$BS$30*100</f>
        <v>65.649230769230769</v>
      </c>
      <c r="FP2">
        <f>AF2/$BS$31*100</f>
        <v>0.55014146494812954</v>
      </c>
      <c r="FQ2">
        <f>AG2/$BS$32*100</f>
        <v>5.8328216823085688</v>
      </c>
      <c r="FR2">
        <f>AH2/$BS$33*100</f>
        <v>122.10186349605578</v>
      </c>
      <c r="FS2">
        <f>AI2/$BS$34*100</f>
        <v>-0.25247971145175835</v>
      </c>
      <c r="FT2">
        <f>AJ2/$BS$35*100</f>
        <v>4.736192357797143</v>
      </c>
      <c r="FU2">
        <f>AK2/$BS$36*100</f>
        <v>106.23769768546801</v>
      </c>
      <c r="FV2">
        <f>AL2/$BS$37*100</f>
        <v>2.1187081933472563E-2</v>
      </c>
      <c r="FW2">
        <f>AM2/$BS$38*100</f>
        <v>1.7692404903323643E-2</v>
      </c>
      <c r="FX2">
        <f>AN2/$BS$39*100</f>
        <v>0</v>
      </c>
      <c r="FY2">
        <f>AO2/$BS$40*100</f>
        <v>4899.9999999999991</v>
      </c>
      <c r="FZ2">
        <f>AP2/$BS$41*100</f>
        <v>29830.76923076923</v>
      </c>
      <c r="GA2">
        <f>AQ2/$BS$42*100</f>
        <v>66.924428822495614</v>
      </c>
      <c r="GB2">
        <f>AR2/$BS$43*100</f>
        <v>35.242439601284005</v>
      </c>
      <c r="GC2">
        <f>AS2/$BS$44*100</f>
        <v>22.940074906367037</v>
      </c>
      <c r="GD2">
        <f>AT2/$BS$45*100</f>
        <v>0.14454845814977973</v>
      </c>
      <c r="GE2">
        <f>AU2/$BS$46*100</f>
        <v>284.65991316931985</v>
      </c>
      <c r="GF2">
        <f>AV2/$BS$47*100</f>
        <v>176.47058823529412</v>
      </c>
      <c r="GG2">
        <f>AW2/$BS$48*100</f>
        <v>0.83468188399625254</v>
      </c>
      <c r="GH2">
        <f>AX2/$BS$49*100</f>
        <v>2.5766871165644174</v>
      </c>
      <c r="GI2">
        <f>AY2/$BS$50*100</f>
        <v>9.3032621828433353</v>
      </c>
      <c r="GJ2">
        <f>AZ2/$BS$51*100</f>
        <v>136.11111111111111</v>
      </c>
      <c r="GK2">
        <f>BA2/$BS$52*100</f>
        <v>10.1010101010101</v>
      </c>
      <c r="GL2">
        <f>BB2/$BS$53*100</f>
        <v>53.80952380952381</v>
      </c>
      <c r="GM2">
        <f>BC2/$BS$54*100</f>
        <v>3.1978072179077199</v>
      </c>
      <c r="GN2">
        <f>BD2/$BS$55*100</f>
        <v>22.55546883710559</v>
      </c>
      <c r="GO2">
        <f>BE2/$BS$56*100</f>
        <v>491.81034482758611</v>
      </c>
      <c r="GP2">
        <f>BF2/$BS$57*100</f>
        <v>5.464345455671892</v>
      </c>
      <c r="GQ2">
        <f>BG2/$BS$58*100</f>
        <v>0</v>
      </c>
      <c r="GR2">
        <f>BH2/$BS$59*100</f>
        <v>-6.3034669067987395E-2</v>
      </c>
      <c r="GS2">
        <f>BI2/$BS$60*100</f>
        <v>204.574332909784</v>
      </c>
      <c r="GT2">
        <f>BJ2/$BS$61*100</f>
        <v>46.875</v>
      </c>
      <c r="GU2">
        <f>BK2/$BS$62*100</f>
        <v>67.91555990493498</v>
      </c>
      <c r="GV2">
        <f>BL2/$BS$63*100</f>
        <v>1.5893610120012975</v>
      </c>
      <c r="GW2">
        <f>BM2/$BS$64*100</f>
        <v>7.4355083459787554</v>
      </c>
      <c r="GX2">
        <f>BN2/$BS$65*100</f>
        <v>113.65732087227416</v>
      </c>
      <c r="GY2">
        <f>BO2/$BS$66*100</f>
        <v>-0.41152263374485598</v>
      </c>
      <c r="GZ2">
        <f>BP2/$BS$67*100</f>
        <v>7.1524885386390196</v>
      </c>
      <c r="HA2">
        <f>BQ2/$BS$68*100</f>
        <v>153.78170816848964</v>
      </c>
    </row>
    <row r="3" spans="1:209">
      <c r="A3" t="s">
        <v>70</v>
      </c>
      <c r="B3">
        <v>12312</v>
      </c>
      <c r="C3">
        <v>16237</v>
      </c>
      <c r="D3">
        <v>56</v>
      </c>
      <c r="E3">
        <v>8</v>
      </c>
      <c r="F3">
        <v>-1</v>
      </c>
      <c r="G3">
        <v>-1</v>
      </c>
      <c r="H3">
        <v>-1</v>
      </c>
      <c r="I3">
        <v>5</v>
      </c>
      <c r="J3">
        <v>27</v>
      </c>
      <c r="K3">
        <v>7</v>
      </c>
      <c r="L3">
        <v>44</v>
      </c>
      <c r="M3">
        <v>0</v>
      </c>
      <c r="N3">
        <v>-1</v>
      </c>
      <c r="O3">
        <v>91</v>
      </c>
      <c r="P3">
        <v>0</v>
      </c>
      <c r="Q3">
        <v>0</v>
      </c>
      <c r="R3">
        <v>-1</v>
      </c>
      <c r="S3">
        <v>3</v>
      </c>
      <c r="T3">
        <v>9</v>
      </c>
      <c r="U3">
        <v>1</v>
      </c>
      <c r="V3">
        <v>-1</v>
      </c>
      <c r="W3">
        <v>3</v>
      </c>
      <c r="X3">
        <v>39</v>
      </c>
      <c r="Y3">
        <v>8</v>
      </c>
      <c r="Z3">
        <v>31</v>
      </c>
      <c r="AA3">
        <v>-1</v>
      </c>
      <c r="AB3">
        <v>-1</v>
      </c>
      <c r="AC3">
        <v>85</v>
      </c>
      <c r="AD3">
        <v>21</v>
      </c>
      <c r="AE3">
        <v>168</v>
      </c>
      <c r="AF3">
        <v>35</v>
      </c>
      <c r="AG3">
        <v>-1</v>
      </c>
      <c r="AH3">
        <v>264</v>
      </c>
      <c r="AI3">
        <v>-1</v>
      </c>
      <c r="AJ3">
        <v>32</v>
      </c>
      <c r="AK3">
        <v>51</v>
      </c>
      <c r="AL3">
        <v>-1</v>
      </c>
      <c r="AM3">
        <v>-1</v>
      </c>
      <c r="AN3">
        <v>-1</v>
      </c>
      <c r="AO3">
        <v>0</v>
      </c>
      <c r="AP3">
        <v>11</v>
      </c>
      <c r="AQ3">
        <v>1</v>
      </c>
      <c r="AR3">
        <v>14</v>
      </c>
      <c r="AS3">
        <v>1</v>
      </c>
      <c r="AT3">
        <v>-1</v>
      </c>
      <c r="AU3">
        <v>39</v>
      </c>
      <c r="AV3">
        <v>2</v>
      </c>
      <c r="AW3">
        <v>1</v>
      </c>
      <c r="AX3">
        <v>-1</v>
      </c>
      <c r="AY3">
        <v>1</v>
      </c>
      <c r="AZ3">
        <v>4</v>
      </c>
      <c r="BA3">
        <v>0</v>
      </c>
      <c r="BB3">
        <v>-1</v>
      </c>
      <c r="BC3">
        <v>1</v>
      </c>
      <c r="BD3">
        <v>4</v>
      </c>
      <c r="BE3">
        <v>1</v>
      </c>
      <c r="BF3">
        <v>3</v>
      </c>
      <c r="BG3">
        <v>-1</v>
      </c>
      <c r="BH3">
        <v>-1</v>
      </c>
      <c r="BI3">
        <v>14</v>
      </c>
      <c r="BJ3">
        <v>11</v>
      </c>
      <c r="BK3">
        <v>47</v>
      </c>
      <c r="BL3">
        <v>17</v>
      </c>
      <c r="BM3">
        <v>-1</v>
      </c>
      <c r="BN3">
        <v>74</v>
      </c>
      <c r="BO3">
        <v>-1</v>
      </c>
      <c r="BP3">
        <v>11</v>
      </c>
      <c r="BQ3">
        <v>16</v>
      </c>
      <c r="BR3">
        <f t="shared" ref="BR3:BR15" si="2">AVERAGE(B3:BQ3)</f>
        <v>438.08823529411762</v>
      </c>
      <c r="BS3">
        <f>AVERAGE(C2:C15)</f>
        <v>867582.85714285716</v>
      </c>
      <c r="BT3" t="s">
        <v>70</v>
      </c>
      <c r="BU3">
        <f>B3/$BR$3*100</f>
        <v>2810.3927492447133</v>
      </c>
      <c r="BV3">
        <f t="shared" ref="BV3:EG3" si="3">C3/$BR$3*100</f>
        <v>3706.3309835515279</v>
      </c>
      <c r="BW3">
        <f t="shared" si="3"/>
        <v>12.782813024504868</v>
      </c>
      <c r="BX3">
        <f t="shared" si="3"/>
        <v>1.8261161463578381</v>
      </c>
      <c r="BY3">
        <f t="shared" si="3"/>
        <v>-0.22826451829472977</v>
      </c>
      <c r="BZ3">
        <f t="shared" si="3"/>
        <v>-0.22826451829472977</v>
      </c>
      <c r="CA3">
        <f t="shared" si="3"/>
        <v>-0.22826451829472977</v>
      </c>
      <c r="CB3">
        <f t="shared" si="3"/>
        <v>1.1413225914736489</v>
      </c>
      <c r="CC3">
        <f t="shared" si="3"/>
        <v>6.1631419939577041</v>
      </c>
      <c r="CD3">
        <f t="shared" si="3"/>
        <v>1.5978516280631085</v>
      </c>
      <c r="CE3">
        <f t="shared" si="3"/>
        <v>10.043638804968111</v>
      </c>
      <c r="CF3">
        <f t="shared" si="3"/>
        <v>0</v>
      </c>
      <c r="CG3">
        <f t="shared" si="3"/>
        <v>-0.22826451829472977</v>
      </c>
      <c r="CH3">
        <f t="shared" si="3"/>
        <v>20.77207116482041</v>
      </c>
      <c r="CI3">
        <f t="shared" si="3"/>
        <v>0</v>
      </c>
      <c r="CJ3">
        <f t="shared" si="3"/>
        <v>0</v>
      </c>
      <c r="CK3">
        <f t="shared" si="3"/>
        <v>-0.22826451829472977</v>
      </c>
      <c r="CL3">
        <f t="shared" si="3"/>
        <v>0.68479355488418936</v>
      </c>
      <c r="CM3">
        <f t="shared" si="3"/>
        <v>2.0543806646525682</v>
      </c>
      <c r="CN3">
        <f t="shared" si="3"/>
        <v>0.22826451829472977</v>
      </c>
      <c r="CO3">
        <f t="shared" si="3"/>
        <v>-0.22826451829472977</v>
      </c>
      <c r="CP3">
        <f t="shared" si="3"/>
        <v>0.68479355488418936</v>
      </c>
      <c r="CQ3">
        <f t="shared" si="3"/>
        <v>8.902316213494462</v>
      </c>
      <c r="CR3">
        <f t="shared" si="3"/>
        <v>1.8261161463578381</v>
      </c>
      <c r="CS3">
        <f t="shared" si="3"/>
        <v>7.0762000671366234</v>
      </c>
      <c r="CT3">
        <f t="shared" si="3"/>
        <v>-0.22826451829472977</v>
      </c>
      <c r="CU3">
        <f t="shared" si="3"/>
        <v>-0.22826451829472977</v>
      </c>
      <c r="CV3">
        <f t="shared" si="3"/>
        <v>19.402484055052032</v>
      </c>
      <c r="CW3">
        <f t="shared" si="3"/>
        <v>4.7935548841893256</v>
      </c>
      <c r="CX3">
        <f t="shared" si="3"/>
        <v>38.348439073514605</v>
      </c>
      <c r="CY3">
        <f t="shared" si="3"/>
        <v>7.9892581403155427</v>
      </c>
      <c r="CZ3">
        <f t="shared" si="3"/>
        <v>-0.22826451829472977</v>
      </c>
      <c r="DA3">
        <f t="shared" si="3"/>
        <v>60.261832829808661</v>
      </c>
      <c r="DB3">
        <f t="shared" si="3"/>
        <v>-0.22826451829472977</v>
      </c>
      <c r="DC3">
        <f t="shared" si="3"/>
        <v>7.3044645854313526</v>
      </c>
      <c r="DD3">
        <f t="shared" si="3"/>
        <v>11.641490433031219</v>
      </c>
      <c r="DE3">
        <f t="shared" si="3"/>
        <v>-0.22826451829472977</v>
      </c>
      <c r="DF3">
        <f t="shared" si="3"/>
        <v>-0.22826451829472977</v>
      </c>
      <c r="DG3">
        <f t="shared" si="3"/>
        <v>-0.22826451829472977</v>
      </c>
      <c r="DH3">
        <f t="shared" si="3"/>
        <v>0</v>
      </c>
      <c r="DI3">
        <f t="shared" si="3"/>
        <v>2.5109097012420278</v>
      </c>
      <c r="DJ3">
        <f t="shared" si="3"/>
        <v>0.22826451829472977</v>
      </c>
      <c r="DK3">
        <f t="shared" si="3"/>
        <v>3.1957032561262171</v>
      </c>
      <c r="DL3">
        <f t="shared" si="3"/>
        <v>0.22826451829472977</v>
      </c>
      <c r="DM3">
        <f t="shared" si="3"/>
        <v>-0.22826451829472977</v>
      </c>
      <c r="DN3">
        <f t="shared" si="3"/>
        <v>8.902316213494462</v>
      </c>
      <c r="DO3">
        <f t="shared" si="3"/>
        <v>0.45652903658945954</v>
      </c>
      <c r="DP3">
        <f t="shared" si="3"/>
        <v>0.22826451829472977</v>
      </c>
      <c r="DQ3">
        <f t="shared" si="3"/>
        <v>-0.22826451829472977</v>
      </c>
      <c r="DR3">
        <f t="shared" si="3"/>
        <v>0.22826451829472977</v>
      </c>
      <c r="DS3">
        <f t="shared" si="3"/>
        <v>0.91305807317891907</v>
      </c>
      <c r="DT3">
        <f t="shared" si="3"/>
        <v>0</v>
      </c>
      <c r="DU3">
        <f t="shared" si="3"/>
        <v>-0.22826451829472977</v>
      </c>
      <c r="DV3">
        <f t="shared" si="3"/>
        <v>0.22826451829472977</v>
      </c>
      <c r="DW3">
        <f t="shared" si="3"/>
        <v>0.91305807317891907</v>
      </c>
      <c r="DX3">
        <f t="shared" si="3"/>
        <v>0.22826451829472977</v>
      </c>
      <c r="DY3">
        <f t="shared" si="3"/>
        <v>0.68479355488418936</v>
      </c>
      <c r="DZ3">
        <f t="shared" si="3"/>
        <v>-0.22826451829472977</v>
      </c>
      <c r="EA3">
        <f t="shared" si="3"/>
        <v>-0.22826451829472977</v>
      </c>
      <c r="EB3">
        <f t="shared" si="3"/>
        <v>3.1957032561262171</v>
      </c>
      <c r="EC3">
        <f t="shared" si="3"/>
        <v>2.5109097012420278</v>
      </c>
      <c r="ED3">
        <f t="shared" si="3"/>
        <v>10.728432359852299</v>
      </c>
      <c r="EE3">
        <f t="shared" si="3"/>
        <v>3.8804968110104068</v>
      </c>
      <c r="EF3">
        <f t="shared" si="3"/>
        <v>-0.22826451829472977</v>
      </c>
      <c r="EG3">
        <f t="shared" si="3"/>
        <v>16.891574353810004</v>
      </c>
      <c r="EH3">
        <f t="shared" ref="EH3:EJ3" si="4">BO3/$BR$3*100</f>
        <v>-0.22826451829472977</v>
      </c>
      <c r="EI3">
        <f t="shared" si="4"/>
        <v>2.5109097012420278</v>
      </c>
      <c r="EJ3">
        <f t="shared" si="4"/>
        <v>3.6522322927156763</v>
      </c>
      <c r="EK3" t="s">
        <v>70</v>
      </c>
      <c r="EL3">
        <f t="shared" ref="EL3:EL15" si="5">B3/$BS$2*100</f>
        <v>1.506640983749993</v>
      </c>
      <c r="EM3">
        <f t="shared" ref="EM3:EM15" si="6">C3/$BS$2*100</f>
        <v>1.9869501017827029</v>
      </c>
      <c r="EN3">
        <f t="shared" ref="EN3:EN15" si="7">D3/$BS$3*100</f>
        <v>6.4547149057809219E-3</v>
      </c>
      <c r="EO3">
        <f t="shared" ref="EO3:EO15" si="8">E3/$BS$4*100</f>
        <v>9.2210212939727453E-4</v>
      </c>
      <c r="EP3">
        <f t="shared" ref="EP3:EP15" si="9">F3/$BS$5*100</f>
        <v>-1.9480700192024043E-2</v>
      </c>
      <c r="EQ3">
        <f t="shared" ref="EQ3:EQ15" si="10">G3/$BS$6*100</f>
        <v>-8.5522296884544907E-2</v>
      </c>
      <c r="ER3">
        <f t="shared" ref="ER3:ER15" si="11">H3/$BS$7*100</f>
        <v>-0.87227414330218067</v>
      </c>
      <c r="ES3">
        <f t="shared" ref="ES3:ES15" si="12">I3/$BS$8*100</f>
        <v>84.337349397590359</v>
      </c>
      <c r="ET3">
        <f t="shared" ref="ET3:ET15" si="13">J3/$BS$9*100</f>
        <v>15.126050420168067</v>
      </c>
      <c r="EU3">
        <f t="shared" ref="EU3:EU15" si="14">K3/$BS$10*100</f>
        <v>0.42358229598893499</v>
      </c>
      <c r="EV3">
        <f t="shared" ref="EV3:EV15" si="15">L3/$BS$11*100</f>
        <v>1.5861571737563085</v>
      </c>
      <c r="EW3">
        <f t="shared" ref="EW3:EW15" si="16">M3/$BS$12*100</f>
        <v>0</v>
      </c>
      <c r="EX3">
        <f t="shared" ref="EX3:EX15" si="17">N3/$BS$13*100</f>
        <v>-2.6742564611946285E-2</v>
      </c>
      <c r="EY3">
        <f t="shared" ref="EY3:EY15" si="18">O3/$BS$14*100</f>
        <v>14.571657325860688</v>
      </c>
      <c r="EZ3">
        <f t="shared" ref="EZ3:EZ15" si="19">P3/$BS$15*100</f>
        <v>0</v>
      </c>
      <c r="FA3">
        <f t="shared" ref="FA3:FA15" si="20">Q3/$BS$16*100</f>
        <v>0</v>
      </c>
      <c r="FB3">
        <f t="shared" ref="FB3:FB15" si="21">R3/$BS$17*100</f>
        <v>-0.15522785231178624</v>
      </c>
      <c r="FC3">
        <f t="shared" ref="FC3:FC15" si="22">S3/$BS$18*100</f>
        <v>0.19051075024947836</v>
      </c>
      <c r="FD3">
        <f t="shared" ref="FD3:FD15" si="23">T3/$BS$19*100</f>
        <v>21.79930795847751</v>
      </c>
      <c r="FE3">
        <f t="shared" ref="FE3:FE15" si="24">U3/$BS$20*100</f>
        <v>0.31173458027165446</v>
      </c>
      <c r="FF3">
        <f t="shared" ref="FF3:FF15" si="25">V3/$BS$21*100</f>
        <v>-8.6671206587011704E-2</v>
      </c>
      <c r="FG3">
        <f t="shared" ref="FG3:FG15" si="26">W3/$BS$22*100</f>
        <v>0.18489984591679506</v>
      </c>
      <c r="FH3">
        <f t="shared" ref="FH3:FH15" si="27">X3/$BS$23*100</f>
        <v>6.622195269860522</v>
      </c>
      <c r="FI3">
        <f t="shared" ref="FI3:FI15" si="28">Y3/$BS$24*100</f>
        <v>1.1845584346906399</v>
      </c>
      <c r="FJ3">
        <f t="shared" ref="FJ3:FJ15" si="29">Z3/$BS$25*100</f>
        <v>0.20635516862640679</v>
      </c>
      <c r="FK3">
        <f t="shared" ref="FK3:FK15" si="30">AA3/$BS$26*100</f>
        <v>-2.9082448742184092E-2</v>
      </c>
      <c r="FL3">
        <f t="shared" ref="FL3:FL15" si="31">AB3/$BS$27*100</f>
        <v>-1.0748890560938532E-2</v>
      </c>
      <c r="FM3">
        <f t="shared" ref="FM3:FM15" si="32">AC3/$BS$28*100</f>
        <v>14.949748743718594</v>
      </c>
      <c r="FN3">
        <f t="shared" ref="FN3:FN15" si="33">AD3/$BS$29*100</f>
        <v>59.877800407331982</v>
      </c>
      <c r="FO3">
        <f t="shared" ref="FO3:FO15" si="34">AE3/$BS$30*100</f>
        <v>7.2369230769230768</v>
      </c>
      <c r="FP3">
        <f t="shared" ref="FP3:FP15" si="35">AF3/$BS$31*100</f>
        <v>0.32091585455307559</v>
      </c>
      <c r="FQ3">
        <f t="shared" ref="FQ3:FQ15" si="36">AG3/$BS$32*100</f>
        <v>-6.1398122971669154E-2</v>
      </c>
      <c r="FR3">
        <f t="shared" ref="FR3:FR15" si="37">AH3/$BS$33*100</f>
        <v>5.2818109065965473</v>
      </c>
      <c r="FS3">
        <f t="shared" ref="FS3:FS15" si="38">AI3/$BS$34*100</f>
        <v>-0.25247971145175835</v>
      </c>
      <c r="FT3">
        <f t="shared" ref="FT3:FT15" si="39">AJ3/$BS$35*100</f>
        <v>0.10185359909241168</v>
      </c>
      <c r="FU3">
        <f t="shared" ref="FU3:FU15" si="40">AK3/$BS$36*100</f>
        <v>4.846263490124211</v>
      </c>
      <c r="FV3">
        <f t="shared" ref="FV3:FV15" si="41">AL3/$BS$37*100</f>
        <v>-2.1187081933472563E-2</v>
      </c>
      <c r="FW3">
        <f t="shared" ref="FW3:FW15" si="42">AM3/$BS$38*100</f>
        <v>-1.7692404903323643E-2</v>
      </c>
      <c r="FX3">
        <f t="shared" ref="FX3:FX15" si="43">AN3/$BS$39*100</f>
        <v>-8.3832335329341312</v>
      </c>
      <c r="FY3">
        <f t="shared" ref="FY3:FY15" si="44">AO3/$BS$40*100</f>
        <v>0</v>
      </c>
      <c r="FZ3">
        <f t="shared" ref="FZ3:FZ15" si="45">AP3/$BS$41*100</f>
        <v>1184.6153846153845</v>
      </c>
      <c r="GA3">
        <f t="shared" ref="GA3:GA15" si="46">AQ3/$BS$42*100</f>
        <v>0.49209138840070299</v>
      </c>
      <c r="GB3">
        <f t="shared" ref="GB3:GB15" si="47">AR3/$BS$43*100</f>
        <v>1.6556850819395168</v>
      </c>
      <c r="GC3">
        <f t="shared" ref="GC3:GC15" si="48">AS3/$BS$44*100</f>
        <v>0.65543071161048683</v>
      </c>
      <c r="GD3">
        <f t="shared" ref="GD3:GD15" si="49">AT3/$BS$45*100</f>
        <v>-4.8182819383259905E-2</v>
      </c>
      <c r="GE3">
        <f t="shared" ref="GE3:GE15" si="50">AU3/$BS$46*100</f>
        <v>39.507959479015916</v>
      </c>
      <c r="GF3">
        <f t="shared" ref="GF3:GF15" si="51">AV3/$BS$47*100</f>
        <v>23.52941176470588</v>
      </c>
      <c r="GG3">
        <f t="shared" ref="GG3:GG15" si="52">AW3/$BS$48*100</f>
        <v>5.9620134571160895E-2</v>
      </c>
      <c r="GH3">
        <f t="shared" ref="GH3:GH15" si="53">AX3/$BS$49*100</f>
        <v>-0.85889570552147232</v>
      </c>
      <c r="GI3">
        <f t="shared" ref="GI3:GI15" si="54">AY3/$BS$50*100</f>
        <v>0.2819170358437374</v>
      </c>
      <c r="GJ3">
        <f t="shared" ref="GJ3:GJ15" si="55">AZ3/$BS$51*100</f>
        <v>11.111111111111111</v>
      </c>
      <c r="GK3">
        <f t="shared" ref="GK3:GK15" si="56">BA3/$BS$52*100</f>
        <v>0</v>
      </c>
      <c r="GL3">
        <f t="shared" ref="GL3:GL15" si="57">BB3/$BS$53*100</f>
        <v>-0.47619047619047622</v>
      </c>
      <c r="GM3">
        <f t="shared" ref="GM3:GM15" si="58">BC3/$BS$54*100</f>
        <v>0.6395614435815441</v>
      </c>
      <c r="GN3">
        <f t="shared" ref="GN3:GN15" si="59">BD3/$BS$55*100</f>
        <v>0.31218641989073481</v>
      </c>
      <c r="GO3">
        <f t="shared" ref="GO3:GO15" si="60">BE3/$BS$56*100</f>
        <v>3.0172413793103448</v>
      </c>
      <c r="GP3">
        <f t="shared" ref="GP3:GP15" si="61">BF3/$BS$57*100</f>
        <v>0.13010346323028313</v>
      </c>
      <c r="GQ3">
        <f t="shared" ref="GQ3:GQ15" si="62">BG3/$BS$58*100</f>
        <v>-0.20390329158170695</v>
      </c>
      <c r="GR3">
        <f t="shared" ref="GR3:GR15" si="63">BH3/$BS$59*100</f>
        <v>-6.3034669067987395E-2</v>
      </c>
      <c r="GS3">
        <f t="shared" ref="GS3:GS15" si="64">BI3/$BS$60*100</f>
        <v>24.904701397712834</v>
      </c>
      <c r="GT3">
        <f t="shared" ref="GT3:GT15" si="65">BJ3/$BS$61*100</f>
        <v>34.375</v>
      </c>
      <c r="GU3">
        <f t="shared" ref="GU3:GU15" si="66">BK3/$BS$62*100</f>
        <v>9.1989375087375933</v>
      </c>
      <c r="GV3">
        <f t="shared" ref="GV3:GV15" si="67">BL3/$BS$63*100</f>
        <v>1.2866255811439076</v>
      </c>
      <c r="GW3">
        <f t="shared" ref="GW3:GW15" si="68">BM3/$BS$64*100</f>
        <v>-0.35407182599898834</v>
      </c>
      <c r="GX3">
        <f t="shared" ref="GX3:GX15" si="69">BN3/$BS$65*100</f>
        <v>6.4548286604361378</v>
      </c>
      <c r="GY3">
        <f t="shared" ref="GY3:GY15" si="70">BO3/$BS$66*100</f>
        <v>-0.41152263374485598</v>
      </c>
      <c r="GZ3">
        <f t="shared" ref="GZ3:GZ15" si="71">BP3/$BS$67*100</f>
        <v>0.23072543673029097</v>
      </c>
      <c r="HA3">
        <f t="shared" ref="HA3:HA15" si="72">BQ3/$BS$68*100</f>
        <v>5.2129392599488007</v>
      </c>
    </row>
    <row r="4" spans="1:209">
      <c r="A4" t="s">
        <v>71</v>
      </c>
      <c r="B4">
        <v>292249</v>
      </c>
      <c r="C4">
        <v>328712</v>
      </c>
      <c r="D4">
        <v>2072</v>
      </c>
      <c r="E4">
        <v>383</v>
      </c>
      <c r="F4">
        <v>73</v>
      </c>
      <c r="G4">
        <v>-1</v>
      </c>
      <c r="H4">
        <v>105</v>
      </c>
      <c r="I4">
        <v>733</v>
      </c>
      <c r="J4">
        <v>841</v>
      </c>
      <c r="K4">
        <v>1309</v>
      </c>
      <c r="L4">
        <v>1092</v>
      </c>
      <c r="M4">
        <v>560</v>
      </c>
      <c r="N4">
        <v>57</v>
      </c>
      <c r="O4">
        <v>5156</v>
      </c>
      <c r="P4">
        <v>91</v>
      </c>
      <c r="Q4">
        <v>23</v>
      </c>
      <c r="R4">
        <v>-1</v>
      </c>
      <c r="S4">
        <v>-1</v>
      </c>
      <c r="T4">
        <v>417</v>
      </c>
      <c r="U4">
        <v>961</v>
      </c>
      <c r="V4">
        <v>154</v>
      </c>
      <c r="W4">
        <v>118</v>
      </c>
      <c r="X4">
        <v>15119</v>
      </c>
      <c r="Y4">
        <v>4423</v>
      </c>
      <c r="Z4">
        <v>10696</v>
      </c>
      <c r="AA4">
        <v>130</v>
      </c>
      <c r="AB4">
        <v>56</v>
      </c>
      <c r="AC4">
        <v>86</v>
      </c>
      <c r="AD4">
        <v>46</v>
      </c>
      <c r="AE4">
        <v>-1</v>
      </c>
      <c r="AF4">
        <v>967</v>
      </c>
      <c r="AG4">
        <v>64</v>
      </c>
      <c r="AH4">
        <v>12718</v>
      </c>
      <c r="AI4">
        <v>153</v>
      </c>
      <c r="AJ4">
        <v>1752</v>
      </c>
      <c r="AK4">
        <v>3018</v>
      </c>
      <c r="AL4">
        <v>6</v>
      </c>
      <c r="AM4">
        <v>-1</v>
      </c>
      <c r="AN4">
        <v>0</v>
      </c>
      <c r="AO4">
        <v>114</v>
      </c>
      <c r="AP4">
        <v>289</v>
      </c>
      <c r="AQ4">
        <v>230</v>
      </c>
      <c r="AR4">
        <v>447</v>
      </c>
      <c r="AS4">
        <v>85</v>
      </c>
      <c r="AT4">
        <v>18</v>
      </c>
      <c r="AU4">
        <v>1974</v>
      </c>
      <c r="AV4">
        <v>33</v>
      </c>
      <c r="AW4">
        <v>29</v>
      </c>
      <c r="AX4">
        <v>-1</v>
      </c>
      <c r="AY4">
        <v>-1</v>
      </c>
      <c r="AZ4">
        <v>158</v>
      </c>
      <c r="BA4">
        <v>110</v>
      </c>
      <c r="BB4">
        <v>598</v>
      </c>
      <c r="BC4">
        <v>19</v>
      </c>
      <c r="BD4">
        <v>2292</v>
      </c>
      <c r="BE4">
        <v>479</v>
      </c>
      <c r="BF4">
        <v>1813</v>
      </c>
      <c r="BG4">
        <v>5</v>
      </c>
      <c r="BH4">
        <v>36</v>
      </c>
      <c r="BI4">
        <v>18</v>
      </c>
      <c r="BJ4">
        <v>13</v>
      </c>
      <c r="BK4">
        <v>-1</v>
      </c>
      <c r="BL4">
        <v>400</v>
      </c>
      <c r="BM4">
        <v>3</v>
      </c>
      <c r="BN4">
        <v>2783</v>
      </c>
      <c r="BO4">
        <v>20</v>
      </c>
      <c r="BP4">
        <v>409</v>
      </c>
      <c r="BQ4">
        <v>780</v>
      </c>
      <c r="BR4">
        <f t="shared" si="2"/>
        <v>10257.161764705883</v>
      </c>
      <c r="BS4">
        <f>AVERAGE(C2:C15)</f>
        <v>867582.85714285716</v>
      </c>
      <c r="BT4" t="s">
        <v>71</v>
      </c>
      <c r="BU4">
        <f>B4/$BR$4*100</f>
        <v>2849.2189818591596</v>
      </c>
      <c r="BV4">
        <f t="shared" ref="BV4:EG4" si="73">C4/$BR$4*100</f>
        <v>3204.7071845066648</v>
      </c>
      <c r="BW4">
        <f t="shared" si="73"/>
        <v>20.200519866320089</v>
      </c>
      <c r="BX4">
        <f t="shared" si="73"/>
        <v>3.7339764038612904</v>
      </c>
      <c r="BY4">
        <f t="shared" si="73"/>
        <v>0.71169785243309192</v>
      </c>
      <c r="BZ4">
        <f t="shared" si="73"/>
        <v>-9.7492856497683814E-3</v>
      </c>
      <c r="CA4">
        <f t="shared" si="73"/>
        <v>1.0236749932256801</v>
      </c>
      <c r="CB4">
        <f t="shared" si="73"/>
        <v>7.1462263812802238</v>
      </c>
      <c r="CC4">
        <f t="shared" si="73"/>
        <v>8.199149231455209</v>
      </c>
      <c r="CD4">
        <f t="shared" si="73"/>
        <v>12.761814915546813</v>
      </c>
      <c r="CE4">
        <f t="shared" si="73"/>
        <v>10.646219929547074</v>
      </c>
      <c r="CF4">
        <f t="shared" si="73"/>
        <v>5.4595999638702946</v>
      </c>
      <c r="CG4">
        <f t="shared" si="73"/>
        <v>0.55570928203679781</v>
      </c>
      <c r="CH4">
        <f t="shared" si="73"/>
        <v>50.267316810205777</v>
      </c>
      <c r="CI4">
        <f t="shared" si="73"/>
        <v>0.88718499412892282</v>
      </c>
      <c r="CJ4">
        <f t="shared" si="73"/>
        <v>0.22423356994467278</v>
      </c>
      <c r="CK4">
        <f t="shared" si="73"/>
        <v>-9.7492856497683814E-3</v>
      </c>
      <c r="CL4">
        <f t="shared" si="73"/>
        <v>-9.7492856497683814E-3</v>
      </c>
      <c r="CM4">
        <f t="shared" si="73"/>
        <v>4.0654521159534154</v>
      </c>
      <c r="CN4">
        <f t="shared" si="73"/>
        <v>9.3690635094274146</v>
      </c>
      <c r="CO4">
        <f t="shared" si="73"/>
        <v>1.5013899900643308</v>
      </c>
      <c r="CP4">
        <f t="shared" si="73"/>
        <v>1.150415706672669</v>
      </c>
      <c r="CQ4">
        <f t="shared" si="73"/>
        <v>147.39944973884818</v>
      </c>
      <c r="CR4">
        <f t="shared" si="73"/>
        <v>43.121090428925555</v>
      </c>
      <c r="CS4">
        <f t="shared" si="73"/>
        <v>104.27835930992262</v>
      </c>
      <c r="CT4">
        <f t="shared" si="73"/>
        <v>1.2674071344698896</v>
      </c>
      <c r="CU4">
        <f t="shared" si="73"/>
        <v>0.54595999638702941</v>
      </c>
      <c r="CV4">
        <f t="shared" si="73"/>
        <v>0.83843856588008081</v>
      </c>
      <c r="CW4">
        <f t="shared" si="73"/>
        <v>0.44846713988934556</v>
      </c>
      <c r="CX4">
        <f t="shared" si="73"/>
        <v>-9.7492856497683814E-3</v>
      </c>
      <c r="CY4">
        <f t="shared" si="73"/>
        <v>9.4275592233260248</v>
      </c>
      <c r="CZ4">
        <f t="shared" si="73"/>
        <v>0.62395428158517641</v>
      </c>
      <c r="DA4">
        <f t="shared" si="73"/>
        <v>123.9914148937543</v>
      </c>
      <c r="DB4">
        <f t="shared" si="73"/>
        <v>1.4916407044145625</v>
      </c>
      <c r="DC4">
        <f t="shared" si="73"/>
        <v>17.080748458394208</v>
      </c>
      <c r="DD4">
        <f t="shared" si="73"/>
        <v>29.423344091000981</v>
      </c>
      <c r="DE4">
        <f t="shared" si="73"/>
        <v>5.8495713898610288E-2</v>
      </c>
      <c r="DF4">
        <f t="shared" si="73"/>
        <v>-9.7492856497683814E-3</v>
      </c>
      <c r="DG4">
        <f t="shared" si="73"/>
        <v>0</v>
      </c>
      <c r="DH4">
        <f t="shared" si="73"/>
        <v>1.1114185640735956</v>
      </c>
      <c r="DI4">
        <f t="shared" si="73"/>
        <v>2.8175435527830626</v>
      </c>
      <c r="DJ4">
        <f t="shared" si="73"/>
        <v>2.2423356994467278</v>
      </c>
      <c r="DK4">
        <f t="shared" si="73"/>
        <v>4.3579306854464672</v>
      </c>
      <c r="DL4">
        <f t="shared" si="73"/>
        <v>0.82868928023031252</v>
      </c>
      <c r="DM4">
        <f t="shared" si="73"/>
        <v>0.17548714169583088</v>
      </c>
      <c r="DN4">
        <f t="shared" si="73"/>
        <v>19.245089872642787</v>
      </c>
      <c r="DO4">
        <f t="shared" si="73"/>
        <v>0.32172642644235661</v>
      </c>
      <c r="DP4">
        <f t="shared" si="73"/>
        <v>0.28272928384328311</v>
      </c>
      <c r="DQ4">
        <f t="shared" si="73"/>
        <v>-9.7492856497683814E-3</v>
      </c>
      <c r="DR4">
        <f t="shared" si="73"/>
        <v>-9.7492856497683814E-3</v>
      </c>
      <c r="DS4">
        <f t="shared" si="73"/>
        <v>1.5403871326634044</v>
      </c>
      <c r="DT4">
        <f t="shared" si="73"/>
        <v>1.072421421474522</v>
      </c>
      <c r="DU4">
        <f t="shared" si="73"/>
        <v>5.8300728185614927</v>
      </c>
      <c r="DV4">
        <f t="shared" si="73"/>
        <v>0.18523642734559925</v>
      </c>
      <c r="DW4">
        <f t="shared" si="73"/>
        <v>22.345362709269132</v>
      </c>
      <c r="DX4">
        <f t="shared" si="73"/>
        <v>4.6699078262390552</v>
      </c>
      <c r="DY4">
        <f t="shared" si="73"/>
        <v>17.675454883030078</v>
      </c>
      <c r="DZ4">
        <f t="shared" si="73"/>
        <v>4.8746428248841914E-2</v>
      </c>
      <c r="EA4">
        <f t="shared" si="73"/>
        <v>0.35097428339166176</v>
      </c>
      <c r="EB4">
        <f t="shared" si="73"/>
        <v>0.17548714169583088</v>
      </c>
      <c r="EC4">
        <f t="shared" si="73"/>
        <v>0.12674071344698898</v>
      </c>
      <c r="ED4">
        <f t="shared" si="73"/>
        <v>-9.7492856497683814E-3</v>
      </c>
      <c r="EE4">
        <f t="shared" si="73"/>
        <v>3.8997142599073533</v>
      </c>
      <c r="EF4">
        <f t="shared" si="73"/>
        <v>2.9247856949305144E-2</v>
      </c>
      <c r="EG4">
        <f t="shared" si="73"/>
        <v>27.13226196330541</v>
      </c>
      <c r="EH4">
        <f t="shared" ref="EH4:EJ4" si="74">BO4/$BR$4*100</f>
        <v>0.19498571299536765</v>
      </c>
      <c r="EI4">
        <f t="shared" si="74"/>
        <v>3.9874578307552686</v>
      </c>
      <c r="EJ4">
        <f t="shared" si="74"/>
        <v>7.6044428068193382</v>
      </c>
      <c r="EK4" t="s">
        <v>71</v>
      </c>
      <c r="EL4">
        <f t="shared" si="5"/>
        <v>35.763021512341759</v>
      </c>
      <c r="EM4">
        <f t="shared" si="6"/>
        <v>40.225062625928174</v>
      </c>
      <c r="EN4">
        <f t="shared" si="7"/>
        <v>0.23882445151389409</v>
      </c>
      <c r="EO4">
        <f t="shared" si="8"/>
        <v>4.4145639444894517E-2</v>
      </c>
      <c r="EP4">
        <f t="shared" si="9"/>
        <v>1.422091114017755</v>
      </c>
      <c r="EQ4">
        <f t="shared" si="10"/>
        <v>-8.5522296884544907E-2</v>
      </c>
      <c r="ER4">
        <f t="shared" si="11"/>
        <v>91.588785046728972</v>
      </c>
      <c r="ES4">
        <f t="shared" si="12"/>
        <v>12363.855421686747</v>
      </c>
      <c r="ET4">
        <f t="shared" si="13"/>
        <v>471.1484593837535</v>
      </c>
      <c r="EU4">
        <f t="shared" si="14"/>
        <v>79.209889349930833</v>
      </c>
      <c r="EV4">
        <f t="shared" si="15"/>
        <v>39.365537130497472</v>
      </c>
      <c r="EW4">
        <f t="shared" si="16"/>
        <v>44.593595358625791</v>
      </c>
      <c r="EX4">
        <f t="shared" si="17"/>
        <v>1.5243261828809382</v>
      </c>
      <c r="EY4">
        <f t="shared" si="18"/>
        <v>825.62049639711768</v>
      </c>
      <c r="EZ4">
        <f t="shared" si="19"/>
        <v>280.6167400881057</v>
      </c>
      <c r="FA4">
        <f t="shared" si="20"/>
        <v>0.42825982869606855</v>
      </c>
      <c r="FB4">
        <f t="shared" si="21"/>
        <v>-0.15522785231178624</v>
      </c>
      <c r="FC4">
        <f t="shared" si="22"/>
        <v>-6.3503583416492787E-2</v>
      </c>
      <c r="FD4">
        <f t="shared" si="23"/>
        <v>1010.0346020761245</v>
      </c>
      <c r="FE4">
        <f t="shared" si="24"/>
        <v>299.5769316410599</v>
      </c>
      <c r="FF4">
        <f t="shared" si="25"/>
        <v>13.347365814399803</v>
      </c>
      <c r="FG4">
        <f t="shared" si="26"/>
        <v>7.2727272727272725</v>
      </c>
      <c r="FH4">
        <f t="shared" si="27"/>
        <v>2567.2043662825954</v>
      </c>
      <c r="FI4">
        <f t="shared" si="28"/>
        <v>654.91274457958752</v>
      </c>
      <c r="FJ4">
        <f t="shared" si="29"/>
        <v>71.199189794453133</v>
      </c>
      <c r="FK4">
        <f t="shared" si="30"/>
        <v>3.7807183364839321</v>
      </c>
      <c r="FL4">
        <f t="shared" si="31"/>
        <v>0.60193787141255783</v>
      </c>
      <c r="FM4">
        <f t="shared" si="32"/>
        <v>15.125628140703517</v>
      </c>
      <c r="FN4">
        <f t="shared" si="33"/>
        <v>131.16089613034626</v>
      </c>
      <c r="FO4">
        <f t="shared" si="34"/>
        <v>-4.3076923076923075E-2</v>
      </c>
      <c r="FP4">
        <f t="shared" si="35"/>
        <v>8.866446610080688</v>
      </c>
      <c r="FQ4">
        <f t="shared" si="36"/>
        <v>3.9294798701868259</v>
      </c>
      <c r="FR4">
        <f t="shared" si="37"/>
        <v>254.44723905338969</v>
      </c>
      <c r="FS4">
        <f t="shared" si="38"/>
        <v>38.629395852119025</v>
      </c>
      <c r="FT4">
        <f t="shared" si="39"/>
        <v>5.576484550309539</v>
      </c>
      <c r="FU4">
        <f t="shared" si="40"/>
        <v>286.78476888617388</v>
      </c>
      <c r="FV4">
        <f t="shared" si="41"/>
        <v>0.12712249160083536</v>
      </c>
      <c r="FW4">
        <f t="shared" si="42"/>
        <v>-1.7692404903323643E-2</v>
      </c>
      <c r="FX4">
        <f t="shared" si="43"/>
        <v>0</v>
      </c>
      <c r="FY4">
        <f t="shared" si="44"/>
        <v>8866.6666666666661</v>
      </c>
      <c r="FZ4">
        <f t="shared" si="45"/>
        <v>31123.076923076922</v>
      </c>
      <c r="GA4">
        <f t="shared" si="46"/>
        <v>113.1810193321617</v>
      </c>
      <c r="GB4">
        <f t="shared" si="47"/>
        <v>52.863659401926</v>
      </c>
      <c r="GC4">
        <f t="shared" si="48"/>
        <v>55.711610486891381</v>
      </c>
      <c r="GD4">
        <f t="shared" si="49"/>
        <v>0.86729074889867841</v>
      </c>
      <c r="GE4">
        <f t="shared" si="50"/>
        <v>1999.7105643994214</v>
      </c>
      <c r="GF4">
        <f t="shared" si="51"/>
        <v>388.23529411764707</v>
      </c>
      <c r="GG4">
        <f t="shared" si="52"/>
        <v>1.7289839025636657</v>
      </c>
      <c r="GH4">
        <f t="shared" si="53"/>
        <v>-0.85889570552147232</v>
      </c>
      <c r="GI4">
        <f t="shared" si="54"/>
        <v>-0.2819170358437374</v>
      </c>
      <c r="GJ4">
        <f t="shared" si="55"/>
        <v>438.88888888888891</v>
      </c>
      <c r="GK4">
        <f t="shared" si="56"/>
        <v>222.22222222222223</v>
      </c>
      <c r="GL4">
        <f t="shared" si="57"/>
        <v>284.76190476190476</v>
      </c>
      <c r="GM4">
        <f t="shared" si="58"/>
        <v>12.151667428049336</v>
      </c>
      <c r="GN4">
        <f t="shared" si="59"/>
        <v>178.88281859739101</v>
      </c>
      <c r="GO4">
        <f t="shared" si="60"/>
        <v>1445.2586206896549</v>
      </c>
      <c r="GP4">
        <f t="shared" si="61"/>
        <v>78.625859612167787</v>
      </c>
      <c r="GQ4">
        <f t="shared" si="62"/>
        <v>1.0195164579085347</v>
      </c>
      <c r="GR4">
        <f t="shared" si="63"/>
        <v>2.2692480864475466</v>
      </c>
      <c r="GS4">
        <f t="shared" si="64"/>
        <v>32.020330368487926</v>
      </c>
      <c r="GT4">
        <f t="shared" si="65"/>
        <v>40.625</v>
      </c>
      <c r="GU4">
        <f t="shared" si="66"/>
        <v>-0.19572207465399133</v>
      </c>
      <c r="GV4">
        <f t="shared" si="67"/>
        <v>30.273543085739004</v>
      </c>
      <c r="GW4">
        <f t="shared" si="68"/>
        <v>1.062215477996965</v>
      </c>
      <c r="GX4">
        <f t="shared" si="69"/>
        <v>242.75389408099693</v>
      </c>
      <c r="GY4">
        <f t="shared" si="70"/>
        <v>8.2304526748971192</v>
      </c>
      <c r="GZ4">
        <f t="shared" si="71"/>
        <v>8.5787912384262732</v>
      </c>
      <c r="HA4">
        <f t="shared" si="72"/>
        <v>254.13078892250405</v>
      </c>
    </row>
    <row r="5" spans="1:209">
      <c r="A5" t="s">
        <v>72</v>
      </c>
      <c r="B5">
        <v>40161</v>
      </c>
      <c r="C5">
        <v>43162</v>
      </c>
      <c r="D5">
        <v>100</v>
      </c>
      <c r="E5">
        <v>55</v>
      </c>
      <c r="F5">
        <v>3</v>
      </c>
      <c r="G5">
        <v>2</v>
      </c>
      <c r="H5">
        <v>1</v>
      </c>
      <c r="I5">
        <v>13</v>
      </c>
      <c r="J5">
        <v>71</v>
      </c>
      <c r="K5">
        <v>67</v>
      </c>
      <c r="L5">
        <v>225</v>
      </c>
      <c r="M5">
        <v>14</v>
      </c>
      <c r="N5">
        <v>3</v>
      </c>
      <c r="O5">
        <v>193</v>
      </c>
      <c r="P5">
        <v>5</v>
      </c>
      <c r="Q5">
        <v>6</v>
      </c>
      <c r="R5">
        <v>-1</v>
      </c>
      <c r="S5">
        <v>33</v>
      </c>
      <c r="T5">
        <v>46</v>
      </c>
      <c r="U5">
        <v>7</v>
      </c>
      <c r="V5">
        <v>-1</v>
      </c>
      <c r="W5">
        <v>32</v>
      </c>
      <c r="X5">
        <v>287</v>
      </c>
      <c r="Y5">
        <v>42</v>
      </c>
      <c r="Z5">
        <v>245</v>
      </c>
      <c r="AA5">
        <v>-1</v>
      </c>
      <c r="AB5">
        <v>7</v>
      </c>
      <c r="AC5">
        <v>145</v>
      </c>
      <c r="AD5">
        <v>221</v>
      </c>
      <c r="AE5">
        <v>418</v>
      </c>
      <c r="AF5">
        <v>23</v>
      </c>
      <c r="AG5">
        <v>-1</v>
      </c>
      <c r="AH5">
        <v>746</v>
      </c>
      <c r="AI5">
        <v>10</v>
      </c>
      <c r="AJ5">
        <v>88</v>
      </c>
      <c r="AK5">
        <v>309</v>
      </c>
      <c r="AL5">
        <v>2</v>
      </c>
      <c r="AM5">
        <v>0</v>
      </c>
      <c r="AN5">
        <v>0</v>
      </c>
      <c r="AO5">
        <v>0</v>
      </c>
      <c r="AP5">
        <v>16</v>
      </c>
      <c r="AQ5">
        <v>12</v>
      </c>
      <c r="AR5">
        <v>120</v>
      </c>
      <c r="AS5">
        <v>18</v>
      </c>
      <c r="AT5">
        <v>1</v>
      </c>
      <c r="AU5">
        <v>73</v>
      </c>
      <c r="AV5">
        <v>5</v>
      </c>
      <c r="AW5">
        <v>2</v>
      </c>
      <c r="AX5">
        <v>-1</v>
      </c>
      <c r="AY5">
        <v>3</v>
      </c>
      <c r="AZ5">
        <v>7</v>
      </c>
      <c r="BA5">
        <v>1</v>
      </c>
      <c r="BB5">
        <v>-1</v>
      </c>
      <c r="BC5">
        <v>2</v>
      </c>
      <c r="BD5">
        <v>65</v>
      </c>
      <c r="BE5">
        <v>9</v>
      </c>
      <c r="BF5">
        <v>56</v>
      </c>
      <c r="BG5">
        <v>-1</v>
      </c>
      <c r="BH5">
        <v>14</v>
      </c>
      <c r="BI5">
        <v>61</v>
      </c>
      <c r="BJ5">
        <v>97</v>
      </c>
      <c r="BK5">
        <v>52</v>
      </c>
      <c r="BL5">
        <v>12</v>
      </c>
      <c r="BM5">
        <v>-1</v>
      </c>
      <c r="BN5">
        <v>223</v>
      </c>
      <c r="BO5">
        <v>9</v>
      </c>
      <c r="BP5">
        <v>18</v>
      </c>
      <c r="BQ5">
        <v>151</v>
      </c>
      <c r="BR5">
        <f t="shared" si="2"/>
        <v>1290.6029411764705</v>
      </c>
      <c r="BS5">
        <f>AVERAGE(D2:D15)</f>
        <v>5133.2857142857147</v>
      </c>
      <c r="BT5" t="s">
        <v>72</v>
      </c>
      <c r="BU5">
        <f>B5/$BR$5*100</f>
        <v>3111.801369628879</v>
      </c>
      <c r="BV5">
        <f t="shared" ref="BV5:EG5" si="75">C5/$BR$5*100</f>
        <v>3344.3283463041676</v>
      </c>
      <c r="BW5">
        <f t="shared" si="75"/>
        <v>7.748316450359499</v>
      </c>
      <c r="BX5">
        <f t="shared" si="75"/>
        <v>4.2615740476977244</v>
      </c>
      <c r="BY5">
        <f t="shared" si="75"/>
        <v>0.232449493510785</v>
      </c>
      <c r="BZ5">
        <f t="shared" si="75"/>
        <v>0.15496632900718998</v>
      </c>
      <c r="CA5">
        <f t="shared" si="75"/>
        <v>7.7483164503594992E-2</v>
      </c>
      <c r="CB5">
        <f t="shared" si="75"/>
        <v>1.0072811385467351</v>
      </c>
      <c r="CC5">
        <f t="shared" si="75"/>
        <v>5.5013046797552452</v>
      </c>
      <c r="CD5">
        <f t="shared" si="75"/>
        <v>5.1913720217408654</v>
      </c>
      <c r="CE5">
        <f t="shared" si="75"/>
        <v>17.433712013308874</v>
      </c>
      <c r="CF5">
        <f t="shared" si="75"/>
        <v>1.08476430305033</v>
      </c>
      <c r="CG5">
        <f t="shared" si="75"/>
        <v>0.232449493510785</v>
      </c>
      <c r="CH5">
        <f t="shared" si="75"/>
        <v>14.954250749193834</v>
      </c>
      <c r="CI5">
        <f t="shared" si="75"/>
        <v>0.38741582251797496</v>
      </c>
      <c r="CJ5">
        <f t="shared" si="75"/>
        <v>0.46489898702157001</v>
      </c>
      <c r="CK5">
        <f t="shared" si="75"/>
        <v>-7.7483164503594992E-2</v>
      </c>
      <c r="CL5">
        <f t="shared" si="75"/>
        <v>2.5569444286186349</v>
      </c>
      <c r="CM5">
        <f t="shared" si="75"/>
        <v>3.5642255671653698</v>
      </c>
      <c r="CN5">
        <f t="shared" si="75"/>
        <v>0.542382151525165</v>
      </c>
      <c r="CO5">
        <f t="shared" si="75"/>
        <v>-7.7483164503594992E-2</v>
      </c>
      <c r="CP5">
        <f t="shared" si="75"/>
        <v>2.4794612641150398</v>
      </c>
      <c r="CQ5">
        <f t="shared" si="75"/>
        <v>22.237668212531762</v>
      </c>
      <c r="CR5">
        <f t="shared" si="75"/>
        <v>3.2542929091509896</v>
      </c>
      <c r="CS5">
        <f t="shared" si="75"/>
        <v>18.983375303380772</v>
      </c>
      <c r="CT5">
        <f t="shared" si="75"/>
        <v>-7.7483164503594992E-2</v>
      </c>
      <c r="CU5">
        <f t="shared" si="75"/>
        <v>0.542382151525165</v>
      </c>
      <c r="CV5">
        <f t="shared" si="75"/>
        <v>11.235058853021275</v>
      </c>
      <c r="CW5">
        <f t="shared" si="75"/>
        <v>17.123779355294495</v>
      </c>
      <c r="CX5">
        <f t="shared" si="75"/>
        <v>32.38796276250271</v>
      </c>
      <c r="CY5">
        <f t="shared" si="75"/>
        <v>1.7821127835826849</v>
      </c>
      <c r="CZ5">
        <f t="shared" si="75"/>
        <v>-7.7483164503594992E-2</v>
      </c>
      <c r="DA5">
        <f t="shared" si="75"/>
        <v>57.802440719681869</v>
      </c>
      <c r="DB5">
        <f t="shared" si="75"/>
        <v>0.77483164503594992</v>
      </c>
      <c r="DC5">
        <f t="shared" si="75"/>
        <v>6.8185184763163598</v>
      </c>
      <c r="DD5">
        <f t="shared" si="75"/>
        <v>23.942297831610855</v>
      </c>
      <c r="DE5">
        <f t="shared" si="75"/>
        <v>0.15496632900718998</v>
      </c>
      <c r="DF5">
        <f t="shared" si="75"/>
        <v>0</v>
      </c>
      <c r="DG5">
        <f t="shared" si="75"/>
        <v>0</v>
      </c>
      <c r="DH5">
        <f t="shared" si="75"/>
        <v>0</v>
      </c>
      <c r="DI5">
        <f t="shared" si="75"/>
        <v>1.2397306320575199</v>
      </c>
      <c r="DJ5">
        <f t="shared" si="75"/>
        <v>0.92979797404314002</v>
      </c>
      <c r="DK5">
        <f t="shared" si="75"/>
        <v>9.2979797404313995</v>
      </c>
      <c r="DL5">
        <f t="shared" si="75"/>
        <v>1.39469696106471</v>
      </c>
      <c r="DM5">
        <f t="shared" si="75"/>
        <v>7.7483164503594992E-2</v>
      </c>
      <c r="DN5">
        <f t="shared" si="75"/>
        <v>5.6562710087624346</v>
      </c>
      <c r="DO5">
        <f t="shared" si="75"/>
        <v>0.38741582251797496</v>
      </c>
      <c r="DP5">
        <f t="shared" si="75"/>
        <v>0.15496632900718998</v>
      </c>
      <c r="DQ5">
        <f t="shared" si="75"/>
        <v>-7.7483164503594992E-2</v>
      </c>
      <c r="DR5">
        <f t="shared" si="75"/>
        <v>0.232449493510785</v>
      </c>
      <c r="DS5">
        <f t="shared" si="75"/>
        <v>0.542382151525165</v>
      </c>
      <c r="DT5">
        <f t="shared" si="75"/>
        <v>7.7483164503594992E-2</v>
      </c>
      <c r="DU5">
        <f t="shared" si="75"/>
        <v>-7.7483164503594992E-2</v>
      </c>
      <c r="DV5">
        <f t="shared" si="75"/>
        <v>0.15496632900718998</v>
      </c>
      <c r="DW5">
        <f t="shared" si="75"/>
        <v>5.0364056927336742</v>
      </c>
      <c r="DX5">
        <f t="shared" si="75"/>
        <v>0.69734848053235499</v>
      </c>
      <c r="DY5">
        <f t="shared" si="75"/>
        <v>4.33905721220132</v>
      </c>
      <c r="DZ5">
        <f t="shared" si="75"/>
        <v>-7.7483164503594992E-2</v>
      </c>
      <c r="EA5">
        <f t="shared" si="75"/>
        <v>1.08476430305033</v>
      </c>
      <c r="EB5">
        <f t="shared" si="75"/>
        <v>4.7264730347192945</v>
      </c>
      <c r="EC5">
        <f t="shared" si="75"/>
        <v>7.515866956848714</v>
      </c>
      <c r="ED5">
        <f t="shared" si="75"/>
        <v>4.0291245541869403</v>
      </c>
      <c r="EE5">
        <f t="shared" si="75"/>
        <v>0.92979797404314002</v>
      </c>
      <c r="EF5">
        <f t="shared" si="75"/>
        <v>-7.7483164503594992E-2</v>
      </c>
      <c r="EG5">
        <f t="shared" si="75"/>
        <v>17.278745684301683</v>
      </c>
      <c r="EH5">
        <f t="shared" ref="EH5:EJ5" si="76">BO5/$BR$5*100</f>
        <v>0.69734848053235499</v>
      </c>
      <c r="EI5">
        <f t="shared" si="76"/>
        <v>1.39469696106471</v>
      </c>
      <c r="EJ5">
        <f t="shared" si="76"/>
        <v>11.699957840042845</v>
      </c>
      <c r="EK5" t="s">
        <v>72</v>
      </c>
      <c r="EL5">
        <f t="shared" si="5"/>
        <v>4.914571844410613</v>
      </c>
      <c r="EM5">
        <f t="shared" si="6"/>
        <v>5.2818094656121835</v>
      </c>
      <c r="EN5">
        <f t="shared" si="7"/>
        <v>1.1526276617465931E-2</v>
      </c>
      <c r="EO5">
        <f t="shared" si="8"/>
        <v>6.3394521396062621E-3</v>
      </c>
      <c r="EP5">
        <f t="shared" si="9"/>
        <v>5.8442100576072131E-2</v>
      </c>
      <c r="EQ5">
        <f t="shared" si="10"/>
        <v>0.17104459376908981</v>
      </c>
      <c r="ER5">
        <f t="shared" si="11"/>
        <v>0.87227414330218067</v>
      </c>
      <c r="ES5">
        <f t="shared" si="12"/>
        <v>219.27710843373492</v>
      </c>
      <c r="ET5">
        <f t="shared" si="13"/>
        <v>39.775910364145659</v>
      </c>
      <c r="EU5">
        <f t="shared" si="14"/>
        <v>4.0542876901798062</v>
      </c>
      <c r="EV5">
        <f t="shared" si="15"/>
        <v>8.1110310021629406</v>
      </c>
      <c r="EW5">
        <f t="shared" si="16"/>
        <v>1.1148398839656448</v>
      </c>
      <c r="EX5">
        <f t="shared" si="17"/>
        <v>8.0227693835838859E-2</v>
      </c>
      <c r="EY5">
        <f t="shared" si="18"/>
        <v>30.904723779023218</v>
      </c>
      <c r="EZ5">
        <f t="shared" si="19"/>
        <v>15.41850220264317</v>
      </c>
      <c r="FA5">
        <f t="shared" si="20"/>
        <v>0.11171995531201787</v>
      </c>
      <c r="FB5">
        <f t="shared" si="21"/>
        <v>-0.15522785231178624</v>
      </c>
      <c r="FC5">
        <f t="shared" si="22"/>
        <v>2.0956182527442619</v>
      </c>
      <c r="FD5">
        <f t="shared" si="23"/>
        <v>111.41868512110726</v>
      </c>
      <c r="FE5">
        <f t="shared" si="24"/>
        <v>2.182142061901581</v>
      </c>
      <c r="FF5">
        <f t="shared" si="25"/>
        <v>-8.6671206587011704E-2</v>
      </c>
      <c r="FG5">
        <f t="shared" si="26"/>
        <v>1.9722650231124808</v>
      </c>
      <c r="FH5">
        <f t="shared" si="27"/>
        <v>48.732565191024861</v>
      </c>
      <c r="FI5">
        <f t="shared" si="28"/>
        <v>6.2189317821258587</v>
      </c>
      <c r="FJ5">
        <f t="shared" si="29"/>
        <v>1.6308714939828926</v>
      </c>
      <c r="FK5">
        <f t="shared" si="30"/>
        <v>-2.9082448742184092E-2</v>
      </c>
      <c r="FL5">
        <f t="shared" si="31"/>
        <v>7.5242233926569729E-2</v>
      </c>
      <c r="FM5">
        <f t="shared" si="32"/>
        <v>25.502512562814072</v>
      </c>
      <c r="FN5">
        <f t="shared" si="33"/>
        <v>630.14256619144612</v>
      </c>
      <c r="FO5">
        <f t="shared" si="34"/>
        <v>18.006153846153843</v>
      </c>
      <c r="FP5">
        <f t="shared" si="35"/>
        <v>0.21088756156344965</v>
      </c>
      <c r="FQ5">
        <f t="shared" si="36"/>
        <v>-6.1398122971669154E-2</v>
      </c>
      <c r="FR5">
        <f t="shared" si="37"/>
        <v>14.925117183034182</v>
      </c>
      <c r="FS5">
        <f t="shared" si="38"/>
        <v>2.5247971145175834</v>
      </c>
      <c r="FT5">
        <f t="shared" si="39"/>
        <v>0.2800973975041321</v>
      </c>
      <c r="FU5">
        <f t="shared" si="40"/>
        <v>29.36265526369375</v>
      </c>
      <c r="FV5">
        <f t="shared" si="41"/>
        <v>4.2374163866945126E-2</v>
      </c>
      <c r="FW5">
        <f t="shared" si="42"/>
        <v>0</v>
      </c>
      <c r="FX5">
        <f t="shared" si="43"/>
        <v>0</v>
      </c>
      <c r="FY5">
        <f t="shared" si="44"/>
        <v>0</v>
      </c>
      <c r="FZ5">
        <f t="shared" si="45"/>
        <v>1723.0769230769231</v>
      </c>
      <c r="GA5">
        <f t="shared" si="46"/>
        <v>5.9050966608084359</v>
      </c>
      <c r="GB5">
        <f t="shared" si="47"/>
        <v>14.19158641662443</v>
      </c>
      <c r="GC5">
        <f t="shared" si="48"/>
        <v>11.797752808988763</v>
      </c>
      <c r="GD5">
        <f t="shared" si="49"/>
        <v>4.8182819383259905E-2</v>
      </c>
      <c r="GE5">
        <f t="shared" si="50"/>
        <v>73.950795947901597</v>
      </c>
      <c r="GF5">
        <f t="shared" si="51"/>
        <v>58.82352941176471</v>
      </c>
      <c r="GG5">
        <f t="shared" si="52"/>
        <v>0.11924026914232179</v>
      </c>
      <c r="GH5">
        <f t="shared" si="53"/>
        <v>-0.85889570552147232</v>
      </c>
      <c r="GI5">
        <f t="shared" si="54"/>
        <v>0.84575110753121219</v>
      </c>
      <c r="GJ5">
        <f t="shared" si="55"/>
        <v>19.444444444444446</v>
      </c>
      <c r="GK5">
        <f t="shared" si="56"/>
        <v>2.0202020202020203</v>
      </c>
      <c r="GL5">
        <f t="shared" si="57"/>
        <v>-0.47619047619047622</v>
      </c>
      <c r="GM5">
        <f t="shared" si="58"/>
        <v>1.2791228871630882</v>
      </c>
      <c r="GN5">
        <f t="shared" si="59"/>
        <v>5.0730293232244401</v>
      </c>
      <c r="GO5">
        <f t="shared" si="60"/>
        <v>27.1551724137931</v>
      </c>
      <c r="GP5">
        <f t="shared" si="61"/>
        <v>2.4285979802986186</v>
      </c>
      <c r="GQ5">
        <f t="shared" si="62"/>
        <v>-0.20390329158170695</v>
      </c>
      <c r="GR5">
        <f t="shared" si="63"/>
        <v>0.88248536695182345</v>
      </c>
      <c r="GS5">
        <f t="shared" si="64"/>
        <v>108.51334180432019</v>
      </c>
      <c r="GT5">
        <f t="shared" si="65"/>
        <v>303.125</v>
      </c>
      <c r="GU5">
        <f t="shared" si="66"/>
        <v>10.17754788200755</v>
      </c>
      <c r="GV5">
        <f t="shared" si="67"/>
        <v>0.90820629257217012</v>
      </c>
      <c r="GW5">
        <f t="shared" si="68"/>
        <v>-0.35407182599898834</v>
      </c>
      <c r="GX5">
        <f t="shared" si="69"/>
        <v>19.451713395638631</v>
      </c>
      <c r="GY5">
        <f t="shared" si="70"/>
        <v>3.7037037037037033</v>
      </c>
      <c r="GZ5">
        <f t="shared" si="71"/>
        <v>0.37755071464956702</v>
      </c>
      <c r="HA5">
        <f t="shared" si="72"/>
        <v>49.197114265766814</v>
      </c>
    </row>
    <row r="6" spans="1:209">
      <c r="A6" t="s">
        <v>73</v>
      </c>
      <c r="B6">
        <v>337679</v>
      </c>
      <c r="C6">
        <v>376098</v>
      </c>
      <c r="D6">
        <v>2241</v>
      </c>
      <c r="E6">
        <v>829</v>
      </c>
      <c r="F6">
        <v>29</v>
      </c>
      <c r="G6">
        <v>-1</v>
      </c>
      <c r="H6">
        <v>45</v>
      </c>
      <c r="I6">
        <v>498</v>
      </c>
      <c r="J6">
        <v>1176</v>
      </c>
      <c r="K6">
        <v>855</v>
      </c>
      <c r="L6">
        <v>427</v>
      </c>
      <c r="M6">
        <v>498</v>
      </c>
      <c r="N6">
        <v>34</v>
      </c>
      <c r="O6">
        <v>1711</v>
      </c>
      <c r="P6">
        <v>40</v>
      </c>
      <c r="Q6">
        <v>89</v>
      </c>
      <c r="R6">
        <v>1</v>
      </c>
      <c r="S6">
        <v>187</v>
      </c>
      <c r="T6">
        <v>190</v>
      </c>
      <c r="U6">
        <v>1384</v>
      </c>
      <c r="V6">
        <v>3</v>
      </c>
      <c r="W6">
        <v>53</v>
      </c>
      <c r="X6">
        <v>2719</v>
      </c>
      <c r="Y6">
        <v>589</v>
      </c>
      <c r="Z6">
        <v>2127</v>
      </c>
      <c r="AA6">
        <v>2</v>
      </c>
      <c r="AB6">
        <v>12</v>
      </c>
      <c r="AC6">
        <v>627</v>
      </c>
      <c r="AD6">
        <v>2</v>
      </c>
      <c r="AE6">
        <v>3</v>
      </c>
      <c r="AF6">
        <v>510</v>
      </c>
      <c r="AG6">
        <v>27</v>
      </c>
      <c r="AH6">
        <v>2331</v>
      </c>
      <c r="AI6">
        <v>27</v>
      </c>
      <c r="AJ6">
        <v>1748</v>
      </c>
      <c r="AK6">
        <v>1814</v>
      </c>
      <c r="AL6">
        <v>4</v>
      </c>
      <c r="AM6">
        <v>-1</v>
      </c>
      <c r="AN6">
        <v>0</v>
      </c>
      <c r="AO6">
        <v>52</v>
      </c>
      <c r="AP6">
        <v>560</v>
      </c>
      <c r="AQ6">
        <v>66</v>
      </c>
      <c r="AR6">
        <v>81</v>
      </c>
      <c r="AS6">
        <v>72</v>
      </c>
      <c r="AT6">
        <v>4</v>
      </c>
      <c r="AU6">
        <v>398</v>
      </c>
      <c r="AV6">
        <v>13</v>
      </c>
      <c r="AW6">
        <v>46</v>
      </c>
      <c r="AX6">
        <v>5</v>
      </c>
      <c r="AY6">
        <v>21</v>
      </c>
      <c r="AZ6">
        <v>58</v>
      </c>
      <c r="BA6">
        <v>68</v>
      </c>
      <c r="BB6">
        <v>3</v>
      </c>
      <c r="BC6">
        <v>0</v>
      </c>
      <c r="BD6">
        <v>193</v>
      </c>
      <c r="BE6">
        <v>47</v>
      </c>
      <c r="BF6">
        <v>146</v>
      </c>
      <c r="BG6">
        <v>0</v>
      </c>
      <c r="BH6">
        <v>5</v>
      </c>
      <c r="BI6">
        <v>188</v>
      </c>
      <c r="BJ6">
        <v>0</v>
      </c>
      <c r="BK6">
        <v>1</v>
      </c>
      <c r="BL6">
        <v>289</v>
      </c>
      <c r="BM6">
        <v>6</v>
      </c>
      <c r="BN6">
        <v>326</v>
      </c>
      <c r="BO6">
        <v>9</v>
      </c>
      <c r="BP6">
        <v>616</v>
      </c>
      <c r="BQ6">
        <v>223</v>
      </c>
      <c r="BR6">
        <f t="shared" si="2"/>
        <v>10883.867647058823</v>
      </c>
      <c r="BS6">
        <f>AVERAGE(E2:E15)</f>
        <v>1169.2857142857142</v>
      </c>
      <c r="BT6" t="s">
        <v>73</v>
      </c>
      <c r="BU6">
        <f>B6/$BR$6*100</f>
        <v>3102.5643727967595</v>
      </c>
      <c r="BV6">
        <f t="shared" ref="BV6:EG6" si="77">C6/$BR$6*100</f>
        <v>3455.5546998188092</v>
      </c>
      <c r="BW6">
        <f t="shared" si="77"/>
        <v>20.590107052666994</v>
      </c>
      <c r="BX6">
        <f t="shared" si="77"/>
        <v>7.6167776647304493</v>
      </c>
      <c r="BY6">
        <f t="shared" si="77"/>
        <v>0.26644939961059472</v>
      </c>
      <c r="BZ6">
        <f t="shared" si="77"/>
        <v>-9.1879103313998196E-3</v>
      </c>
      <c r="CA6">
        <f t="shared" si="77"/>
        <v>0.41345596491299186</v>
      </c>
      <c r="CB6">
        <f t="shared" si="77"/>
        <v>4.5755793450371094</v>
      </c>
      <c r="CC6">
        <f t="shared" si="77"/>
        <v>10.804982549726187</v>
      </c>
      <c r="CD6">
        <f t="shared" si="77"/>
        <v>7.8556633333468451</v>
      </c>
      <c r="CE6">
        <f t="shared" si="77"/>
        <v>3.9232377115077224</v>
      </c>
      <c r="CF6">
        <f t="shared" si="77"/>
        <v>4.5755793450371094</v>
      </c>
      <c r="CG6">
        <f t="shared" si="77"/>
        <v>0.31238895126759386</v>
      </c>
      <c r="CH6">
        <f t="shared" si="77"/>
        <v>15.72051457702509</v>
      </c>
      <c r="CI6">
        <f t="shared" si="77"/>
        <v>0.36751641325599271</v>
      </c>
      <c r="CJ6">
        <f t="shared" si="77"/>
        <v>0.81772401949458395</v>
      </c>
      <c r="CK6">
        <f t="shared" si="77"/>
        <v>9.1879103313998196E-3</v>
      </c>
      <c r="CL6">
        <f t="shared" si="77"/>
        <v>1.7181392319717663</v>
      </c>
      <c r="CM6">
        <f t="shared" si="77"/>
        <v>1.7457029629659657</v>
      </c>
      <c r="CN6">
        <f t="shared" si="77"/>
        <v>12.716067898657348</v>
      </c>
      <c r="CO6">
        <f t="shared" si="77"/>
        <v>2.7563730994199457E-2</v>
      </c>
      <c r="CP6">
        <f t="shared" si="77"/>
        <v>0.4869592475641904</v>
      </c>
      <c r="CQ6">
        <f t="shared" si="77"/>
        <v>24.981928191076108</v>
      </c>
      <c r="CR6">
        <f t="shared" si="77"/>
        <v>5.4116791851944939</v>
      </c>
      <c r="CS6">
        <f t="shared" si="77"/>
        <v>19.542685274887415</v>
      </c>
      <c r="CT6">
        <f t="shared" si="77"/>
        <v>1.8375820662799639E-2</v>
      </c>
      <c r="CU6">
        <f t="shared" si="77"/>
        <v>0.11025492397679783</v>
      </c>
      <c r="CV6">
        <f t="shared" si="77"/>
        <v>5.7608197777876864</v>
      </c>
      <c r="CW6">
        <f t="shared" si="77"/>
        <v>1.8375820662799639E-2</v>
      </c>
      <c r="CX6">
        <f t="shared" si="77"/>
        <v>2.7563730994199457E-2</v>
      </c>
      <c r="CY6">
        <f t="shared" si="77"/>
        <v>4.6858342690139079</v>
      </c>
      <c r="CZ6">
        <f t="shared" si="77"/>
        <v>0.24807357894779508</v>
      </c>
      <c r="DA6">
        <f t="shared" si="77"/>
        <v>21.417018982492976</v>
      </c>
      <c r="DB6">
        <f t="shared" si="77"/>
        <v>0.24807357894779508</v>
      </c>
      <c r="DC6">
        <f t="shared" si="77"/>
        <v>16.060467259286884</v>
      </c>
      <c r="DD6">
        <f t="shared" si="77"/>
        <v>16.66686934115927</v>
      </c>
      <c r="DE6">
        <f t="shared" si="77"/>
        <v>3.6751641325599278E-2</v>
      </c>
      <c r="DF6">
        <f t="shared" si="77"/>
        <v>-9.1879103313998196E-3</v>
      </c>
      <c r="DG6">
        <f t="shared" si="77"/>
        <v>0</v>
      </c>
      <c r="DH6">
        <f t="shared" si="77"/>
        <v>0.47777133723279058</v>
      </c>
      <c r="DI6">
        <f t="shared" si="77"/>
        <v>5.145229785583898</v>
      </c>
      <c r="DJ6">
        <f t="shared" si="77"/>
        <v>0.60640208187238798</v>
      </c>
      <c r="DK6">
        <f t="shared" si="77"/>
        <v>0.7442207368433853</v>
      </c>
      <c r="DL6">
        <f t="shared" si="77"/>
        <v>0.66152954386078699</v>
      </c>
      <c r="DM6">
        <f t="shared" si="77"/>
        <v>3.6751641325599278E-2</v>
      </c>
      <c r="DN6">
        <f t="shared" si="77"/>
        <v>3.6567883118971278</v>
      </c>
      <c r="DO6">
        <f t="shared" si="77"/>
        <v>0.11944283430819765</v>
      </c>
      <c r="DP6">
        <f t="shared" si="77"/>
        <v>0.42264387524439168</v>
      </c>
      <c r="DQ6">
        <f t="shared" si="77"/>
        <v>4.5939551656999089E-2</v>
      </c>
      <c r="DR6">
        <f t="shared" si="77"/>
        <v>0.19294611695939617</v>
      </c>
      <c r="DS6">
        <f t="shared" si="77"/>
        <v>0.53289879922118943</v>
      </c>
      <c r="DT6">
        <f t="shared" si="77"/>
        <v>0.62477790253518772</v>
      </c>
      <c r="DU6">
        <f t="shared" si="77"/>
        <v>2.7563730994199457E-2</v>
      </c>
      <c r="DV6">
        <f t="shared" si="77"/>
        <v>0</v>
      </c>
      <c r="DW6">
        <f t="shared" si="77"/>
        <v>1.7732666939601651</v>
      </c>
      <c r="DX6">
        <f t="shared" si="77"/>
        <v>0.43183178557579144</v>
      </c>
      <c r="DY6">
        <f t="shared" si="77"/>
        <v>1.3414349083843735</v>
      </c>
      <c r="DZ6">
        <f t="shared" si="77"/>
        <v>0</v>
      </c>
      <c r="EA6">
        <f t="shared" si="77"/>
        <v>4.5939551656999089E-2</v>
      </c>
      <c r="EB6">
        <f t="shared" si="77"/>
        <v>1.7273271423031658</v>
      </c>
      <c r="EC6">
        <f t="shared" si="77"/>
        <v>0</v>
      </c>
      <c r="ED6">
        <f t="shared" si="77"/>
        <v>9.1879103313998196E-3</v>
      </c>
      <c r="EE6">
        <f t="shared" si="77"/>
        <v>2.6553060857745474</v>
      </c>
      <c r="EF6">
        <f t="shared" si="77"/>
        <v>5.5127461988398914E-2</v>
      </c>
      <c r="EG6">
        <f t="shared" si="77"/>
        <v>2.9952587680363409</v>
      </c>
      <c r="EH6">
        <f t="shared" ref="EH6:EJ6" si="78">BO6/$BR$6*100</f>
        <v>8.2691192982598374E-2</v>
      </c>
      <c r="EI6">
        <f t="shared" si="78"/>
        <v>5.6597527641422882</v>
      </c>
      <c r="EJ6">
        <f t="shared" si="78"/>
        <v>2.0489040039021593</v>
      </c>
      <c r="EK6" t="s">
        <v>73</v>
      </c>
      <c r="EL6">
        <f t="shared" si="5"/>
        <v>41.322370106539466</v>
      </c>
      <c r="EM6">
        <f t="shared" si="6"/>
        <v>46.023770362768431</v>
      </c>
      <c r="EN6">
        <f t="shared" si="7"/>
        <v>0.25830385899741154</v>
      </c>
      <c r="EO6">
        <f t="shared" si="8"/>
        <v>9.5552833158792566E-2</v>
      </c>
      <c r="EP6">
        <f t="shared" si="9"/>
        <v>0.56494030556869723</v>
      </c>
      <c r="EQ6">
        <f t="shared" si="10"/>
        <v>-8.5522296884544907E-2</v>
      </c>
      <c r="ER6">
        <f t="shared" si="11"/>
        <v>39.252336448598129</v>
      </c>
      <c r="ES6">
        <f t="shared" si="12"/>
        <v>8400</v>
      </c>
      <c r="ET6">
        <f t="shared" si="13"/>
        <v>658.82352941176464</v>
      </c>
      <c r="EU6">
        <f t="shared" si="14"/>
        <v>51.737551867219914</v>
      </c>
      <c r="EV6">
        <f t="shared" si="15"/>
        <v>15.392934390771448</v>
      </c>
      <c r="EW6">
        <f t="shared" si="16"/>
        <v>39.65644730106365</v>
      </c>
      <c r="EX6">
        <f t="shared" si="17"/>
        <v>0.90924719680617383</v>
      </c>
      <c r="EY6">
        <f t="shared" si="18"/>
        <v>273.9791833466773</v>
      </c>
      <c r="EZ6">
        <f t="shared" si="19"/>
        <v>123.34801762114536</v>
      </c>
      <c r="FA6">
        <f t="shared" si="20"/>
        <v>1.6571793371282653</v>
      </c>
      <c r="FB6">
        <f t="shared" si="21"/>
        <v>0.15522785231178624</v>
      </c>
      <c r="FC6">
        <f t="shared" si="22"/>
        <v>11.875170098884151</v>
      </c>
      <c r="FD6">
        <f t="shared" si="23"/>
        <v>460.20761245674737</v>
      </c>
      <c r="FE6">
        <f t="shared" si="24"/>
        <v>431.44065909596969</v>
      </c>
      <c r="FF6">
        <f t="shared" si="25"/>
        <v>0.2600136197610351</v>
      </c>
      <c r="FG6">
        <f t="shared" si="26"/>
        <v>3.2665639445300458</v>
      </c>
      <c r="FH6">
        <f t="shared" si="27"/>
        <v>461.68587022437839</v>
      </c>
      <c r="FI6">
        <f t="shared" si="28"/>
        <v>87.213114754098356</v>
      </c>
      <c r="FJ6">
        <f t="shared" si="29"/>
        <v>14.158627215108622</v>
      </c>
      <c r="FK6">
        <f t="shared" si="30"/>
        <v>5.8164897484368185E-2</v>
      </c>
      <c r="FL6">
        <f t="shared" si="31"/>
        <v>0.12898668673126237</v>
      </c>
      <c r="FM6">
        <f t="shared" si="32"/>
        <v>110.27638190954774</v>
      </c>
      <c r="FN6">
        <f t="shared" si="33"/>
        <v>5.7026476578411405</v>
      </c>
      <c r="FO6">
        <f t="shared" si="34"/>
        <v>0.12923076923076923</v>
      </c>
      <c r="FP6">
        <f t="shared" si="35"/>
        <v>4.6762024520591012</v>
      </c>
      <c r="FQ6">
        <f t="shared" si="36"/>
        <v>1.657749320235067</v>
      </c>
      <c r="FR6">
        <f t="shared" si="37"/>
        <v>46.635989482108151</v>
      </c>
      <c r="FS6">
        <f t="shared" si="38"/>
        <v>6.8169522091974759</v>
      </c>
      <c r="FT6">
        <f t="shared" si="39"/>
        <v>5.5637528504229881</v>
      </c>
      <c r="FU6">
        <f t="shared" si="40"/>
        <v>172.37494060951605</v>
      </c>
      <c r="FV6">
        <f t="shared" si="41"/>
        <v>8.4748327733890252E-2</v>
      </c>
      <c r="FW6">
        <f t="shared" si="42"/>
        <v>-1.7692404903323643E-2</v>
      </c>
      <c r="FX6">
        <f t="shared" si="43"/>
        <v>0</v>
      </c>
      <c r="FY6">
        <f t="shared" si="44"/>
        <v>4044.4444444444443</v>
      </c>
      <c r="FZ6">
        <f t="shared" si="45"/>
        <v>60307.692307692312</v>
      </c>
      <c r="GA6">
        <f t="shared" si="46"/>
        <v>32.478031634446396</v>
      </c>
      <c r="GB6">
        <f t="shared" si="47"/>
        <v>9.579320831221489</v>
      </c>
      <c r="GC6">
        <f t="shared" si="48"/>
        <v>47.191011235955052</v>
      </c>
      <c r="GD6">
        <f t="shared" si="49"/>
        <v>0.19273127753303962</v>
      </c>
      <c r="GE6">
        <f t="shared" si="50"/>
        <v>403.18379160636761</v>
      </c>
      <c r="GF6">
        <f t="shared" si="51"/>
        <v>152.94117647058823</v>
      </c>
      <c r="GG6">
        <f t="shared" si="52"/>
        <v>2.7425261902734008</v>
      </c>
      <c r="GH6">
        <f t="shared" si="53"/>
        <v>4.294478527607362</v>
      </c>
      <c r="GI6">
        <f t="shared" si="54"/>
        <v>5.9202577527184861</v>
      </c>
      <c r="GJ6">
        <f t="shared" si="55"/>
        <v>161.11111111111111</v>
      </c>
      <c r="GK6">
        <f t="shared" si="56"/>
        <v>137.37373737373736</v>
      </c>
      <c r="GL6">
        <f t="shared" si="57"/>
        <v>1.4285714285714286</v>
      </c>
      <c r="GM6">
        <f t="shared" si="58"/>
        <v>0</v>
      </c>
      <c r="GN6">
        <f t="shared" si="59"/>
        <v>15.062994759727951</v>
      </c>
      <c r="GO6">
        <f t="shared" si="60"/>
        <v>141.81034482758619</v>
      </c>
      <c r="GP6">
        <f t="shared" si="61"/>
        <v>6.331701877207113</v>
      </c>
      <c r="GQ6">
        <f t="shared" si="62"/>
        <v>0</v>
      </c>
      <c r="GR6">
        <f t="shared" si="63"/>
        <v>0.31517334533993702</v>
      </c>
      <c r="GS6">
        <f t="shared" si="64"/>
        <v>334.43456162642946</v>
      </c>
      <c r="GT6">
        <f t="shared" si="65"/>
        <v>0</v>
      </c>
      <c r="GU6">
        <f t="shared" si="66"/>
        <v>0.19572207465399133</v>
      </c>
      <c r="GV6">
        <f t="shared" si="67"/>
        <v>21.87263487944643</v>
      </c>
      <c r="GW6">
        <f t="shared" si="68"/>
        <v>2.1244309559939301</v>
      </c>
      <c r="GX6">
        <f t="shared" si="69"/>
        <v>28.436137071651089</v>
      </c>
      <c r="GY6">
        <f t="shared" si="70"/>
        <v>3.7037037037037033</v>
      </c>
      <c r="GZ6">
        <f t="shared" si="71"/>
        <v>12.920624456896293</v>
      </c>
      <c r="HA6">
        <f t="shared" si="72"/>
        <v>72.655340935536415</v>
      </c>
    </row>
    <row r="7" spans="1:209">
      <c r="A7" t="s">
        <v>74</v>
      </c>
      <c r="B7">
        <v>719813</v>
      </c>
      <c r="C7">
        <v>806193</v>
      </c>
      <c r="D7">
        <v>4998</v>
      </c>
      <c r="E7">
        <v>1666</v>
      </c>
      <c r="F7">
        <v>242</v>
      </c>
      <c r="G7">
        <v>12</v>
      </c>
      <c r="H7">
        <v>318</v>
      </c>
      <c r="I7">
        <v>2671</v>
      </c>
      <c r="J7">
        <v>3313</v>
      </c>
      <c r="K7">
        <v>1587</v>
      </c>
      <c r="L7">
        <v>4522</v>
      </c>
      <c r="M7">
        <v>844</v>
      </c>
      <c r="N7">
        <v>63</v>
      </c>
      <c r="O7">
        <v>3925</v>
      </c>
      <c r="P7">
        <v>98</v>
      </c>
      <c r="Q7">
        <v>414</v>
      </c>
      <c r="R7">
        <v>99</v>
      </c>
      <c r="S7">
        <v>55</v>
      </c>
      <c r="T7">
        <v>432</v>
      </c>
      <c r="U7">
        <v>1338</v>
      </c>
      <c r="V7">
        <v>285</v>
      </c>
      <c r="W7">
        <v>502</v>
      </c>
      <c r="X7">
        <v>15751</v>
      </c>
      <c r="Y7">
        <v>7542</v>
      </c>
      <c r="Z7">
        <v>8209</v>
      </c>
      <c r="AA7">
        <v>88</v>
      </c>
      <c r="AB7">
        <v>16</v>
      </c>
      <c r="AC7">
        <v>3863</v>
      </c>
      <c r="AD7">
        <v>492</v>
      </c>
      <c r="AE7">
        <v>299</v>
      </c>
      <c r="AF7">
        <v>3222</v>
      </c>
      <c r="AG7">
        <v>389</v>
      </c>
      <c r="AH7">
        <v>13100</v>
      </c>
      <c r="AI7">
        <v>11710</v>
      </c>
      <c r="AJ7">
        <v>6544</v>
      </c>
      <c r="AK7">
        <v>7016</v>
      </c>
      <c r="AL7">
        <v>16</v>
      </c>
      <c r="AM7">
        <v>0</v>
      </c>
      <c r="AN7">
        <v>0</v>
      </c>
      <c r="AO7">
        <v>428</v>
      </c>
      <c r="AP7">
        <v>1494</v>
      </c>
      <c r="AQ7">
        <v>182</v>
      </c>
      <c r="AR7">
        <v>2651</v>
      </c>
      <c r="AS7">
        <v>118</v>
      </c>
      <c r="AT7">
        <v>29</v>
      </c>
      <c r="AU7">
        <v>1083</v>
      </c>
      <c r="AV7">
        <v>28</v>
      </c>
      <c r="AW7">
        <v>209</v>
      </c>
      <c r="AX7">
        <v>80</v>
      </c>
      <c r="AY7">
        <v>12</v>
      </c>
      <c r="AZ7">
        <v>90</v>
      </c>
      <c r="BA7">
        <v>187</v>
      </c>
      <c r="BB7">
        <v>970</v>
      </c>
      <c r="BC7">
        <v>15</v>
      </c>
      <c r="BD7">
        <v>2143</v>
      </c>
      <c r="BE7">
        <v>847</v>
      </c>
      <c r="BF7">
        <v>1296</v>
      </c>
      <c r="BG7">
        <v>16</v>
      </c>
      <c r="BH7">
        <v>34</v>
      </c>
      <c r="BI7">
        <v>828</v>
      </c>
      <c r="BJ7">
        <v>126</v>
      </c>
      <c r="BK7">
        <v>43</v>
      </c>
      <c r="BL7">
        <v>1043</v>
      </c>
      <c r="BM7">
        <v>35</v>
      </c>
      <c r="BN7">
        <v>2367</v>
      </c>
      <c r="BO7">
        <v>3069</v>
      </c>
      <c r="BP7">
        <v>1938</v>
      </c>
      <c r="BQ7">
        <v>2980</v>
      </c>
      <c r="BR7">
        <f t="shared" si="2"/>
        <v>24352.764705882353</v>
      </c>
      <c r="BS7">
        <f>AVERAGE(F2:F15)</f>
        <v>114.64285714285714</v>
      </c>
      <c r="BT7" t="s">
        <v>74</v>
      </c>
      <c r="BU7">
        <f>B7/$BR$7*100</f>
        <v>2955.7752833957734</v>
      </c>
      <c r="BV7">
        <f t="shared" ref="BV7:EG7" si="79">C7/$BR$7*100</f>
        <v>3310.4783367995415</v>
      </c>
      <c r="BW7">
        <f t="shared" si="79"/>
        <v>20.523337125631343</v>
      </c>
      <c r="BX7">
        <f t="shared" si="79"/>
        <v>6.8411123752104483</v>
      </c>
      <c r="BY7">
        <f t="shared" si="79"/>
        <v>0.99372700768363065</v>
      </c>
      <c r="BZ7">
        <f t="shared" si="79"/>
        <v>4.9275719389270931E-2</v>
      </c>
      <c r="CA7">
        <f t="shared" si="79"/>
        <v>1.3058065638156799</v>
      </c>
      <c r="CB7">
        <f t="shared" si="79"/>
        <v>10.967953874061889</v>
      </c>
      <c r="CC7">
        <f t="shared" si="79"/>
        <v>13.604204861387883</v>
      </c>
      <c r="CD7">
        <f t="shared" si="79"/>
        <v>6.516713889231081</v>
      </c>
      <c r="CE7">
        <f t="shared" si="79"/>
        <v>18.568733589856929</v>
      </c>
      <c r="CF7">
        <f t="shared" si="79"/>
        <v>3.4657255970453891</v>
      </c>
      <c r="CG7">
        <f t="shared" si="79"/>
        <v>0.25869752679367242</v>
      </c>
      <c r="CH7">
        <f t="shared" si="79"/>
        <v>16.117266550240704</v>
      </c>
      <c r="CI7">
        <f t="shared" si="79"/>
        <v>0.40241837501237937</v>
      </c>
      <c r="CJ7">
        <f t="shared" si="79"/>
        <v>1.7000123189298471</v>
      </c>
      <c r="CK7">
        <f t="shared" si="79"/>
        <v>0.40652468496148519</v>
      </c>
      <c r="CL7">
        <f t="shared" si="79"/>
        <v>0.22584704720082513</v>
      </c>
      <c r="CM7">
        <f t="shared" si="79"/>
        <v>1.7739258980137538</v>
      </c>
      <c r="CN7">
        <f t="shared" si="79"/>
        <v>5.4942427119037092</v>
      </c>
      <c r="CO7">
        <f t="shared" si="79"/>
        <v>1.1702983354951848</v>
      </c>
      <c r="CP7">
        <f t="shared" si="79"/>
        <v>2.0613675944511676</v>
      </c>
      <c r="CQ7">
        <f t="shared" si="79"/>
        <v>64.678488008367211</v>
      </c>
      <c r="CR7">
        <f t="shared" si="79"/>
        <v>30.969789636156786</v>
      </c>
      <c r="CS7">
        <f t="shared" si="79"/>
        <v>33.708698372210428</v>
      </c>
      <c r="CT7">
        <f t="shared" si="79"/>
        <v>0.36135527552132019</v>
      </c>
      <c r="CU7">
        <f t="shared" si="79"/>
        <v>6.5700959185694574E-2</v>
      </c>
      <c r="CV7">
        <f t="shared" si="79"/>
        <v>15.862675333396137</v>
      </c>
      <c r="CW7">
        <f t="shared" si="79"/>
        <v>2.0203044949601083</v>
      </c>
      <c r="CX7">
        <f t="shared" si="79"/>
        <v>1.2277866747826676</v>
      </c>
      <c r="CY7">
        <f t="shared" si="79"/>
        <v>13.230530656019246</v>
      </c>
      <c r="CZ7">
        <f t="shared" si="79"/>
        <v>1.5973545702021994</v>
      </c>
      <c r="DA7">
        <f t="shared" si="79"/>
        <v>53.792660333287436</v>
      </c>
      <c r="DB7">
        <f t="shared" si="79"/>
        <v>48.084889504030222</v>
      </c>
      <c r="DC7">
        <f t="shared" si="79"/>
        <v>26.871692306949086</v>
      </c>
      <c r="DD7">
        <f t="shared" si="79"/>
        <v>28.809870602927074</v>
      </c>
      <c r="DE7">
        <f t="shared" si="79"/>
        <v>6.5700959185694574E-2</v>
      </c>
      <c r="DF7">
        <f t="shared" si="79"/>
        <v>0</v>
      </c>
      <c r="DG7">
        <f t="shared" si="79"/>
        <v>0</v>
      </c>
      <c r="DH7">
        <f t="shared" si="79"/>
        <v>1.75750065821733</v>
      </c>
      <c r="DI7">
        <f t="shared" si="79"/>
        <v>6.1348270639642317</v>
      </c>
      <c r="DJ7">
        <f t="shared" si="79"/>
        <v>0.74734841073727587</v>
      </c>
      <c r="DK7">
        <f t="shared" si="79"/>
        <v>10.885827675079771</v>
      </c>
      <c r="DL7">
        <f t="shared" si="79"/>
        <v>0.48454457399449752</v>
      </c>
      <c r="DM7">
        <f t="shared" si="79"/>
        <v>0.11908298852407143</v>
      </c>
      <c r="DN7">
        <f t="shared" si="79"/>
        <v>4.4471336748817025</v>
      </c>
      <c r="DO7">
        <f t="shared" si="79"/>
        <v>0.11497667857496552</v>
      </c>
      <c r="DP7">
        <f t="shared" si="79"/>
        <v>0.85821877936313551</v>
      </c>
      <c r="DQ7">
        <f t="shared" si="79"/>
        <v>0.32850479592847293</v>
      </c>
      <c r="DR7">
        <f t="shared" si="79"/>
        <v>4.9275719389270931E-2</v>
      </c>
      <c r="DS7">
        <f t="shared" si="79"/>
        <v>0.36956789541953206</v>
      </c>
      <c r="DT7">
        <f t="shared" si="79"/>
        <v>0.76787996048280538</v>
      </c>
      <c r="DU7">
        <f t="shared" si="79"/>
        <v>3.9831206506327343</v>
      </c>
      <c r="DV7">
        <f t="shared" si="79"/>
        <v>6.1594649236588667E-2</v>
      </c>
      <c r="DW7">
        <f t="shared" si="79"/>
        <v>8.7998222209339687</v>
      </c>
      <c r="DX7">
        <f t="shared" si="79"/>
        <v>3.4780445268927069</v>
      </c>
      <c r="DY7">
        <f t="shared" si="79"/>
        <v>5.3217776940412609</v>
      </c>
      <c r="DZ7">
        <f t="shared" si="79"/>
        <v>6.5700959185694574E-2</v>
      </c>
      <c r="EA7">
        <f t="shared" si="79"/>
        <v>0.13961453826960096</v>
      </c>
      <c r="EB7">
        <f t="shared" si="79"/>
        <v>3.4000246378596941</v>
      </c>
      <c r="EC7">
        <f t="shared" si="79"/>
        <v>0.51739505358734483</v>
      </c>
      <c r="ED7">
        <f t="shared" si="79"/>
        <v>0.17657132781155419</v>
      </c>
      <c r="EE7">
        <f t="shared" si="79"/>
        <v>4.2828812769174656</v>
      </c>
      <c r="EF7">
        <f t="shared" si="79"/>
        <v>0.1437208482187069</v>
      </c>
      <c r="EG7">
        <f t="shared" si="79"/>
        <v>9.7196356495336929</v>
      </c>
      <c r="EH7">
        <f t="shared" ref="EH7:EJ7" si="80">BO7/$BR$7*100</f>
        <v>12.602265233806042</v>
      </c>
      <c r="EI7">
        <f t="shared" si="80"/>
        <v>7.9580286813672556</v>
      </c>
      <c r="EJ7">
        <f t="shared" si="80"/>
        <v>12.236803648335616</v>
      </c>
      <c r="EK7" t="s">
        <v>74</v>
      </c>
      <c r="EL7">
        <f t="shared" si="5"/>
        <v>88.084776351204823</v>
      </c>
      <c r="EM7">
        <f t="shared" si="6"/>
        <v>98.655248100418945</v>
      </c>
      <c r="EN7">
        <f t="shared" si="7"/>
        <v>0.5760833053409472</v>
      </c>
      <c r="EO7">
        <f t="shared" si="8"/>
        <v>0.19202776844698241</v>
      </c>
      <c r="EP7">
        <f t="shared" si="9"/>
        <v>4.7143294464698187</v>
      </c>
      <c r="EQ7">
        <f t="shared" si="10"/>
        <v>1.0262675626145388</v>
      </c>
      <c r="ER7">
        <f t="shared" si="11"/>
        <v>277.38317757009344</v>
      </c>
      <c r="ES7">
        <f t="shared" si="12"/>
        <v>45053.012048192766</v>
      </c>
      <c r="ET7">
        <f t="shared" si="13"/>
        <v>1856.0224089635856</v>
      </c>
      <c r="EU7">
        <f t="shared" si="14"/>
        <v>96.032157676348533</v>
      </c>
      <c r="EV7">
        <f t="shared" si="15"/>
        <v>163.01369863013699</v>
      </c>
      <c r="EW7">
        <f t="shared" si="16"/>
        <v>67.208918719071733</v>
      </c>
      <c r="EX7">
        <f t="shared" si="17"/>
        <v>1.6847815705526161</v>
      </c>
      <c r="EY7">
        <f t="shared" si="18"/>
        <v>628.50280224179346</v>
      </c>
      <c r="EZ7">
        <f t="shared" si="19"/>
        <v>302.20264317180619</v>
      </c>
      <c r="FA7">
        <f t="shared" si="20"/>
        <v>7.7086769165292335</v>
      </c>
      <c r="FB7">
        <f t="shared" si="21"/>
        <v>15.36755737886684</v>
      </c>
      <c r="FC7">
        <f t="shared" si="22"/>
        <v>3.4926970879071031</v>
      </c>
      <c r="FD7">
        <f t="shared" si="23"/>
        <v>1046.3667820069204</v>
      </c>
      <c r="FE7">
        <f t="shared" si="24"/>
        <v>417.10086840347361</v>
      </c>
      <c r="FF7">
        <f t="shared" si="25"/>
        <v>24.701293877298337</v>
      </c>
      <c r="FG7">
        <f t="shared" si="26"/>
        <v>30.939907550077038</v>
      </c>
      <c r="FH7">
        <f t="shared" si="27"/>
        <v>2674.517889630079</v>
      </c>
      <c r="FI7">
        <f t="shared" si="28"/>
        <v>1116.7424643046006</v>
      </c>
      <c r="FJ7">
        <f t="shared" si="29"/>
        <v>54.644179975941078</v>
      </c>
      <c r="FK7">
        <f t="shared" si="30"/>
        <v>2.5592554893121999</v>
      </c>
      <c r="FL7">
        <f t="shared" si="31"/>
        <v>0.17198224897501652</v>
      </c>
      <c r="FM7">
        <f t="shared" si="32"/>
        <v>679.4221105527638</v>
      </c>
      <c r="FN7">
        <f t="shared" si="33"/>
        <v>1402.8513238289206</v>
      </c>
      <c r="FO7">
        <f t="shared" si="34"/>
        <v>12.879999999999999</v>
      </c>
      <c r="FP7">
        <f t="shared" si="35"/>
        <v>29.542596667714555</v>
      </c>
      <c r="FQ7">
        <f t="shared" si="36"/>
        <v>23.883869835979297</v>
      </c>
      <c r="FR7">
        <f t="shared" si="37"/>
        <v>262.08985938035897</v>
      </c>
      <c r="FS7">
        <f t="shared" si="38"/>
        <v>2956.5374211000903</v>
      </c>
      <c r="FT7">
        <f t="shared" si="39"/>
        <v>20.829061014398185</v>
      </c>
      <c r="FU7">
        <f t="shared" si="40"/>
        <v>666.69381660218562</v>
      </c>
      <c r="FV7">
        <f t="shared" si="41"/>
        <v>0.33899331093556101</v>
      </c>
      <c r="FW7">
        <f t="shared" si="42"/>
        <v>0</v>
      </c>
      <c r="FX7">
        <f t="shared" si="43"/>
        <v>0</v>
      </c>
      <c r="FY7">
        <f t="shared" si="44"/>
        <v>33288.888888888883</v>
      </c>
      <c r="FZ7">
        <f t="shared" si="45"/>
        <v>160892.30769230769</v>
      </c>
      <c r="GA7">
        <f t="shared" si="46"/>
        <v>89.560632688927939</v>
      </c>
      <c r="GB7">
        <f t="shared" si="47"/>
        <v>313.51579658726138</v>
      </c>
      <c r="GC7">
        <f t="shared" si="48"/>
        <v>77.340823970037448</v>
      </c>
      <c r="GD7">
        <f t="shared" si="49"/>
        <v>1.3973017621145374</v>
      </c>
      <c r="GE7">
        <f t="shared" si="50"/>
        <v>1097.1056439942113</v>
      </c>
      <c r="GF7">
        <f t="shared" si="51"/>
        <v>329.41176470588232</v>
      </c>
      <c r="GG7">
        <f t="shared" si="52"/>
        <v>12.460608125372627</v>
      </c>
      <c r="GH7">
        <f t="shared" si="53"/>
        <v>68.711656441717793</v>
      </c>
      <c r="GI7">
        <f t="shared" si="54"/>
        <v>3.3830044301248487</v>
      </c>
      <c r="GJ7">
        <f t="shared" si="55"/>
        <v>250</v>
      </c>
      <c r="GK7">
        <f t="shared" si="56"/>
        <v>377.77777777777777</v>
      </c>
      <c r="GL7">
        <f t="shared" si="57"/>
        <v>461.90476190476187</v>
      </c>
      <c r="GM7">
        <f t="shared" si="58"/>
        <v>9.5934216537231602</v>
      </c>
      <c r="GN7">
        <f t="shared" si="59"/>
        <v>167.25387445646115</v>
      </c>
      <c r="GO7">
        <f t="shared" si="60"/>
        <v>2555.6034482758619</v>
      </c>
      <c r="GP7">
        <f t="shared" si="61"/>
        <v>56.204696115482321</v>
      </c>
      <c r="GQ7">
        <f t="shared" si="62"/>
        <v>3.2624526653073112</v>
      </c>
      <c r="GR7">
        <f t="shared" si="63"/>
        <v>2.1431787483115716</v>
      </c>
      <c r="GS7">
        <f t="shared" si="64"/>
        <v>1472.9351969504448</v>
      </c>
      <c r="GT7">
        <f t="shared" si="65"/>
        <v>393.75</v>
      </c>
      <c r="GU7">
        <f t="shared" si="66"/>
        <v>8.4160492101216278</v>
      </c>
      <c r="GV7">
        <f t="shared" si="67"/>
        <v>78.938263596064445</v>
      </c>
      <c r="GW7">
        <f t="shared" si="68"/>
        <v>12.392513909964592</v>
      </c>
      <c r="GX7">
        <f t="shared" si="69"/>
        <v>206.46728971962619</v>
      </c>
      <c r="GY7">
        <f t="shared" si="70"/>
        <v>1262.962962962963</v>
      </c>
      <c r="GZ7">
        <f t="shared" si="71"/>
        <v>40.649626943936717</v>
      </c>
      <c r="HA7">
        <f t="shared" si="72"/>
        <v>970.90993716546416</v>
      </c>
    </row>
    <row r="8" spans="1:209">
      <c r="A8" t="s">
        <v>75</v>
      </c>
      <c r="B8">
        <v>1308072</v>
      </c>
      <c r="C8">
        <v>1387526</v>
      </c>
      <c r="D8">
        <v>10368</v>
      </c>
      <c r="E8">
        <v>3097</v>
      </c>
      <c r="F8">
        <v>285</v>
      </c>
      <c r="G8">
        <v>12</v>
      </c>
      <c r="H8">
        <v>373</v>
      </c>
      <c r="I8">
        <v>2216</v>
      </c>
      <c r="J8">
        <v>2666</v>
      </c>
      <c r="K8">
        <v>2033</v>
      </c>
      <c r="L8">
        <v>9111</v>
      </c>
      <c r="M8">
        <v>2058</v>
      </c>
      <c r="N8">
        <v>32</v>
      </c>
      <c r="O8">
        <v>13105</v>
      </c>
      <c r="P8">
        <v>95</v>
      </c>
      <c r="Q8">
        <v>145</v>
      </c>
      <c r="R8">
        <v>1</v>
      </c>
      <c r="S8">
        <v>7</v>
      </c>
      <c r="T8">
        <v>2703</v>
      </c>
      <c r="U8">
        <v>3750</v>
      </c>
      <c r="V8">
        <v>478</v>
      </c>
      <c r="W8">
        <v>517</v>
      </c>
      <c r="X8">
        <v>31901</v>
      </c>
      <c r="Y8">
        <v>-1</v>
      </c>
      <c r="Z8">
        <v>-1</v>
      </c>
      <c r="AA8">
        <v>2449</v>
      </c>
      <c r="AB8">
        <v>93</v>
      </c>
      <c r="AC8">
        <v>3075</v>
      </c>
      <c r="AD8">
        <v>370</v>
      </c>
      <c r="AE8">
        <v>-1</v>
      </c>
      <c r="AF8">
        <v>9156</v>
      </c>
      <c r="AG8">
        <v>-1</v>
      </c>
      <c r="AH8">
        <v>12432</v>
      </c>
      <c r="AI8">
        <v>-1</v>
      </c>
      <c r="AJ8">
        <v>5540</v>
      </c>
      <c r="AK8">
        <v>13234</v>
      </c>
      <c r="AL8">
        <v>26</v>
      </c>
      <c r="AM8">
        <v>3</v>
      </c>
      <c r="AN8">
        <v>0</v>
      </c>
      <c r="AO8">
        <v>181</v>
      </c>
      <c r="AP8">
        <v>584</v>
      </c>
      <c r="AQ8">
        <v>104</v>
      </c>
      <c r="AR8">
        <v>3524</v>
      </c>
      <c r="AS8">
        <v>323</v>
      </c>
      <c r="AT8">
        <v>9</v>
      </c>
      <c r="AU8">
        <v>4009</v>
      </c>
      <c r="AV8">
        <v>57</v>
      </c>
      <c r="AW8">
        <v>40</v>
      </c>
      <c r="AX8">
        <v>0</v>
      </c>
      <c r="AY8">
        <v>6</v>
      </c>
      <c r="AZ8">
        <v>568</v>
      </c>
      <c r="BA8">
        <v>170</v>
      </c>
      <c r="BB8">
        <v>1634</v>
      </c>
      <c r="BC8">
        <v>24</v>
      </c>
      <c r="BD8">
        <v>3197</v>
      </c>
      <c r="BE8">
        <v>-1</v>
      </c>
      <c r="BF8">
        <v>-1</v>
      </c>
      <c r="BG8">
        <v>17</v>
      </c>
      <c r="BH8">
        <v>125</v>
      </c>
      <c r="BI8">
        <v>515</v>
      </c>
      <c r="BJ8">
        <v>28</v>
      </c>
      <c r="BK8">
        <v>-1</v>
      </c>
      <c r="BL8">
        <v>1017</v>
      </c>
      <c r="BM8">
        <v>-1</v>
      </c>
      <c r="BN8">
        <v>1574</v>
      </c>
      <c r="BO8">
        <v>-1</v>
      </c>
      <c r="BP8">
        <v>791</v>
      </c>
      <c r="BQ8">
        <v>3960</v>
      </c>
      <c r="BR8">
        <f t="shared" si="2"/>
        <v>41902.588235294119</v>
      </c>
      <c r="BS8">
        <f>AVERAGE(G2:G15)</f>
        <v>5.9285714285714288</v>
      </c>
      <c r="BT8" t="s">
        <v>75</v>
      </c>
      <c r="BU8">
        <f>B8/$BR8*100</f>
        <v>3121.6973821636734</v>
      </c>
      <c r="BV8">
        <f t="shared" ref="BV8:EG8" si="81">C8/$BR8*100</f>
        <v>3311.3133542221171</v>
      </c>
      <c r="BW8">
        <f t="shared" si="81"/>
        <v>24.743101647518614</v>
      </c>
      <c r="BX8">
        <f t="shared" si="81"/>
        <v>7.3909515627281195</v>
      </c>
      <c r="BY8">
        <f t="shared" si="81"/>
        <v>0.68014891681547118</v>
      </c>
      <c r="BZ8">
        <f t="shared" si="81"/>
        <v>2.8637849129072468E-2</v>
      </c>
      <c r="CA8">
        <f t="shared" si="81"/>
        <v>0.89015981042866921</v>
      </c>
      <c r="CB8">
        <f t="shared" si="81"/>
        <v>5.2884561391687157</v>
      </c>
      <c r="CC8">
        <f t="shared" si="81"/>
        <v>6.3623754815089333</v>
      </c>
      <c r="CD8">
        <f t="shared" si="81"/>
        <v>4.8517289399503607</v>
      </c>
      <c r="CE8">
        <f t="shared" si="81"/>
        <v>21.743286951248272</v>
      </c>
      <c r="CF8">
        <f t="shared" si="81"/>
        <v>4.9113911256359284</v>
      </c>
      <c r="CG8">
        <f t="shared" si="81"/>
        <v>7.6367597677526586E-2</v>
      </c>
      <c r="CH8">
        <f t="shared" si="81"/>
        <v>31.274917736374558</v>
      </c>
      <c r="CI8">
        <f t="shared" si="81"/>
        <v>0.22671630560515704</v>
      </c>
      <c r="CJ8">
        <f t="shared" si="81"/>
        <v>0.34604067697629237</v>
      </c>
      <c r="CK8">
        <f t="shared" si="81"/>
        <v>2.3864874274227058E-3</v>
      </c>
      <c r="CL8">
        <f t="shared" si="81"/>
        <v>1.6705411991958938E-2</v>
      </c>
      <c r="CM8">
        <f t="shared" si="81"/>
        <v>6.4506755163235745</v>
      </c>
      <c r="CN8">
        <f t="shared" si="81"/>
        <v>8.9493278528351468</v>
      </c>
      <c r="CO8">
        <f t="shared" si="81"/>
        <v>1.1407409903080534</v>
      </c>
      <c r="CP8">
        <f t="shared" si="81"/>
        <v>1.2338139999775388</v>
      </c>
      <c r="CQ8">
        <f t="shared" si="81"/>
        <v>76.131335422211748</v>
      </c>
      <c r="CR8">
        <f t="shared" si="81"/>
        <v>-2.3864874274227058E-3</v>
      </c>
      <c r="CS8">
        <f t="shared" si="81"/>
        <v>-2.3864874274227058E-3</v>
      </c>
      <c r="CT8">
        <f t="shared" si="81"/>
        <v>5.8445077097582061</v>
      </c>
      <c r="CU8">
        <f t="shared" si="81"/>
        <v>0.22194333075031164</v>
      </c>
      <c r="CV8">
        <f t="shared" si="81"/>
        <v>7.3384488393248208</v>
      </c>
      <c r="CW8">
        <f t="shared" si="81"/>
        <v>0.88300034814640127</v>
      </c>
      <c r="CX8">
        <f t="shared" si="81"/>
        <v>-2.3864874274227058E-3</v>
      </c>
      <c r="CY8">
        <f t="shared" si="81"/>
        <v>21.850678885482296</v>
      </c>
      <c r="CZ8">
        <f t="shared" si="81"/>
        <v>-2.3864874274227058E-3</v>
      </c>
      <c r="DA8">
        <f t="shared" si="81"/>
        <v>29.668811697719079</v>
      </c>
      <c r="DB8">
        <f t="shared" si="81"/>
        <v>-2.3864874274227058E-3</v>
      </c>
      <c r="DC8">
        <f t="shared" si="81"/>
        <v>13.221140347921789</v>
      </c>
      <c r="DD8">
        <f t="shared" si="81"/>
        <v>31.58277461451209</v>
      </c>
      <c r="DE8">
        <f t="shared" si="81"/>
        <v>6.2048673112990352E-2</v>
      </c>
      <c r="DF8">
        <f t="shared" si="81"/>
        <v>7.159462282268117E-3</v>
      </c>
      <c r="DG8">
        <f t="shared" si="81"/>
        <v>0</v>
      </c>
      <c r="DH8">
        <f t="shared" si="81"/>
        <v>0.43195422436350972</v>
      </c>
      <c r="DI8">
        <f t="shared" si="81"/>
        <v>1.3937086576148603</v>
      </c>
      <c r="DJ8">
        <f t="shared" si="81"/>
        <v>0.24819469245196141</v>
      </c>
      <c r="DK8">
        <f t="shared" si="81"/>
        <v>8.4099816942376151</v>
      </c>
      <c r="DL8">
        <f t="shared" si="81"/>
        <v>0.77083543905753404</v>
      </c>
      <c r="DM8">
        <f t="shared" si="81"/>
        <v>2.1478386846804351E-2</v>
      </c>
      <c r="DN8">
        <f t="shared" si="81"/>
        <v>9.5674280965376273</v>
      </c>
      <c r="DO8">
        <f t="shared" si="81"/>
        <v>0.13602978336309424</v>
      </c>
      <c r="DP8">
        <f t="shared" si="81"/>
        <v>9.5459497096908222E-2</v>
      </c>
      <c r="DQ8">
        <f t="shared" si="81"/>
        <v>0</v>
      </c>
      <c r="DR8">
        <f t="shared" si="81"/>
        <v>1.4318924564536234E-2</v>
      </c>
      <c r="DS8">
        <f t="shared" si="81"/>
        <v>1.3555248587760969</v>
      </c>
      <c r="DT8">
        <f t="shared" si="81"/>
        <v>0.40570286266185995</v>
      </c>
      <c r="DU8">
        <f t="shared" si="81"/>
        <v>3.8995204564087014</v>
      </c>
      <c r="DV8">
        <f t="shared" si="81"/>
        <v>5.7275698258144936E-2</v>
      </c>
      <c r="DW8">
        <f t="shared" si="81"/>
        <v>7.6296003054703911</v>
      </c>
      <c r="DX8">
        <f t="shared" si="81"/>
        <v>-2.3864874274227058E-3</v>
      </c>
      <c r="DY8">
        <f t="shared" si="81"/>
        <v>-2.3864874274227058E-3</v>
      </c>
      <c r="DZ8">
        <f t="shared" si="81"/>
        <v>4.0570286266186001E-2</v>
      </c>
      <c r="EA8">
        <f t="shared" si="81"/>
        <v>0.29831092842783824</v>
      </c>
      <c r="EB8">
        <f t="shared" si="81"/>
        <v>1.2290410251226935</v>
      </c>
      <c r="EC8">
        <f t="shared" si="81"/>
        <v>6.6821647967835754E-2</v>
      </c>
      <c r="ED8">
        <f t="shared" si="81"/>
        <v>-2.3864874274227058E-3</v>
      </c>
      <c r="EE8">
        <f t="shared" si="81"/>
        <v>2.427057713688892</v>
      </c>
      <c r="EF8">
        <f t="shared" si="81"/>
        <v>-2.3864874274227058E-3</v>
      </c>
      <c r="EG8">
        <f t="shared" si="81"/>
        <v>3.7563312107633391</v>
      </c>
      <c r="EH8">
        <f t="shared" ref="EH8:EJ8" si="82">BO8/$BR8*100</f>
        <v>-2.3864874274227058E-3</v>
      </c>
      <c r="EI8">
        <f t="shared" si="82"/>
        <v>1.8877115550913603</v>
      </c>
      <c r="EJ8">
        <f t="shared" si="82"/>
        <v>9.4504902125939143</v>
      </c>
      <c r="EK8" t="s">
        <v>75</v>
      </c>
      <c r="EL8">
        <f t="shared" si="5"/>
        <v>160.07105952695102</v>
      </c>
      <c r="EM8">
        <f t="shared" si="6"/>
        <v>169.79398453693085</v>
      </c>
      <c r="EN8">
        <f t="shared" si="7"/>
        <v>1.1950443596988678</v>
      </c>
      <c r="EO8">
        <f t="shared" si="8"/>
        <v>0.35696878684291988</v>
      </c>
      <c r="EP8">
        <f t="shared" si="9"/>
        <v>5.5519995547268524</v>
      </c>
      <c r="EQ8">
        <f t="shared" si="10"/>
        <v>1.0262675626145388</v>
      </c>
      <c r="ER8">
        <f t="shared" si="11"/>
        <v>325.35825545171343</v>
      </c>
      <c r="ES8">
        <f t="shared" si="12"/>
        <v>37378.313253012042</v>
      </c>
      <c r="ET8">
        <f t="shared" si="13"/>
        <v>1493.5574229691877</v>
      </c>
      <c r="EU8">
        <f t="shared" si="14"/>
        <v>123.02040110650067</v>
      </c>
      <c r="EV8">
        <f t="shared" si="15"/>
        <v>328.4426820475847</v>
      </c>
      <c r="EW8">
        <f t="shared" si="16"/>
        <v>163.88146294294978</v>
      </c>
      <c r="EX8">
        <f t="shared" si="17"/>
        <v>0.85576206758228113</v>
      </c>
      <c r="EY8">
        <f t="shared" si="18"/>
        <v>2098.4787830264208</v>
      </c>
      <c r="EZ8">
        <f t="shared" si="19"/>
        <v>292.95154185022028</v>
      </c>
      <c r="FA8">
        <f t="shared" si="20"/>
        <v>2.699898920040432</v>
      </c>
      <c r="FB8">
        <f t="shared" si="21"/>
        <v>0.15522785231178624</v>
      </c>
      <c r="FC8">
        <f t="shared" si="22"/>
        <v>0.44452508391544948</v>
      </c>
      <c r="FD8">
        <f t="shared" si="23"/>
        <v>6547.0588235294117</v>
      </c>
      <c r="FE8">
        <f t="shared" si="24"/>
        <v>1169.004676018704</v>
      </c>
      <c r="FF8">
        <f t="shared" si="25"/>
        <v>41.4288367485916</v>
      </c>
      <c r="FG8">
        <f t="shared" si="26"/>
        <v>31.864406779661014</v>
      </c>
      <c r="FH8">
        <f t="shared" si="27"/>
        <v>5416.7859308671923</v>
      </c>
      <c r="FI8">
        <f t="shared" si="28"/>
        <v>-0.14806980433632999</v>
      </c>
      <c r="FJ8">
        <f t="shared" si="29"/>
        <v>-6.6566183427873163E-3</v>
      </c>
      <c r="FK8">
        <f t="shared" si="30"/>
        <v>71.222916969608846</v>
      </c>
      <c r="FL8">
        <f t="shared" si="31"/>
        <v>0.9996468221672834</v>
      </c>
      <c r="FM8">
        <f t="shared" si="32"/>
        <v>540.8291457286432</v>
      </c>
      <c r="FN8">
        <f t="shared" si="33"/>
        <v>1054.9898167006111</v>
      </c>
      <c r="FO8">
        <f t="shared" si="34"/>
        <v>-4.3076923076923075E-2</v>
      </c>
      <c r="FP8">
        <f t="shared" si="35"/>
        <v>83.951587551084572</v>
      </c>
      <c r="FQ8">
        <f t="shared" si="36"/>
        <v>-6.1398122971669154E-2</v>
      </c>
      <c r="FR8">
        <f t="shared" si="37"/>
        <v>248.72527723791015</v>
      </c>
      <c r="FS8">
        <f t="shared" si="38"/>
        <v>-0.25247971145175835</v>
      </c>
      <c r="FT8">
        <f t="shared" si="39"/>
        <v>17.633404342873771</v>
      </c>
      <c r="FU8">
        <f t="shared" si="40"/>
        <v>1257.5578633000748</v>
      </c>
      <c r="FV8">
        <f t="shared" si="41"/>
        <v>0.55086413027028658</v>
      </c>
      <c r="FW8">
        <f t="shared" si="42"/>
        <v>5.3077214709970934E-2</v>
      </c>
      <c r="FX8">
        <f t="shared" si="43"/>
        <v>0</v>
      </c>
      <c r="FY8">
        <f t="shared" si="44"/>
        <v>14077.777777777777</v>
      </c>
      <c r="FZ8">
        <f t="shared" si="45"/>
        <v>62892.307692307688</v>
      </c>
      <c r="GA8">
        <f t="shared" si="46"/>
        <v>51.177504393673111</v>
      </c>
      <c r="GB8">
        <f t="shared" si="47"/>
        <v>416.75958776820414</v>
      </c>
      <c r="GC8">
        <f t="shared" si="48"/>
        <v>211.70411985018725</v>
      </c>
      <c r="GD8">
        <f t="shared" si="49"/>
        <v>0.4336453744493392</v>
      </c>
      <c r="GE8">
        <f t="shared" si="50"/>
        <v>4061.2156295224318</v>
      </c>
      <c r="GF8">
        <f t="shared" si="51"/>
        <v>670.58823529411768</v>
      </c>
      <c r="GG8">
        <f t="shared" si="52"/>
        <v>2.3848053828464355</v>
      </c>
      <c r="GH8">
        <f t="shared" si="53"/>
        <v>0</v>
      </c>
      <c r="GI8">
        <f t="shared" si="54"/>
        <v>1.6915022150624244</v>
      </c>
      <c r="GJ8">
        <f t="shared" si="55"/>
        <v>1577.7777777777778</v>
      </c>
      <c r="GK8">
        <f t="shared" si="56"/>
        <v>343.43434343434342</v>
      </c>
      <c r="GL8">
        <f t="shared" si="57"/>
        <v>778.09523809523807</v>
      </c>
      <c r="GM8">
        <f t="shared" si="58"/>
        <v>15.349474645957056</v>
      </c>
      <c r="GN8">
        <f t="shared" si="59"/>
        <v>249.51499609766978</v>
      </c>
      <c r="GO8">
        <f t="shared" si="60"/>
        <v>-3.0172413793103448</v>
      </c>
      <c r="GP8">
        <f t="shared" si="61"/>
        <v>-4.3367821076761043E-2</v>
      </c>
      <c r="GQ8">
        <f t="shared" si="62"/>
        <v>3.4663559568890183</v>
      </c>
      <c r="GR8">
        <f t="shared" si="63"/>
        <v>7.8793336334984243</v>
      </c>
      <c r="GS8">
        <f t="shared" si="64"/>
        <v>916.13722998729349</v>
      </c>
      <c r="GT8">
        <f t="shared" si="65"/>
        <v>87.5</v>
      </c>
      <c r="GU8">
        <f t="shared" si="66"/>
        <v>-0.19572207465399133</v>
      </c>
      <c r="GV8">
        <f t="shared" si="67"/>
        <v>76.970483295491405</v>
      </c>
      <c r="GW8">
        <f t="shared" si="68"/>
        <v>-0.35407182599898834</v>
      </c>
      <c r="GX8">
        <f t="shared" si="69"/>
        <v>137.29595015576325</v>
      </c>
      <c r="GY8">
        <f t="shared" si="70"/>
        <v>-0.41152263374485598</v>
      </c>
      <c r="GZ8">
        <f t="shared" si="71"/>
        <v>16.591256404878195</v>
      </c>
      <c r="HA8">
        <f t="shared" si="72"/>
        <v>1290.2024668373283</v>
      </c>
    </row>
    <row r="9" spans="1:209">
      <c r="A9" t="s">
        <v>76</v>
      </c>
      <c r="B9">
        <v>1889064</v>
      </c>
      <c r="C9">
        <v>1903557</v>
      </c>
      <c r="D9">
        <v>7584</v>
      </c>
      <c r="E9">
        <v>1779</v>
      </c>
      <c r="F9">
        <v>145</v>
      </c>
      <c r="G9">
        <v>8</v>
      </c>
      <c r="H9">
        <v>198</v>
      </c>
      <c r="I9">
        <v>2016</v>
      </c>
      <c r="J9">
        <v>6879</v>
      </c>
      <c r="K9">
        <v>2087</v>
      </c>
      <c r="L9">
        <v>4592</v>
      </c>
      <c r="M9">
        <v>705</v>
      </c>
      <c r="N9">
        <v>38</v>
      </c>
      <c r="O9">
        <v>3348</v>
      </c>
      <c r="P9">
        <v>470</v>
      </c>
      <c r="Q9">
        <v>292</v>
      </c>
      <c r="R9">
        <v>43</v>
      </c>
      <c r="S9">
        <v>601</v>
      </c>
      <c r="T9">
        <v>1691</v>
      </c>
      <c r="U9">
        <v>2251</v>
      </c>
      <c r="V9">
        <v>1799</v>
      </c>
      <c r="W9">
        <v>1145</v>
      </c>
      <c r="X9">
        <v>9414</v>
      </c>
      <c r="Y9">
        <v>2295</v>
      </c>
      <c r="Z9">
        <v>7119</v>
      </c>
      <c r="AA9">
        <v>222</v>
      </c>
      <c r="AB9">
        <v>0</v>
      </c>
      <c r="AC9">
        <v>6447</v>
      </c>
      <c r="AD9">
        <v>3791</v>
      </c>
      <c r="AE9">
        <v>6</v>
      </c>
      <c r="AF9">
        <v>141</v>
      </c>
      <c r="AG9">
        <v>168</v>
      </c>
      <c r="AH9">
        <v>30499</v>
      </c>
      <c r="AI9">
        <v>1283</v>
      </c>
      <c r="AJ9">
        <v>9238</v>
      </c>
      <c r="AK9">
        <v>7422</v>
      </c>
      <c r="AL9">
        <v>29</v>
      </c>
      <c r="AM9">
        <v>5</v>
      </c>
      <c r="AN9">
        <v>1</v>
      </c>
      <c r="AO9">
        <v>332</v>
      </c>
      <c r="AP9">
        <v>1771</v>
      </c>
      <c r="AQ9">
        <v>432</v>
      </c>
      <c r="AR9">
        <v>3299</v>
      </c>
      <c r="AS9">
        <v>251</v>
      </c>
      <c r="AT9">
        <v>10</v>
      </c>
      <c r="AU9">
        <v>989</v>
      </c>
      <c r="AV9">
        <v>131</v>
      </c>
      <c r="AW9">
        <v>105</v>
      </c>
      <c r="AX9">
        <v>39</v>
      </c>
      <c r="AY9">
        <v>96</v>
      </c>
      <c r="AZ9">
        <v>247</v>
      </c>
      <c r="BA9">
        <v>178</v>
      </c>
      <c r="BB9">
        <v>2480</v>
      </c>
      <c r="BC9">
        <v>109</v>
      </c>
      <c r="BD9">
        <v>2170</v>
      </c>
      <c r="BE9">
        <v>372</v>
      </c>
      <c r="BF9">
        <v>1798</v>
      </c>
      <c r="BG9">
        <v>20</v>
      </c>
      <c r="BH9">
        <v>4</v>
      </c>
      <c r="BI9">
        <v>1479</v>
      </c>
      <c r="BJ9">
        <v>947</v>
      </c>
      <c r="BK9">
        <v>1</v>
      </c>
      <c r="BL9">
        <v>39</v>
      </c>
      <c r="BM9">
        <v>62</v>
      </c>
      <c r="BN9">
        <v>5159</v>
      </c>
      <c r="BO9">
        <v>497</v>
      </c>
      <c r="BP9">
        <v>2133</v>
      </c>
      <c r="BQ9">
        <v>3992</v>
      </c>
      <c r="BR9">
        <f t="shared" si="2"/>
        <v>57904.617647058825</v>
      </c>
      <c r="BS9">
        <f>AVERAGE(H2:H15)</f>
        <v>178.5</v>
      </c>
      <c r="BT9" t="s">
        <v>76</v>
      </c>
      <c r="BU9">
        <f>B9/$BR$9*100</f>
        <v>3262.3719433124556</v>
      </c>
      <c r="BV9">
        <f t="shared" ref="BV9:EG9" si="83">C9/$BR$9*100</f>
        <v>3287.4010352725095</v>
      </c>
      <c r="BW9">
        <f t="shared" si="83"/>
        <v>13.097401050510552</v>
      </c>
      <c r="BX9">
        <f t="shared" si="83"/>
        <v>3.0722938381933371</v>
      </c>
      <c r="BY9">
        <f t="shared" si="83"/>
        <v>0.25041180805960306</v>
      </c>
      <c r="BZ9">
        <f t="shared" si="83"/>
        <v>1.3815823892943618E-2</v>
      </c>
      <c r="CA9">
        <f t="shared" si="83"/>
        <v>0.34194164135035454</v>
      </c>
      <c r="CB9">
        <f t="shared" si="83"/>
        <v>3.4815876210217915</v>
      </c>
      <c r="CC9">
        <f t="shared" si="83"/>
        <v>11.879881569944892</v>
      </c>
      <c r="CD9">
        <f t="shared" si="83"/>
        <v>3.6042030580716666</v>
      </c>
      <c r="CE9">
        <f t="shared" si="83"/>
        <v>7.930282914549637</v>
      </c>
      <c r="CF9">
        <f t="shared" si="83"/>
        <v>1.2175194805656564</v>
      </c>
      <c r="CG9">
        <f t="shared" si="83"/>
        <v>6.5625163491482189E-2</v>
      </c>
      <c r="CH9">
        <f t="shared" si="83"/>
        <v>5.7819222991969044</v>
      </c>
      <c r="CI9">
        <f t="shared" si="83"/>
        <v>0.8116796537104376</v>
      </c>
      <c r="CJ9">
        <f t="shared" si="83"/>
        <v>0.50427757209244206</v>
      </c>
      <c r="CK9">
        <f t="shared" si="83"/>
        <v>7.426005342457194E-2</v>
      </c>
      <c r="CL9">
        <f t="shared" si="83"/>
        <v>1.0379137699573893</v>
      </c>
      <c r="CM9">
        <f t="shared" si="83"/>
        <v>2.9203197753709573</v>
      </c>
      <c r="CN9">
        <f t="shared" si="83"/>
        <v>3.8874274478770108</v>
      </c>
      <c r="CO9">
        <f t="shared" si="83"/>
        <v>3.1068333979256959</v>
      </c>
      <c r="CP9">
        <f t="shared" si="83"/>
        <v>1.9773897946775552</v>
      </c>
      <c r="CQ9">
        <f t="shared" si="83"/>
        <v>16.257770766021405</v>
      </c>
      <c r="CR9">
        <f t="shared" si="83"/>
        <v>3.9634144792882005</v>
      </c>
      <c r="CS9">
        <f t="shared" si="83"/>
        <v>12.294356286733201</v>
      </c>
      <c r="CT9">
        <f t="shared" si="83"/>
        <v>0.38338911302918538</v>
      </c>
      <c r="CU9">
        <f t="shared" si="83"/>
        <v>0</v>
      </c>
      <c r="CV9">
        <f t="shared" si="83"/>
        <v>11.133827079725938</v>
      </c>
      <c r="CW9">
        <f t="shared" si="83"/>
        <v>6.5469735472686574</v>
      </c>
      <c r="CX9">
        <f t="shared" si="83"/>
        <v>1.0361867919707715E-2</v>
      </c>
      <c r="CY9">
        <f t="shared" si="83"/>
        <v>0.24350389611313125</v>
      </c>
      <c r="CZ9">
        <f t="shared" si="83"/>
        <v>0.29013230175181598</v>
      </c>
      <c r="DA9">
        <f t="shared" si="83"/>
        <v>52.671101613860927</v>
      </c>
      <c r="DB9">
        <f t="shared" si="83"/>
        <v>2.2157127568308326</v>
      </c>
      <c r="DC9">
        <f t="shared" si="83"/>
        <v>15.953822640376645</v>
      </c>
      <c r="DD9">
        <f t="shared" si="83"/>
        <v>12.817630616678441</v>
      </c>
      <c r="DE9">
        <f t="shared" si="83"/>
        <v>5.0082361611920617E-2</v>
      </c>
      <c r="DF9">
        <f t="shared" si="83"/>
        <v>8.6348899330897615E-3</v>
      </c>
      <c r="DG9">
        <f t="shared" si="83"/>
        <v>1.7269779866179522E-3</v>
      </c>
      <c r="DH9">
        <f t="shared" si="83"/>
        <v>0.57335669155716018</v>
      </c>
      <c r="DI9">
        <f t="shared" si="83"/>
        <v>3.0584780143003933</v>
      </c>
      <c r="DJ9">
        <f t="shared" si="83"/>
        <v>0.74605449021895531</v>
      </c>
      <c r="DK9">
        <f t="shared" si="83"/>
        <v>5.6973003778526241</v>
      </c>
      <c r="DL9">
        <f t="shared" si="83"/>
        <v>0.43347147464110602</v>
      </c>
      <c r="DM9">
        <f t="shared" si="83"/>
        <v>1.7269779866179523E-2</v>
      </c>
      <c r="DN9">
        <f t="shared" si="83"/>
        <v>1.7079812287651548</v>
      </c>
      <c r="DO9">
        <f t="shared" si="83"/>
        <v>0.22623411624695175</v>
      </c>
      <c r="DP9">
        <f t="shared" si="83"/>
        <v>0.18133268859488499</v>
      </c>
      <c r="DQ9">
        <f t="shared" si="83"/>
        <v>6.7352141478100133E-2</v>
      </c>
      <c r="DR9">
        <f t="shared" si="83"/>
        <v>0.16578988671532344</v>
      </c>
      <c r="DS9">
        <f t="shared" si="83"/>
        <v>0.42656356269463425</v>
      </c>
      <c r="DT9">
        <f t="shared" si="83"/>
        <v>0.30740208161799548</v>
      </c>
      <c r="DU9">
        <f t="shared" si="83"/>
        <v>4.2829054068125219</v>
      </c>
      <c r="DV9">
        <f t="shared" si="83"/>
        <v>0.1882406005413568</v>
      </c>
      <c r="DW9">
        <f t="shared" si="83"/>
        <v>3.7475422309609563</v>
      </c>
      <c r="DX9">
        <f t="shared" si="83"/>
        <v>0.6424358110218783</v>
      </c>
      <c r="DY9">
        <f t="shared" si="83"/>
        <v>3.1051064199390783</v>
      </c>
      <c r="DZ9">
        <f t="shared" si="83"/>
        <v>3.4539559732359046E-2</v>
      </c>
      <c r="EA9">
        <f t="shared" si="83"/>
        <v>6.907911946471809E-3</v>
      </c>
      <c r="EB9">
        <f t="shared" si="83"/>
        <v>2.5542004422079514</v>
      </c>
      <c r="EC9">
        <f t="shared" si="83"/>
        <v>1.6354481533272007</v>
      </c>
      <c r="ED9">
        <f t="shared" si="83"/>
        <v>1.7269779866179522E-3</v>
      </c>
      <c r="EE9">
        <f t="shared" si="83"/>
        <v>6.7352141478100133E-2</v>
      </c>
      <c r="EF9">
        <f t="shared" si="83"/>
        <v>0.10707263517031305</v>
      </c>
      <c r="EG9">
        <f t="shared" si="83"/>
        <v>8.9094794329620157</v>
      </c>
      <c r="EH9">
        <f t="shared" ref="EH9:EJ9" si="84">BO9/$BR$9*100</f>
        <v>0.85830805934912235</v>
      </c>
      <c r="EI9">
        <f t="shared" si="84"/>
        <v>3.6836440454560924</v>
      </c>
      <c r="EJ9">
        <f t="shared" si="84"/>
        <v>6.8940961225788664</v>
      </c>
      <c r="EK9" t="s">
        <v>76</v>
      </c>
      <c r="EL9">
        <f t="shared" si="5"/>
        <v>231.16806719677524</v>
      </c>
      <c r="EM9">
        <f t="shared" si="6"/>
        <v>232.94160096687668</v>
      </c>
      <c r="EN9">
        <f t="shared" si="7"/>
        <v>0.87415281866861627</v>
      </c>
      <c r="EO9">
        <f t="shared" si="8"/>
        <v>0.20505246102471894</v>
      </c>
      <c r="EP9">
        <f t="shared" si="9"/>
        <v>2.8247015278434864</v>
      </c>
      <c r="EQ9">
        <f t="shared" si="10"/>
        <v>0.68417837507635926</v>
      </c>
      <c r="ER9">
        <f t="shared" si="11"/>
        <v>172.71028037383178</v>
      </c>
      <c r="ES9">
        <f t="shared" si="12"/>
        <v>34004.819277108429</v>
      </c>
      <c r="ET9">
        <f t="shared" si="13"/>
        <v>3853.7815126050418</v>
      </c>
      <c r="EU9">
        <f t="shared" si="14"/>
        <v>126.28803596127247</v>
      </c>
      <c r="EV9">
        <f t="shared" si="15"/>
        <v>165.53713049747657</v>
      </c>
      <c r="EW9">
        <f t="shared" si="16"/>
        <v>56.140151299698537</v>
      </c>
      <c r="EX9">
        <f t="shared" si="17"/>
        <v>1.0162174552539589</v>
      </c>
      <c r="EY9">
        <f t="shared" si="18"/>
        <v>536.10888710968777</v>
      </c>
      <c r="EZ9">
        <f t="shared" si="19"/>
        <v>1449.3392070484581</v>
      </c>
      <c r="FA9">
        <f t="shared" si="20"/>
        <v>5.4370378251848699</v>
      </c>
      <c r="FB9">
        <f t="shared" si="21"/>
        <v>6.6747976494068082</v>
      </c>
      <c r="FC9">
        <f t="shared" si="22"/>
        <v>38.165653633312161</v>
      </c>
      <c r="FD9">
        <f t="shared" si="23"/>
        <v>4095.8477508650517</v>
      </c>
      <c r="FE9">
        <f t="shared" si="24"/>
        <v>701.71454019149417</v>
      </c>
      <c r="FF9">
        <f t="shared" si="25"/>
        <v>155.92150065003406</v>
      </c>
      <c r="FG9">
        <f t="shared" si="26"/>
        <v>70.570107858243446</v>
      </c>
      <c r="FH9">
        <f t="shared" si="27"/>
        <v>1598.4960582171013</v>
      </c>
      <c r="FI9">
        <f t="shared" si="28"/>
        <v>339.82020095187727</v>
      </c>
      <c r="FJ9">
        <f t="shared" si="29"/>
        <v>47.388465982302904</v>
      </c>
      <c r="FK9">
        <f t="shared" si="30"/>
        <v>6.4563036207648681</v>
      </c>
      <c r="FL9">
        <f t="shared" si="31"/>
        <v>0</v>
      </c>
      <c r="FM9">
        <f t="shared" si="32"/>
        <v>1133.8944723618092</v>
      </c>
      <c r="FN9">
        <f t="shared" si="33"/>
        <v>10809.368635437882</v>
      </c>
      <c r="FO9">
        <f t="shared" si="34"/>
        <v>0.25846153846153846</v>
      </c>
      <c r="FP9">
        <f t="shared" si="35"/>
        <v>1.2928324426281046</v>
      </c>
      <c r="FQ9">
        <f t="shared" si="36"/>
        <v>10.314884659240416</v>
      </c>
      <c r="FR9">
        <f t="shared" si="37"/>
        <v>610.18920772836395</v>
      </c>
      <c r="FS9">
        <f t="shared" si="38"/>
        <v>323.93146979260598</v>
      </c>
      <c r="FT9">
        <f t="shared" si="39"/>
        <v>29.403860887990596</v>
      </c>
      <c r="FU9">
        <f t="shared" si="40"/>
        <v>705.27387497454686</v>
      </c>
      <c r="FV9">
        <f t="shared" si="41"/>
        <v>0.61442537607070435</v>
      </c>
      <c r="FW9">
        <f t="shared" si="42"/>
        <v>8.8462024516618235E-2</v>
      </c>
      <c r="FX9">
        <f t="shared" si="43"/>
        <v>8.3832335329341312</v>
      </c>
      <c r="FY9">
        <f t="shared" si="44"/>
        <v>25822.222222222223</v>
      </c>
      <c r="FZ9">
        <f t="shared" si="45"/>
        <v>190723.07692307691</v>
      </c>
      <c r="GA9">
        <f t="shared" si="46"/>
        <v>212.58347978910371</v>
      </c>
      <c r="GB9">
        <f t="shared" si="47"/>
        <v>390.15036323703328</v>
      </c>
      <c r="GC9">
        <f t="shared" si="48"/>
        <v>164.51310861423221</v>
      </c>
      <c r="GD9">
        <f t="shared" si="49"/>
        <v>0.48182819383259906</v>
      </c>
      <c r="GE9">
        <f t="shared" si="50"/>
        <v>1001.8813314037627</v>
      </c>
      <c r="GF9">
        <f t="shared" si="51"/>
        <v>1541.1764705882354</v>
      </c>
      <c r="GG9">
        <f t="shared" si="52"/>
        <v>6.2601141299718925</v>
      </c>
      <c r="GH9">
        <f t="shared" si="53"/>
        <v>33.496932515337427</v>
      </c>
      <c r="GI9">
        <f t="shared" si="54"/>
        <v>27.06403544099879</v>
      </c>
      <c r="GJ9">
        <f t="shared" si="55"/>
        <v>686.11111111111109</v>
      </c>
      <c r="GK9">
        <f t="shared" si="56"/>
        <v>359.59595959595958</v>
      </c>
      <c r="GL9">
        <f t="shared" si="57"/>
        <v>1180.952380952381</v>
      </c>
      <c r="GM9">
        <f t="shared" si="58"/>
        <v>69.712197350388308</v>
      </c>
      <c r="GN9">
        <f t="shared" si="59"/>
        <v>169.36113279072362</v>
      </c>
      <c r="GO9">
        <f t="shared" si="60"/>
        <v>1122.4137931034481</v>
      </c>
      <c r="GP9">
        <f t="shared" si="61"/>
        <v>77.975342296016365</v>
      </c>
      <c r="GQ9">
        <f t="shared" si="62"/>
        <v>4.0780658316341389</v>
      </c>
      <c r="GR9">
        <f t="shared" si="63"/>
        <v>0.25213867627194958</v>
      </c>
      <c r="GS9">
        <f t="shared" si="64"/>
        <v>2631.0038119440915</v>
      </c>
      <c r="GT9">
        <f t="shared" si="65"/>
        <v>2959.375</v>
      </c>
      <c r="GU9">
        <f t="shared" si="66"/>
        <v>0.19572207465399133</v>
      </c>
      <c r="GV9">
        <f t="shared" si="67"/>
        <v>2.9516704508595524</v>
      </c>
      <c r="GW9">
        <f t="shared" si="68"/>
        <v>21.952453211937279</v>
      </c>
      <c r="GX9">
        <f t="shared" si="69"/>
        <v>450.00623052959509</v>
      </c>
      <c r="GY9">
        <f t="shared" si="70"/>
        <v>204.5267489711934</v>
      </c>
      <c r="GZ9">
        <f t="shared" si="71"/>
        <v>44.739759685973688</v>
      </c>
      <c r="HA9">
        <f t="shared" si="72"/>
        <v>1300.628345357226</v>
      </c>
    </row>
    <row r="10" spans="1:209">
      <c r="A10" t="s">
        <v>77</v>
      </c>
      <c r="B10">
        <v>307019</v>
      </c>
      <c r="C10">
        <v>339870</v>
      </c>
      <c r="D10">
        <v>1646</v>
      </c>
      <c r="E10">
        <v>386</v>
      </c>
      <c r="F10">
        <v>59</v>
      </c>
      <c r="G10">
        <v>5</v>
      </c>
      <c r="H10">
        <v>101</v>
      </c>
      <c r="I10">
        <v>672</v>
      </c>
      <c r="J10">
        <v>1181</v>
      </c>
      <c r="K10">
        <v>1339</v>
      </c>
      <c r="L10">
        <v>2824</v>
      </c>
      <c r="M10">
        <v>203</v>
      </c>
      <c r="N10">
        <v>38</v>
      </c>
      <c r="O10">
        <v>4592</v>
      </c>
      <c r="P10">
        <v>195</v>
      </c>
      <c r="Q10">
        <v>243</v>
      </c>
      <c r="R10">
        <v>39</v>
      </c>
      <c r="S10">
        <v>132</v>
      </c>
      <c r="T10">
        <v>417</v>
      </c>
      <c r="U10">
        <v>925</v>
      </c>
      <c r="V10">
        <v>498</v>
      </c>
      <c r="W10">
        <v>140</v>
      </c>
      <c r="X10">
        <v>5422</v>
      </c>
      <c r="Y10">
        <v>1668</v>
      </c>
      <c r="Z10">
        <v>3725</v>
      </c>
      <c r="AA10">
        <v>120</v>
      </c>
      <c r="AB10">
        <v>5</v>
      </c>
      <c r="AC10">
        <v>1008</v>
      </c>
      <c r="AD10">
        <v>1538</v>
      </c>
      <c r="AE10">
        <v>1300</v>
      </c>
      <c r="AF10">
        <v>3638</v>
      </c>
      <c r="AG10">
        <v>4</v>
      </c>
      <c r="AH10">
        <v>9964</v>
      </c>
      <c r="AI10">
        <v>274</v>
      </c>
      <c r="AJ10">
        <v>2013</v>
      </c>
      <c r="AK10">
        <v>4404</v>
      </c>
      <c r="AL10">
        <v>5</v>
      </c>
      <c r="AM10">
        <v>1</v>
      </c>
      <c r="AN10">
        <v>2</v>
      </c>
      <c r="AO10">
        <v>59</v>
      </c>
      <c r="AP10">
        <v>458</v>
      </c>
      <c r="AQ10">
        <v>105</v>
      </c>
      <c r="AR10">
        <v>2147</v>
      </c>
      <c r="AS10">
        <v>51</v>
      </c>
      <c r="AT10">
        <v>10</v>
      </c>
      <c r="AU10">
        <v>2238</v>
      </c>
      <c r="AV10">
        <v>98</v>
      </c>
      <c r="AW10">
        <v>101</v>
      </c>
      <c r="AX10">
        <v>36</v>
      </c>
      <c r="AY10">
        <v>35</v>
      </c>
      <c r="AZ10">
        <v>158</v>
      </c>
      <c r="BA10">
        <v>73</v>
      </c>
      <c r="BB10">
        <v>401</v>
      </c>
      <c r="BC10">
        <v>9</v>
      </c>
      <c r="BD10">
        <v>749</v>
      </c>
      <c r="BE10">
        <v>252</v>
      </c>
      <c r="BF10">
        <v>491</v>
      </c>
      <c r="BG10">
        <v>2</v>
      </c>
      <c r="BH10">
        <v>3</v>
      </c>
      <c r="BI10">
        <v>229</v>
      </c>
      <c r="BJ10">
        <v>231</v>
      </c>
      <c r="BK10">
        <v>248</v>
      </c>
      <c r="BL10">
        <v>1341</v>
      </c>
      <c r="BM10">
        <v>2</v>
      </c>
      <c r="BN10">
        <v>2706</v>
      </c>
      <c r="BO10">
        <v>145</v>
      </c>
      <c r="BP10">
        <v>524</v>
      </c>
      <c r="BQ10">
        <v>2313</v>
      </c>
      <c r="BR10">
        <f t="shared" si="2"/>
        <v>10482.794117647059</v>
      </c>
      <c r="BS10">
        <f>AVERAGE(I2:I15)</f>
        <v>1652.5714285714287</v>
      </c>
      <c r="BT10" t="s">
        <v>77</v>
      </c>
      <c r="BU10">
        <f>B10/$BR$10*100</f>
        <v>2928.7897535176689</v>
      </c>
      <c r="BV10">
        <f t="shared" ref="BV10:EG10" si="85">C10/$BR$10*100</f>
        <v>3242.1699423424939</v>
      </c>
      <c r="BW10">
        <f t="shared" si="85"/>
        <v>15.701920514007547</v>
      </c>
      <c r="BX10">
        <f t="shared" si="85"/>
        <v>3.6822243732727293</v>
      </c>
      <c r="BY10">
        <f t="shared" si="85"/>
        <v>0.56282704151059859</v>
      </c>
      <c r="BZ10">
        <f t="shared" si="85"/>
        <v>4.7697206907677848E-2</v>
      </c>
      <c r="CA10">
        <f t="shared" si="85"/>
        <v>0.96348357953509256</v>
      </c>
      <c r="CB10">
        <f t="shared" si="85"/>
        <v>6.4105046083919026</v>
      </c>
      <c r="CC10">
        <f t="shared" si="85"/>
        <v>11.266080271593507</v>
      </c>
      <c r="CD10">
        <f t="shared" si="85"/>
        <v>12.773312009876125</v>
      </c>
      <c r="CE10">
        <f t="shared" si="85"/>
        <v>26.939382461456447</v>
      </c>
      <c r="CF10">
        <f t="shared" si="85"/>
        <v>1.9365066004517206</v>
      </c>
      <c r="CG10">
        <f t="shared" si="85"/>
        <v>0.36249877249835161</v>
      </c>
      <c r="CH10">
        <f t="shared" si="85"/>
        <v>43.805114824011333</v>
      </c>
      <c r="CI10">
        <f t="shared" si="85"/>
        <v>1.8601910693994357</v>
      </c>
      <c r="CJ10">
        <f t="shared" si="85"/>
        <v>2.3180842557131429</v>
      </c>
      <c r="CK10">
        <f t="shared" si="85"/>
        <v>0.37203821387988723</v>
      </c>
      <c r="CL10">
        <f t="shared" si="85"/>
        <v>1.2592062623626952</v>
      </c>
      <c r="CM10">
        <f t="shared" si="85"/>
        <v>3.9779470561003323</v>
      </c>
      <c r="CN10">
        <f t="shared" si="85"/>
        <v>8.8239832779204015</v>
      </c>
      <c r="CO10">
        <f t="shared" si="85"/>
        <v>4.7506418080047128</v>
      </c>
      <c r="CP10">
        <f t="shared" si="85"/>
        <v>1.3355217934149797</v>
      </c>
      <c r="CQ10">
        <f t="shared" si="85"/>
        <v>51.722851170685857</v>
      </c>
      <c r="CR10">
        <f t="shared" si="85"/>
        <v>15.911788224401329</v>
      </c>
      <c r="CS10">
        <f t="shared" si="85"/>
        <v>35.534419146219989</v>
      </c>
      <c r="CT10">
        <f t="shared" si="85"/>
        <v>1.1447329657842682</v>
      </c>
      <c r="CU10">
        <f t="shared" si="85"/>
        <v>4.7697206907677848E-2</v>
      </c>
      <c r="CV10">
        <f t="shared" si="85"/>
        <v>9.6157569125878535</v>
      </c>
      <c r="CW10">
        <f t="shared" si="85"/>
        <v>14.671660844801703</v>
      </c>
      <c r="CX10">
        <f t="shared" si="85"/>
        <v>12.401273795996239</v>
      </c>
      <c r="CY10">
        <f t="shared" si="85"/>
        <v>34.704487746026402</v>
      </c>
      <c r="CZ10">
        <f t="shared" si="85"/>
        <v>3.8157765526142279E-2</v>
      </c>
      <c r="DA10">
        <f t="shared" si="85"/>
        <v>95.050993925620404</v>
      </c>
      <c r="DB10">
        <f t="shared" si="85"/>
        <v>2.6138069385407459</v>
      </c>
      <c r="DC10">
        <f t="shared" si="85"/>
        <v>19.202895501031101</v>
      </c>
      <c r="DD10">
        <f t="shared" si="85"/>
        <v>42.011699844282646</v>
      </c>
      <c r="DE10">
        <f t="shared" si="85"/>
        <v>4.7697206907677848E-2</v>
      </c>
      <c r="DF10">
        <f t="shared" si="85"/>
        <v>9.5394413815355697E-3</v>
      </c>
      <c r="DG10">
        <f t="shared" si="85"/>
        <v>1.9078882763071139E-2</v>
      </c>
      <c r="DH10">
        <f t="shared" si="85"/>
        <v>0.56282704151059859</v>
      </c>
      <c r="DI10">
        <f t="shared" si="85"/>
        <v>4.3690641527432907</v>
      </c>
      <c r="DJ10">
        <f t="shared" si="85"/>
        <v>1.0016413450612347</v>
      </c>
      <c r="DK10">
        <f t="shared" si="85"/>
        <v>20.481180646156865</v>
      </c>
      <c r="DL10">
        <f t="shared" si="85"/>
        <v>0.48651151045831403</v>
      </c>
      <c r="DM10">
        <f t="shared" si="85"/>
        <v>9.5394413815355697E-2</v>
      </c>
      <c r="DN10">
        <f t="shared" si="85"/>
        <v>21.349269811876603</v>
      </c>
      <c r="DO10">
        <f t="shared" si="85"/>
        <v>0.93486525539048571</v>
      </c>
      <c r="DP10">
        <f t="shared" si="85"/>
        <v>0.96348357953509256</v>
      </c>
      <c r="DQ10">
        <f t="shared" si="85"/>
        <v>0.34341988973528048</v>
      </c>
      <c r="DR10">
        <f t="shared" si="85"/>
        <v>0.33388044835374492</v>
      </c>
      <c r="DS10">
        <f t="shared" si="85"/>
        <v>1.5072317382826199</v>
      </c>
      <c r="DT10">
        <f t="shared" si="85"/>
        <v>0.69637922085209647</v>
      </c>
      <c r="DU10">
        <f t="shared" si="85"/>
        <v>3.8253159939957633</v>
      </c>
      <c r="DV10">
        <f t="shared" si="85"/>
        <v>8.585497243382012E-2</v>
      </c>
      <c r="DW10">
        <f t="shared" si="85"/>
        <v>7.1450415947701407</v>
      </c>
      <c r="DX10">
        <f t="shared" si="85"/>
        <v>2.4039392281469634</v>
      </c>
      <c r="DY10">
        <f t="shared" si="85"/>
        <v>4.6838657183339638</v>
      </c>
      <c r="DZ10">
        <f t="shared" si="85"/>
        <v>1.9078882763071139E-2</v>
      </c>
      <c r="EA10">
        <f t="shared" si="85"/>
        <v>2.8618324144606706E-2</v>
      </c>
      <c r="EB10">
        <f t="shared" si="85"/>
        <v>2.1845320763716454</v>
      </c>
      <c r="EC10">
        <f t="shared" si="85"/>
        <v>2.2036109591347164</v>
      </c>
      <c r="ED10">
        <f t="shared" si="85"/>
        <v>2.3657814626208209</v>
      </c>
      <c r="EE10">
        <f t="shared" si="85"/>
        <v>12.792390892639197</v>
      </c>
      <c r="EF10">
        <f t="shared" si="85"/>
        <v>1.9078882763071139E-2</v>
      </c>
      <c r="EG10">
        <f t="shared" si="85"/>
        <v>25.813728378435247</v>
      </c>
      <c r="EH10">
        <f t="shared" ref="EH10:EJ10" si="86">BO10/$BR$10*100</f>
        <v>1.3832190003226574</v>
      </c>
      <c r="EI10">
        <f t="shared" si="86"/>
        <v>4.9986672839246387</v>
      </c>
      <c r="EJ10">
        <f t="shared" si="86"/>
        <v>22.064727915491773</v>
      </c>
      <c r="EK10" t="s">
        <v>77</v>
      </c>
      <c r="EL10">
        <f t="shared" si="5"/>
        <v>37.570452257142549</v>
      </c>
      <c r="EM10">
        <f t="shared" si="6"/>
        <v>41.590486610389057</v>
      </c>
      <c r="EN10">
        <f t="shared" si="7"/>
        <v>0.18972251312348923</v>
      </c>
      <c r="EO10">
        <f t="shared" si="8"/>
        <v>4.44914277434185E-2</v>
      </c>
      <c r="EP10">
        <f t="shared" si="9"/>
        <v>1.1493613113294185</v>
      </c>
      <c r="EQ10">
        <f t="shared" si="10"/>
        <v>0.42761148442272456</v>
      </c>
      <c r="ER10">
        <f t="shared" si="11"/>
        <v>88.09968847352026</v>
      </c>
      <c r="ES10">
        <f t="shared" si="12"/>
        <v>11334.939759036144</v>
      </c>
      <c r="ET10">
        <f t="shared" si="13"/>
        <v>661.62464985994393</v>
      </c>
      <c r="EU10">
        <f t="shared" si="14"/>
        <v>81.025242047026268</v>
      </c>
      <c r="EV10">
        <f t="shared" si="15"/>
        <v>101.80245133381398</v>
      </c>
      <c r="EW10">
        <f t="shared" si="16"/>
        <v>16.165178317501848</v>
      </c>
      <c r="EX10">
        <f t="shared" si="17"/>
        <v>1.0162174552539589</v>
      </c>
      <c r="EY10">
        <f t="shared" si="18"/>
        <v>735.30824659727784</v>
      </c>
      <c r="EZ10">
        <f t="shared" si="19"/>
        <v>601.32158590308359</v>
      </c>
      <c r="FA10">
        <f t="shared" si="20"/>
        <v>4.5246581901367238</v>
      </c>
      <c r="FB10">
        <f t="shared" si="21"/>
        <v>6.053886240159664</v>
      </c>
      <c r="FC10">
        <f t="shared" si="22"/>
        <v>8.3824730109770478</v>
      </c>
      <c r="FD10">
        <f t="shared" si="23"/>
        <v>1010.0346020761245</v>
      </c>
      <c r="FE10">
        <f t="shared" si="24"/>
        <v>288.35448675128032</v>
      </c>
      <c r="FF10">
        <f t="shared" si="25"/>
        <v>43.162260880331829</v>
      </c>
      <c r="FG10">
        <f t="shared" si="26"/>
        <v>8.6286594761171038</v>
      </c>
      <c r="FH10">
        <f t="shared" si="27"/>
        <v>920.65494238932683</v>
      </c>
      <c r="FI10">
        <f t="shared" si="28"/>
        <v>246.98043363299843</v>
      </c>
      <c r="FJ10">
        <f t="shared" si="29"/>
        <v>24.795903326882755</v>
      </c>
      <c r="FK10">
        <f t="shared" si="30"/>
        <v>3.4898938490620908</v>
      </c>
      <c r="FL10">
        <f t="shared" si="31"/>
        <v>5.3744452804692658E-2</v>
      </c>
      <c r="FM10">
        <f t="shared" si="32"/>
        <v>177.28643216080403</v>
      </c>
      <c r="FN10">
        <f t="shared" si="33"/>
        <v>4385.3360488798371</v>
      </c>
      <c r="FO10">
        <f t="shared" si="34"/>
        <v>55.999999999999993</v>
      </c>
      <c r="FP10">
        <f t="shared" si="35"/>
        <v>33.356910824688256</v>
      </c>
      <c r="FQ10">
        <f t="shared" si="36"/>
        <v>0.24559249188667662</v>
      </c>
      <c r="FR10">
        <f t="shared" si="37"/>
        <v>199.34834800503026</v>
      </c>
      <c r="FS10">
        <f t="shared" si="38"/>
        <v>69.179440937781791</v>
      </c>
      <c r="FT10">
        <f t="shared" si="39"/>
        <v>6.407227967907021</v>
      </c>
      <c r="FU10">
        <f t="shared" si="40"/>
        <v>418.48910608837303</v>
      </c>
      <c r="FV10">
        <f t="shared" si="41"/>
        <v>0.10593540966736281</v>
      </c>
      <c r="FW10">
        <f t="shared" si="42"/>
        <v>1.7692404903323643E-2</v>
      </c>
      <c r="FX10">
        <f t="shared" si="43"/>
        <v>16.766467065868262</v>
      </c>
      <c r="FY10">
        <f t="shared" si="44"/>
        <v>4588.8888888888887</v>
      </c>
      <c r="FZ10">
        <f t="shared" si="45"/>
        <v>49323.076923076922</v>
      </c>
      <c r="GA10">
        <f t="shared" si="46"/>
        <v>51.669595782073806</v>
      </c>
      <c r="GB10">
        <f t="shared" si="47"/>
        <v>253.91113363743875</v>
      </c>
      <c r="GC10">
        <f t="shared" si="48"/>
        <v>33.426966292134829</v>
      </c>
      <c r="GD10">
        <f t="shared" si="49"/>
        <v>0.48182819383259906</v>
      </c>
      <c r="GE10">
        <f t="shared" si="50"/>
        <v>2267.1490593342983</v>
      </c>
      <c r="GF10">
        <f t="shared" si="51"/>
        <v>1152.9411764705883</v>
      </c>
      <c r="GG10">
        <f t="shared" si="52"/>
        <v>6.0216335916872499</v>
      </c>
      <c r="GH10">
        <f t="shared" si="53"/>
        <v>30.920245398773005</v>
      </c>
      <c r="GI10">
        <f t="shared" si="54"/>
        <v>9.867096254530809</v>
      </c>
      <c r="GJ10">
        <f t="shared" si="55"/>
        <v>438.88888888888891</v>
      </c>
      <c r="GK10">
        <f t="shared" si="56"/>
        <v>147.47474747474746</v>
      </c>
      <c r="GL10">
        <f t="shared" si="57"/>
        <v>190.95238095238096</v>
      </c>
      <c r="GM10">
        <f t="shared" si="58"/>
        <v>5.7560529922338972</v>
      </c>
      <c r="GN10">
        <f t="shared" si="59"/>
        <v>58.456907124540081</v>
      </c>
      <c r="GO10">
        <f t="shared" si="60"/>
        <v>760.34482758620686</v>
      </c>
      <c r="GP10">
        <f t="shared" si="61"/>
        <v>21.293600148689674</v>
      </c>
      <c r="GQ10">
        <f t="shared" si="62"/>
        <v>0.40780658316341389</v>
      </c>
      <c r="GR10">
        <f t="shared" si="63"/>
        <v>0.1891040072039622</v>
      </c>
      <c r="GS10">
        <f t="shared" si="64"/>
        <v>407.36975857687423</v>
      </c>
      <c r="GT10">
        <f t="shared" si="65"/>
        <v>721.875</v>
      </c>
      <c r="GU10">
        <f t="shared" si="66"/>
        <v>48.539074514189849</v>
      </c>
      <c r="GV10">
        <f t="shared" si="67"/>
        <v>101.49205319493998</v>
      </c>
      <c r="GW10">
        <f t="shared" si="68"/>
        <v>0.70814365199797669</v>
      </c>
      <c r="GX10">
        <f t="shared" si="69"/>
        <v>236.03738317757012</v>
      </c>
      <c r="GY10">
        <f t="shared" si="70"/>
        <v>59.670781893004111</v>
      </c>
      <c r="GZ10">
        <f t="shared" si="71"/>
        <v>10.99092080424295</v>
      </c>
      <c r="HA10">
        <f t="shared" si="72"/>
        <v>753.59553176634859</v>
      </c>
    </row>
    <row r="11" spans="1:209">
      <c r="A11" t="s">
        <v>78</v>
      </c>
      <c r="B11">
        <v>3883188</v>
      </c>
      <c r="C11">
        <v>4291945</v>
      </c>
      <c r="D11">
        <v>30031</v>
      </c>
      <c r="E11">
        <v>6151</v>
      </c>
      <c r="F11">
        <v>574</v>
      </c>
      <c r="G11">
        <v>12</v>
      </c>
      <c r="H11">
        <v>919</v>
      </c>
      <c r="I11">
        <v>11231</v>
      </c>
      <c r="J11">
        <v>15374</v>
      </c>
      <c r="K11">
        <v>4628</v>
      </c>
      <c r="L11">
        <v>15151</v>
      </c>
      <c r="M11">
        <v>3177</v>
      </c>
      <c r="N11">
        <v>141</v>
      </c>
      <c r="O11">
        <v>23107</v>
      </c>
      <c r="P11">
        <v>6938</v>
      </c>
      <c r="Q11">
        <v>18538</v>
      </c>
      <c r="R11">
        <v>240</v>
      </c>
      <c r="S11">
        <v>2358</v>
      </c>
      <c r="T11">
        <v>7614</v>
      </c>
      <c r="U11">
        <v>8658</v>
      </c>
      <c r="V11">
        <v>3225</v>
      </c>
      <c r="W11">
        <v>5287</v>
      </c>
      <c r="X11">
        <v>100696</v>
      </c>
      <c r="Y11">
        <v>27000</v>
      </c>
      <c r="Z11">
        <v>73696</v>
      </c>
      <c r="AA11">
        <v>4861</v>
      </c>
      <c r="AB11">
        <v>35</v>
      </c>
      <c r="AC11">
        <v>4135</v>
      </c>
      <c r="AD11">
        <v>140927</v>
      </c>
      <c r="AE11">
        <v>-1</v>
      </c>
      <c r="AF11">
        <v>47057</v>
      </c>
      <c r="AG11">
        <v>3280</v>
      </c>
      <c r="AH11">
        <v>299713</v>
      </c>
      <c r="AI11">
        <v>-1</v>
      </c>
      <c r="AJ11">
        <v>28098</v>
      </c>
      <c r="AK11">
        <v>23097</v>
      </c>
      <c r="AL11">
        <v>47</v>
      </c>
      <c r="AM11">
        <v>3</v>
      </c>
      <c r="AN11">
        <v>11</v>
      </c>
      <c r="AO11">
        <v>1223</v>
      </c>
      <c r="AP11">
        <v>4197</v>
      </c>
      <c r="AQ11">
        <v>453</v>
      </c>
      <c r="AR11">
        <v>7644</v>
      </c>
      <c r="AS11">
        <v>313</v>
      </c>
      <c r="AT11">
        <v>29</v>
      </c>
      <c r="AU11">
        <v>6126</v>
      </c>
      <c r="AV11">
        <v>670</v>
      </c>
      <c r="AW11">
        <v>3758</v>
      </c>
      <c r="AX11">
        <v>193</v>
      </c>
      <c r="AY11">
        <v>298</v>
      </c>
      <c r="AZ11">
        <v>1029</v>
      </c>
      <c r="BA11">
        <v>1169</v>
      </c>
      <c r="BB11">
        <v>5151</v>
      </c>
      <c r="BC11">
        <v>138</v>
      </c>
      <c r="BD11">
        <v>15748</v>
      </c>
      <c r="BE11">
        <v>4117</v>
      </c>
      <c r="BF11">
        <v>11631</v>
      </c>
      <c r="BG11">
        <v>724</v>
      </c>
      <c r="BH11">
        <v>28</v>
      </c>
      <c r="BI11">
        <v>243</v>
      </c>
      <c r="BJ11">
        <v>16040</v>
      </c>
      <c r="BK11">
        <v>-1</v>
      </c>
      <c r="BL11">
        <v>10369</v>
      </c>
      <c r="BM11">
        <v>2895</v>
      </c>
      <c r="BN11">
        <v>32553</v>
      </c>
      <c r="BO11">
        <v>-1</v>
      </c>
      <c r="BP11">
        <v>5478</v>
      </c>
      <c r="BQ11">
        <v>8439</v>
      </c>
      <c r="BR11">
        <f t="shared" si="2"/>
        <v>135761.6911764706</v>
      </c>
      <c r="BS11">
        <f>AVERAGE(J2:J15)</f>
        <v>2774</v>
      </c>
      <c r="BT11" t="s">
        <v>78</v>
      </c>
      <c r="BU11">
        <f>B11/$BR$11*100</f>
        <v>2860.2973094614858</v>
      </c>
      <c r="BV11">
        <f t="shared" ref="BV11:EG11" si="87">C11/$BR$11*100</f>
        <v>3161.3815081465737</v>
      </c>
      <c r="BW11">
        <f t="shared" si="87"/>
        <v>22.12037853960145</v>
      </c>
      <c r="BX11">
        <f t="shared" si="87"/>
        <v>4.5307331889410456</v>
      </c>
      <c r="BY11">
        <f t="shared" si="87"/>
        <v>0.42279968305188748</v>
      </c>
      <c r="BZ11">
        <f t="shared" si="87"/>
        <v>8.8390177641509571E-3</v>
      </c>
      <c r="CA11">
        <f t="shared" si="87"/>
        <v>0.67692144377122754</v>
      </c>
      <c r="CB11">
        <f t="shared" si="87"/>
        <v>8.2725840424316175</v>
      </c>
      <c r="CC11">
        <f t="shared" si="87"/>
        <v>11.324254925504736</v>
      </c>
      <c r="CD11">
        <f t="shared" si="87"/>
        <v>3.408914517707553</v>
      </c>
      <c r="CE11">
        <f t="shared" si="87"/>
        <v>11.159996512054263</v>
      </c>
      <c r="CF11">
        <f t="shared" si="87"/>
        <v>2.3401299530589661</v>
      </c>
      <c r="CG11">
        <f t="shared" si="87"/>
        <v>0.10385845872877375</v>
      </c>
      <c r="CH11">
        <f t="shared" si="87"/>
        <v>17.02026528968635</v>
      </c>
      <c r="CI11">
        <f t="shared" si="87"/>
        <v>5.1104254373066125</v>
      </c>
      <c r="CJ11">
        <f t="shared" si="87"/>
        <v>13.654809275985871</v>
      </c>
      <c r="CK11">
        <f t="shared" si="87"/>
        <v>0.17678035528301916</v>
      </c>
      <c r="CL11">
        <f t="shared" si="87"/>
        <v>1.7368669906556631</v>
      </c>
      <c r="CM11">
        <f t="shared" si="87"/>
        <v>5.6083567713537823</v>
      </c>
      <c r="CN11">
        <f t="shared" si="87"/>
        <v>6.3773513168349156</v>
      </c>
      <c r="CO11">
        <f t="shared" si="87"/>
        <v>2.37548602411557</v>
      </c>
      <c r="CP11">
        <f t="shared" si="87"/>
        <v>3.8943239099221758</v>
      </c>
      <c r="CQ11">
        <f t="shared" si="87"/>
        <v>74.171144398245403</v>
      </c>
      <c r="CR11">
        <f t="shared" si="87"/>
        <v>19.887789969339657</v>
      </c>
      <c r="CS11">
        <f t="shared" si="87"/>
        <v>54.283354428905753</v>
      </c>
      <c r="CT11">
        <f t="shared" si="87"/>
        <v>3.5805387792948173</v>
      </c>
      <c r="CU11">
        <f t="shared" si="87"/>
        <v>2.5780468478773626E-2</v>
      </c>
      <c r="CV11">
        <f t="shared" si="87"/>
        <v>3.0457782045636841</v>
      </c>
      <c r="CW11">
        <f t="shared" si="87"/>
        <v>103.80468803737517</v>
      </c>
      <c r="CX11">
        <f t="shared" si="87"/>
        <v>-7.3658481367924647E-4</v>
      </c>
      <c r="CY11">
        <f t="shared" si="87"/>
        <v>34.661471577304305</v>
      </c>
      <c r="CZ11">
        <f t="shared" si="87"/>
        <v>2.4159981888679285</v>
      </c>
      <c r="DA11">
        <f t="shared" si="87"/>
        <v>220.76404426224801</v>
      </c>
      <c r="DB11">
        <f t="shared" si="87"/>
        <v>-7.3658481367924647E-4</v>
      </c>
      <c r="DC11">
        <f t="shared" si="87"/>
        <v>20.696560094759466</v>
      </c>
      <c r="DD11">
        <f t="shared" si="87"/>
        <v>17.012899441549557</v>
      </c>
      <c r="DE11">
        <f t="shared" si="87"/>
        <v>3.4619486242924581E-2</v>
      </c>
      <c r="DF11">
        <f t="shared" si="87"/>
        <v>2.2097544410377393E-3</v>
      </c>
      <c r="DG11">
        <f t="shared" si="87"/>
        <v>8.1024329504717114E-3</v>
      </c>
      <c r="DH11">
        <f t="shared" si="87"/>
        <v>0.90084322712971843</v>
      </c>
      <c r="DI11">
        <f t="shared" si="87"/>
        <v>3.0914464630117973</v>
      </c>
      <c r="DJ11">
        <f t="shared" si="87"/>
        <v>0.33367292059669867</v>
      </c>
      <c r="DK11">
        <f t="shared" si="87"/>
        <v>5.63045431576416</v>
      </c>
      <c r="DL11">
        <f t="shared" si="87"/>
        <v>0.23055104668160414</v>
      </c>
      <c r="DM11">
        <f t="shared" si="87"/>
        <v>2.1360959596698148E-2</v>
      </c>
      <c r="DN11">
        <f t="shared" si="87"/>
        <v>4.5123185685990643</v>
      </c>
      <c r="DO11">
        <f t="shared" si="87"/>
        <v>0.49351182516509512</v>
      </c>
      <c r="DP11">
        <f t="shared" si="87"/>
        <v>2.7680857298066082</v>
      </c>
      <c r="DQ11">
        <f t="shared" si="87"/>
        <v>0.14216086904009459</v>
      </c>
      <c r="DR11">
        <f t="shared" si="87"/>
        <v>0.21950227447641546</v>
      </c>
      <c r="DS11">
        <f t="shared" si="87"/>
        <v>0.75794577327594459</v>
      </c>
      <c r="DT11">
        <f t="shared" si="87"/>
        <v>0.86106764719103923</v>
      </c>
      <c r="DU11">
        <f t="shared" si="87"/>
        <v>3.7941483752617988</v>
      </c>
      <c r="DV11">
        <f t="shared" si="87"/>
        <v>0.10164870428773602</v>
      </c>
      <c r="DW11">
        <f t="shared" si="87"/>
        <v>11.599737645820774</v>
      </c>
      <c r="DX11">
        <f t="shared" si="87"/>
        <v>3.0325196779174579</v>
      </c>
      <c r="DY11">
        <f t="shared" si="87"/>
        <v>8.567217967903316</v>
      </c>
      <c r="DZ11">
        <f t="shared" si="87"/>
        <v>0.53328740510377448</v>
      </c>
      <c r="EA11">
        <f t="shared" si="87"/>
        <v>2.0624374783018901E-2</v>
      </c>
      <c r="EB11">
        <f t="shared" si="87"/>
        <v>0.17899010972405688</v>
      </c>
      <c r="EC11">
        <f t="shared" si="87"/>
        <v>11.814820411415115</v>
      </c>
      <c r="ED11">
        <f t="shared" si="87"/>
        <v>-7.3658481367924647E-4</v>
      </c>
      <c r="EE11">
        <f t="shared" si="87"/>
        <v>7.6376479330401068</v>
      </c>
      <c r="EF11">
        <f t="shared" si="87"/>
        <v>2.1324130356014188</v>
      </c>
      <c r="EG11">
        <f t="shared" si="87"/>
        <v>23.978045439700509</v>
      </c>
      <c r="EH11">
        <f t="shared" ref="EH11:EJ11" si="88">BO11/$BR$11*100</f>
        <v>-7.3658481367924647E-4</v>
      </c>
      <c r="EI11">
        <f t="shared" si="88"/>
        <v>4.0350116093349122</v>
      </c>
      <c r="EJ11">
        <f t="shared" si="88"/>
        <v>6.2160392426391615</v>
      </c>
      <c r="EK11" t="s">
        <v>78</v>
      </c>
      <c r="EL11">
        <f t="shared" si="5"/>
        <v>475.19251042935088</v>
      </c>
      <c r="EM11">
        <f t="shared" si="6"/>
        <v>525.21281976940088</v>
      </c>
      <c r="EN11">
        <f t="shared" si="7"/>
        <v>3.461456130991194</v>
      </c>
      <c r="EO11">
        <f t="shared" si="8"/>
        <v>0.70898127474032946</v>
      </c>
      <c r="EP11">
        <f t="shared" si="9"/>
        <v>11.181921910221801</v>
      </c>
      <c r="EQ11">
        <f t="shared" si="10"/>
        <v>1.0262675626145388</v>
      </c>
      <c r="ER11">
        <f t="shared" si="11"/>
        <v>801.61993769470405</v>
      </c>
      <c r="ES11">
        <f t="shared" si="12"/>
        <v>189438.55421686746</v>
      </c>
      <c r="ET11">
        <f t="shared" si="13"/>
        <v>8612.8851540616251</v>
      </c>
      <c r="EU11">
        <f t="shared" si="14"/>
        <v>280.04840940525588</v>
      </c>
      <c r="EV11">
        <f t="shared" si="15"/>
        <v>546.17880317231436</v>
      </c>
      <c r="EW11">
        <f t="shared" si="16"/>
        <v>252.98902223991811</v>
      </c>
      <c r="EX11">
        <f t="shared" si="17"/>
        <v>3.7707016102844264</v>
      </c>
      <c r="EY11">
        <f t="shared" si="18"/>
        <v>3700.0800640512407</v>
      </c>
      <c r="EZ11">
        <f t="shared" si="19"/>
        <v>21394.713656387663</v>
      </c>
      <c r="FA11">
        <f t="shared" si="20"/>
        <v>345.17742192903125</v>
      </c>
      <c r="FB11">
        <f t="shared" si="21"/>
        <v>37.2546845548287</v>
      </c>
      <c r="FC11">
        <f t="shared" si="22"/>
        <v>149.74144969608997</v>
      </c>
      <c r="FD11">
        <f t="shared" si="23"/>
        <v>18442.214532871971</v>
      </c>
      <c r="FE11">
        <f t="shared" si="24"/>
        <v>2698.9979959919838</v>
      </c>
      <c r="FF11">
        <f t="shared" si="25"/>
        <v>279.51464124311275</v>
      </c>
      <c r="FG11">
        <f t="shared" si="26"/>
        <v>325.85516178736515</v>
      </c>
      <c r="FH11">
        <f t="shared" si="27"/>
        <v>17098.168587022436</v>
      </c>
      <c r="FI11">
        <f t="shared" si="28"/>
        <v>3997.8847170809095</v>
      </c>
      <c r="FJ11">
        <f t="shared" si="29"/>
        <v>490.56614539005403</v>
      </c>
      <c r="FK11">
        <f t="shared" si="30"/>
        <v>141.36978333575686</v>
      </c>
      <c r="FL11">
        <f t="shared" si="31"/>
        <v>0.37621116963284862</v>
      </c>
      <c r="FM11">
        <f t="shared" si="32"/>
        <v>727.26130653266341</v>
      </c>
      <c r="FN11">
        <f t="shared" si="33"/>
        <v>401828.51323828922</v>
      </c>
      <c r="FO11">
        <f t="shared" si="34"/>
        <v>-4.3076923076923075E-2</v>
      </c>
      <c r="FP11">
        <f t="shared" si="35"/>
        <v>431.46678193440221</v>
      </c>
      <c r="FQ11">
        <f t="shared" si="36"/>
        <v>201.3858433470748</v>
      </c>
      <c r="FR11">
        <f t="shared" si="37"/>
        <v>5996.315879730193</v>
      </c>
      <c r="FS11">
        <f t="shared" si="38"/>
        <v>-0.25247971145175835</v>
      </c>
      <c r="FT11">
        <f t="shared" si="39"/>
        <v>89.433825853080734</v>
      </c>
      <c r="FU11">
        <f t="shared" si="40"/>
        <v>2194.7872123803704</v>
      </c>
      <c r="FV11">
        <f t="shared" si="41"/>
        <v>0.99579285087321046</v>
      </c>
      <c r="FW11">
        <f t="shared" si="42"/>
        <v>5.3077214709970934E-2</v>
      </c>
      <c r="FX11">
        <f t="shared" si="43"/>
        <v>92.215568862275447</v>
      </c>
      <c r="FY11">
        <f t="shared" si="44"/>
        <v>95122.222222222219</v>
      </c>
      <c r="FZ11">
        <f t="shared" si="45"/>
        <v>451984.61538461532</v>
      </c>
      <c r="GA11">
        <f t="shared" si="46"/>
        <v>222.91739894551844</v>
      </c>
      <c r="GB11">
        <f t="shared" si="47"/>
        <v>904.00405473897615</v>
      </c>
      <c r="GC11">
        <f t="shared" si="48"/>
        <v>205.14981273408236</v>
      </c>
      <c r="GD11">
        <f t="shared" si="49"/>
        <v>1.3973017621145374</v>
      </c>
      <c r="GE11">
        <f t="shared" si="50"/>
        <v>6205.7887120115784</v>
      </c>
      <c r="GF11">
        <f t="shared" si="51"/>
        <v>7882.3529411764712</v>
      </c>
      <c r="GG11">
        <f t="shared" si="52"/>
        <v>224.05246571842264</v>
      </c>
      <c r="GH11">
        <f t="shared" si="53"/>
        <v>165.76687116564418</v>
      </c>
      <c r="GI11">
        <f t="shared" si="54"/>
        <v>84.011276681433742</v>
      </c>
      <c r="GJ11">
        <f t="shared" si="55"/>
        <v>2858.333333333333</v>
      </c>
      <c r="GK11">
        <f t="shared" si="56"/>
        <v>2361.6161616161617</v>
      </c>
      <c r="GL11">
        <f t="shared" si="57"/>
        <v>2452.8571428571427</v>
      </c>
      <c r="GM11">
        <f t="shared" si="58"/>
        <v>88.259479214253076</v>
      </c>
      <c r="GN11">
        <f t="shared" si="59"/>
        <v>1229.0779351098229</v>
      </c>
      <c r="GO11">
        <f t="shared" si="60"/>
        <v>12421.982758620688</v>
      </c>
      <c r="GP11">
        <f t="shared" si="61"/>
        <v>504.41112694380774</v>
      </c>
      <c r="GQ11">
        <f t="shared" si="62"/>
        <v>147.62598310515585</v>
      </c>
      <c r="GR11">
        <f t="shared" si="63"/>
        <v>1.7649707339036469</v>
      </c>
      <c r="GS11">
        <f t="shared" si="64"/>
        <v>432.27445997458699</v>
      </c>
      <c r="GT11">
        <f t="shared" si="65"/>
        <v>50125</v>
      </c>
      <c r="GU11">
        <f t="shared" si="66"/>
        <v>-0.19572207465399133</v>
      </c>
      <c r="GV11">
        <f t="shared" si="67"/>
        <v>784.76592064006923</v>
      </c>
      <c r="GW11">
        <f t="shared" si="68"/>
        <v>1025.0379362670712</v>
      </c>
      <c r="GX11">
        <f t="shared" si="69"/>
        <v>2839.5140186915887</v>
      </c>
      <c r="GY11">
        <f t="shared" si="70"/>
        <v>-0.41152263374485598</v>
      </c>
      <c r="GZ11">
        <f t="shared" si="71"/>
        <v>114.90126749168491</v>
      </c>
      <c r="HA11">
        <f t="shared" si="72"/>
        <v>2749.4996509192456</v>
      </c>
    </row>
    <row r="12" spans="1:209">
      <c r="A12" t="s">
        <v>79</v>
      </c>
      <c r="B12">
        <v>598962</v>
      </c>
      <c r="C12">
        <v>598854</v>
      </c>
      <c r="D12">
        <v>2573</v>
      </c>
      <c r="E12">
        <v>527</v>
      </c>
      <c r="F12">
        <v>7</v>
      </c>
      <c r="G12">
        <v>10</v>
      </c>
      <c r="H12">
        <v>92</v>
      </c>
      <c r="I12">
        <v>337</v>
      </c>
      <c r="J12">
        <v>922</v>
      </c>
      <c r="K12">
        <v>669</v>
      </c>
      <c r="L12">
        <v>2562</v>
      </c>
      <c r="M12">
        <v>212</v>
      </c>
      <c r="N12">
        <v>1</v>
      </c>
      <c r="O12">
        <v>3592</v>
      </c>
      <c r="P12">
        <v>228</v>
      </c>
      <c r="Q12">
        <v>118</v>
      </c>
      <c r="R12">
        <v>1</v>
      </c>
      <c r="S12">
        <v>16</v>
      </c>
      <c r="T12">
        <v>181</v>
      </c>
      <c r="U12">
        <v>761</v>
      </c>
      <c r="V12">
        <v>409</v>
      </c>
      <c r="W12">
        <v>187</v>
      </c>
      <c r="X12">
        <v>4928</v>
      </c>
      <c r="Y12">
        <v>549</v>
      </c>
      <c r="Z12">
        <v>4379</v>
      </c>
      <c r="AA12">
        <v>3</v>
      </c>
      <c r="AB12">
        <v>86</v>
      </c>
      <c r="AC12">
        <v>1523</v>
      </c>
      <c r="AD12">
        <v>14</v>
      </c>
      <c r="AE12">
        <v>8305</v>
      </c>
      <c r="AF12">
        <v>528</v>
      </c>
      <c r="AG12">
        <v>-1</v>
      </c>
      <c r="AH12">
        <v>11251</v>
      </c>
      <c r="AI12">
        <v>7</v>
      </c>
      <c r="AJ12">
        <v>1358</v>
      </c>
      <c r="AK12">
        <v>3444</v>
      </c>
      <c r="AL12">
        <v>4</v>
      </c>
      <c r="AM12">
        <v>0</v>
      </c>
      <c r="AN12">
        <v>0</v>
      </c>
      <c r="AO12">
        <v>44</v>
      </c>
      <c r="AP12">
        <v>369</v>
      </c>
      <c r="AQ12">
        <v>62</v>
      </c>
      <c r="AR12">
        <v>1652</v>
      </c>
      <c r="AS12">
        <v>41</v>
      </c>
      <c r="AT12">
        <v>1</v>
      </c>
      <c r="AU12">
        <v>935</v>
      </c>
      <c r="AV12">
        <v>97</v>
      </c>
      <c r="AW12">
        <v>43</v>
      </c>
      <c r="AX12">
        <v>0</v>
      </c>
      <c r="AY12">
        <v>1</v>
      </c>
      <c r="AZ12">
        <v>49</v>
      </c>
      <c r="BA12">
        <v>59</v>
      </c>
      <c r="BB12">
        <v>1278</v>
      </c>
      <c r="BC12">
        <v>11</v>
      </c>
      <c r="BD12">
        <v>1005</v>
      </c>
      <c r="BE12">
        <v>82</v>
      </c>
      <c r="BF12">
        <v>923</v>
      </c>
      <c r="BG12">
        <v>0</v>
      </c>
      <c r="BH12">
        <v>41</v>
      </c>
      <c r="BI12">
        <v>321</v>
      </c>
      <c r="BJ12">
        <v>3</v>
      </c>
      <c r="BK12">
        <v>1395</v>
      </c>
      <c r="BL12">
        <v>71</v>
      </c>
      <c r="BM12">
        <v>-1</v>
      </c>
      <c r="BN12">
        <v>3479</v>
      </c>
      <c r="BO12">
        <v>0</v>
      </c>
      <c r="BP12">
        <v>417</v>
      </c>
      <c r="BQ12">
        <v>1756</v>
      </c>
      <c r="BR12">
        <f t="shared" si="2"/>
        <v>18554.897058823528</v>
      </c>
      <c r="BS12">
        <f>AVERAGE(K2:K15)</f>
        <v>1255.7857142857142</v>
      </c>
      <c r="BT12" t="s">
        <v>79</v>
      </c>
      <c r="BU12">
        <f>B12/$BR$12*100</f>
        <v>3228.0534788263444</v>
      </c>
      <c r="BV12">
        <f t="shared" ref="BV12:EG12" si="89">C12/$BR$12*100</f>
        <v>3227.4714222422654</v>
      </c>
      <c r="BW12">
        <f t="shared" si="89"/>
        <v>13.866959174405363</v>
      </c>
      <c r="BX12">
        <f t="shared" si="89"/>
        <v>2.8402205537938694</v>
      </c>
      <c r="BY12">
        <f t="shared" si="89"/>
        <v>3.7725889708836974E-2</v>
      </c>
      <c r="BZ12">
        <f t="shared" si="89"/>
        <v>5.3894128155481391E-2</v>
      </c>
      <c r="CA12">
        <f t="shared" si="89"/>
        <v>0.49582597903042885</v>
      </c>
      <c r="CB12">
        <f t="shared" si="89"/>
        <v>1.816232118839723</v>
      </c>
      <c r="CC12">
        <f t="shared" si="89"/>
        <v>4.9690386159353848</v>
      </c>
      <c r="CD12">
        <f t="shared" si="89"/>
        <v>3.6055171736017049</v>
      </c>
      <c r="CE12">
        <f t="shared" si="89"/>
        <v>13.807675633434332</v>
      </c>
      <c r="CF12">
        <f t="shared" si="89"/>
        <v>1.1425555168962054</v>
      </c>
      <c r="CG12">
        <f t="shared" si="89"/>
        <v>5.3894128155481391E-3</v>
      </c>
      <c r="CH12">
        <f t="shared" si="89"/>
        <v>19.358770833448915</v>
      </c>
      <c r="CI12">
        <f t="shared" si="89"/>
        <v>1.2287861219449758</v>
      </c>
      <c r="CJ12">
        <f t="shared" si="89"/>
        <v>0.63595071223468036</v>
      </c>
      <c r="CK12">
        <f t="shared" si="89"/>
        <v>5.3894128155481391E-3</v>
      </c>
      <c r="CL12">
        <f t="shared" si="89"/>
        <v>8.6230605048770226E-2</v>
      </c>
      <c r="CM12">
        <f t="shared" si="89"/>
        <v>0.97548371961421321</v>
      </c>
      <c r="CN12">
        <f t="shared" si="89"/>
        <v>4.1013431526321344</v>
      </c>
      <c r="CO12">
        <f t="shared" si="89"/>
        <v>2.204269841559189</v>
      </c>
      <c r="CP12">
        <f t="shared" si="89"/>
        <v>1.007820196507502</v>
      </c>
      <c r="CQ12">
        <f t="shared" si="89"/>
        <v>26.559026355021231</v>
      </c>
      <c r="CR12">
        <f t="shared" si="89"/>
        <v>2.9587876357359284</v>
      </c>
      <c r="CS12">
        <f t="shared" si="89"/>
        <v>23.600238719285301</v>
      </c>
      <c r="CT12">
        <f t="shared" si="89"/>
        <v>1.6168238446644417E-2</v>
      </c>
      <c r="CU12">
        <f t="shared" si="89"/>
        <v>0.46348950213714002</v>
      </c>
      <c r="CV12">
        <f t="shared" si="89"/>
        <v>8.2080757180798152</v>
      </c>
      <c r="CW12">
        <f t="shared" si="89"/>
        <v>7.5451779417673948E-2</v>
      </c>
      <c r="CX12">
        <f t="shared" si="89"/>
        <v>44.759073433127298</v>
      </c>
      <c r="CY12">
        <f t="shared" si="89"/>
        <v>2.8456099666094175</v>
      </c>
      <c r="CZ12">
        <f t="shared" si="89"/>
        <v>-5.3894128155481391E-3</v>
      </c>
      <c r="DA12">
        <f t="shared" si="89"/>
        <v>60.636283587732123</v>
      </c>
      <c r="DB12">
        <f t="shared" si="89"/>
        <v>3.7725889708836974E-2</v>
      </c>
      <c r="DC12">
        <f t="shared" si="89"/>
        <v>7.3188226035143726</v>
      </c>
      <c r="DD12">
        <f t="shared" si="89"/>
        <v>18.561137736747792</v>
      </c>
      <c r="DE12">
        <f t="shared" si="89"/>
        <v>2.1557651262192556E-2</v>
      </c>
      <c r="DF12">
        <f t="shared" si="89"/>
        <v>0</v>
      </c>
      <c r="DG12">
        <f t="shared" si="89"/>
        <v>0</v>
      </c>
      <c r="DH12">
        <f t="shared" si="89"/>
        <v>0.23713416388411812</v>
      </c>
      <c r="DI12">
        <f t="shared" si="89"/>
        <v>1.9886933289372637</v>
      </c>
      <c r="DJ12">
        <f t="shared" si="89"/>
        <v>0.33414359456398468</v>
      </c>
      <c r="DK12">
        <f t="shared" si="89"/>
        <v>8.9033099712855268</v>
      </c>
      <c r="DL12">
        <f t="shared" si="89"/>
        <v>0.2209659254374737</v>
      </c>
      <c r="DM12">
        <f t="shared" si="89"/>
        <v>5.3894128155481391E-3</v>
      </c>
      <c r="DN12">
        <f t="shared" si="89"/>
        <v>5.0391009825375104</v>
      </c>
      <c r="DO12">
        <f t="shared" si="89"/>
        <v>0.52277304310816952</v>
      </c>
      <c r="DP12">
        <f t="shared" si="89"/>
        <v>0.23174475106857001</v>
      </c>
      <c r="DQ12">
        <f t="shared" si="89"/>
        <v>0</v>
      </c>
      <c r="DR12">
        <f t="shared" si="89"/>
        <v>5.3894128155481391E-3</v>
      </c>
      <c r="DS12">
        <f t="shared" si="89"/>
        <v>0.26408122796185884</v>
      </c>
      <c r="DT12">
        <f t="shared" si="89"/>
        <v>0.31797535611734018</v>
      </c>
      <c r="DU12">
        <f t="shared" si="89"/>
        <v>6.887669578270522</v>
      </c>
      <c r="DV12">
        <f t="shared" si="89"/>
        <v>5.928354097102953E-2</v>
      </c>
      <c r="DW12">
        <f t="shared" si="89"/>
        <v>5.4163598796258805</v>
      </c>
      <c r="DX12">
        <f t="shared" si="89"/>
        <v>0.44193185087494741</v>
      </c>
      <c r="DY12">
        <f t="shared" si="89"/>
        <v>4.9744280287509319</v>
      </c>
      <c r="DZ12">
        <f t="shared" si="89"/>
        <v>0</v>
      </c>
      <c r="EA12">
        <f t="shared" si="89"/>
        <v>0.2209659254374737</v>
      </c>
      <c r="EB12">
        <f t="shared" si="89"/>
        <v>1.7300015137909526</v>
      </c>
      <c r="EC12">
        <f t="shared" si="89"/>
        <v>1.6168238446644417E-2</v>
      </c>
      <c r="ED12">
        <f t="shared" si="89"/>
        <v>7.5182308776896551</v>
      </c>
      <c r="EE12">
        <f t="shared" si="89"/>
        <v>0.3826483099039179</v>
      </c>
      <c r="EF12">
        <f t="shared" si="89"/>
        <v>-5.3894128155481391E-3</v>
      </c>
      <c r="EG12">
        <f t="shared" si="89"/>
        <v>18.749767185291976</v>
      </c>
      <c r="EH12">
        <f t="shared" ref="EH12:EJ12" si="90">BO12/$BR$12*100</f>
        <v>0</v>
      </c>
      <c r="EI12">
        <f t="shared" si="90"/>
        <v>2.2473851440835744</v>
      </c>
      <c r="EJ12">
        <f t="shared" si="90"/>
        <v>9.4638089041025335</v>
      </c>
      <c r="EK12" t="s">
        <v>79</v>
      </c>
      <c r="EL12">
        <f t="shared" si="5"/>
        <v>73.296028014040232</v>
      </c>
      <c r="EM12">
        <f t="shared" si="6"/>
        <v>73.282811865059969</v>
      </c>
      <c r="EN12">
        <f t="shared" si="7"/>
        <v>0.2965710973673984</v>
      </c>
      <c r="EO12">
        <f t="shared" si="8"/>
        <v>6.0743477774045464E-2</v>
      </c>
      <c r="EP12">
        <f t="shared" si="9"/>
        <v>0.13636490134416832</v>
      </c>
      <c r="EQ12">
        <f t="shared" si="10"/>
        <v>0.85522296884544913</v>
      </c>
      <c r="ER12">
        <f t="shared" si="11"/>
        <v>80.249221183800628</v>
      </c>
      <c r="ES12">
        <f t="shared" si="12"/>
        <v>5684.3373493975905</v>
      </c>
      <c r="ET12">
        <f t="shared" si="13"/>
        <v>516.52661064425774</v>
      </c>
      <c r="EU12">
        <f t="shared" si="14"/>
        <v>40.482365145228208</v>
      </c>
      <c r="EV12">
        <f t="shared" si="15"/>
        <v>92.357606344628692</v>
      </c>
      <c r="EW12">
        <f t="shared" si="16"/>
        <v>16.881861100051193</v>
      </c>
      <c r="EX12">
        <f t="shared" si="17"/>
        <v>2.6742564611946285E-2</v>
      </c>
      <c r="EY12">
        <f t="shared" si="18"/>
        <v>575.18014411529225</v>
      </c>
      <c r="EZ12">
        <f t="shared" si="19"/>
        <v>703.08370044052856</v>
      </c>
      <c r="FA12">
        <f t="shared" si="20"/>
        <v>2.1971591211363517</v>
      </c>
      <c r="FB12">
        <f t="shared" si="21"/>
        <v>0.15522785231178624</v>
      </c>
      <c r="FC12">
        <f t="shared" si="22"/>
        <v>1.0160573346638846</v>
      </c>
      <c r="FD12">
        <f t="shared" si="23"/>
        <v>438.4083044982699</v>
      </c>
      <c r="FE12">
        <f t="shared" si="24"/>
        <v>237.23001558672902</v>
      </c>
      <c r="FF12">
        <f t="shared" si="25"/>
        <v>35.448523494087787</v>
      </c>
      <c r="FG12">
        <f t="shared" si="26"/>
        <v>11.525423728813559</v>
      </c>
      <c r="FH12">
        <f t="shared" si="27"/>
        <v>836.77380230442702</v>
      </c>
      <c r="FI12">
        <f t="shared" si="28"/>
        <v>81.290322580645153</v>
      </c>
      <c r="FJ12">
        <f t="shared" si="29"/>
        <v>29.149331723065657</v>
      </c>
      <c r="FK12">
        <f t="shared" si="30"/>
        <v>8.724734622655228E-2</v>
      </c>
      <c r="FL12">
        <f t="shared" si="31"/>
        <v>0.92440458824071381</v>
      </c>
      <c r="FM12">
        <f t="shared" si="32"/>
        <v>267.8643216080402</v>
      </c>
      <c r="FN12">
        <f t="shared" si="33"/>
        <v>39.918533604887983</v>
      </c>
      <c r="FO12">
        <f t="shared" si="34"/>
        <v>357.75384615384615</v>
      </c>
      <c r="FP12">
        <f t="shared" si="35"/>
        <v>4.84124489154354</v>
      </c>
      <c r="FQ12">
        <f t="shared" si="36"/>
        <v>-6.1398122971669154E-2</v>
      </c>
      <c r="FR12">
        <f t="shared" si="37"/>
        <v>225.09717617468846</v>
      </c>
      <c r="FS12">
        <f t="shared" si="38"/>
        <v>1.7673579801623085</v>
      </c>
      <c r="FT12">
        <f t="shared" si="39"/>
        <v>4.32241211148422</v>
      </c>
      <c r="FU12">
        <f t="shared" si="40"/>
        <v>327.26532274485851</v>
      </c>
      <c r="FV12">
        <f t="shared" si="41"/>
        <v>8.4748327733890252E-2</v>
      </c>
      <c r="FW12">
        <f t="shared" si="42"/>
        <v>0</v>
      </c>
      <c r="FX12">
        <f t="shared" si="43"/>
        <v>0</v>
      </c>
      <c r="FY12">
        <f t="shared" si="44"/>
        <v>3422.2222222222222</v>
      </c>
      <c r="FZ12">
        <f t="shared" si="45"/>
        <v>39738.461538461539</v>
      </c>
      <c r="GA12">
        <f t="shared" si="46"/>
        <v>30.509666080843584</v>
      </c>
      <c r="GB12">
        <f t="shared" si="47"/>
        <v>195.370839668863</v>
      </c>
      <c r="GC12">
        <f t="shared" si="48"/>
        <v>26.872659176029963</v>
      </c>
      <c r="GD12">
        <f t="shared" si="49"/>
        <v>4.8182819383259905E-2</v>
      </c>
      <c r="GE12">
        <f t="shared" si="50"/>
        <v>947.17800289435615</v>
      </c>
      <c r="GF12">
        <f t="shared" si="51"/>
        <v>1141.1764705882354</v>
      </c>
      <c r="GG12">
        <f t="shared" si="52"/>
        <v>2.5636657865599184</v>
      </c>
      <c r="GH12">
        <f t="shared" si="53"/>
        <v>0</v>
      </c>
      <c r="GI12">
        <f t="shared" si="54"/>
        <v>0.2819170358437374</v>
      </c>
      <c r="GJ12">
        <f t="shared" si="55"/>
        <v>136.11111111111111</v>
      </c>
      <c r="GK12">
        <f t="shared" si="56"/>
        <v>119.19191919191918</v>
      </c>
      <c r="GL12">
        <f t="shared" si="57"/>
        <v>608.57142857142856</v>
      </c>
      <c r="GM12">
        <f t="shared" si="58"/>
        <v>7.0351758793969852</v>
      </c>
      <c r="GN12">
        <f t="shared" si="59"/>
        <v>78.436837997547116</v>
      </c>
      <c r="GO12">
        <f t="shared" si="60"/>
        <v>247.41379310344826</v>
      </c>
      <c r="GP12">
        <f t="shared" si="61"/>
        <v>40.028498853850451</v>
      </c>
      <c r="GQ12">
        <f t="shared" si="62"/>
        <v>0</v>
      </c>
      <c r="GR12">
        <f t="shared" si="63"/>
        <v>2.584421431787483</v>
      </c>
      <c r="GS12">
        <f t="shared" si="64"/>
        <v>571.02922490470144</v>
      </c>
      <c r="GT12">
        <f t="shared" si="65"/>
        <v>9.375</v>
      </c>
      <c r="GU12">
        <f t="shared" si="66"/>
        <v>273.03229414231794</v>
      </c>
      <c r="GV12">
        <f t="shared" si="67"/>
        <v>5.373553897718673</v>
      </c>
      <c r="GW12">
        <f t="shared" si="68"/>
        <v>-0.35407182599898834</v>
      </c>
      <c r="GX12">
        <f t="shared" si="69"/>
        <v>303.46417445482865</v>
      </c>
      <c r="GY12">
        <f t="shared" si="70"/>
        <v>0</v>
      </c>
      <c r="GZ12">
        <f t="shared" si="71"/>
        <v>8.746591556048303</v>
      </c>
      <c r="HA12">
        <f t="shared" si="72"/>
        <v>572.12008377938093</v>
      </c>
    </row>
    <row r="13" spans="1:209">
      <c r="A13" t="s">
        <v>80</v>
      </c>
      <c r="B13">
        <v>295951</v>
      </c>
      <c r="C13">
        <v>321643</v>
      </c>
      <c r="D13">
        <v>1800</v>
      </c>
      <c r="E13">
        <v>293</v>
      </c>
      <c r="F13">
        <v>27</v>
      </c>
      <c r="G13">
        <v>4</v>
      </c>
      <c r="H13">
        <v>50</v>
      </c>
      <c r="I13">
        <v>528</v>
      </c>
      <c r="J13">
        <v>1919</v>
      </c>
      <c r="K13">
        <v>455</v>
      </c>
      <c r="L13">
        <v>1220</v>
      </c>
      <c r="M13">
        <v>67</v>
      </c>
      <c r="N13">
        <v>2</v>
      </c>
      <c r="O13">
        <v>1507</v>
      </c>
      <c r="P13">
        <v>23</v>
      </c>
      <c r="Q13">
        <v>80</v>
      </c>
      <c r="R13">
        <v>1</v>
      </c>
      <c r="S13">
        <v>251</v>
      </c>
      <c r="T13">
        <v>294</v>
      </c>
      <c r="U13">
        <v>329</v>
      </c>
      <c r="V13">
        <v>86</v>
      </c>
      <c r="W13">
        <v>131</v>
      </c>
      <c r="X13">
        <v>2443</v>
      </c>
      <c r="Y13">
        <v>1625</v>
      </c>
      <c r="Z13">
        <v>818</v>
      </c>
      <c r="AA13">
        <v>4</v>
      </c>
      <c r="AB13">
        <v>1</v>
      </c>
      <c r="AC13">
        <v>187</v>
      </c>
      <c r="AD13">
        <v>8</v>
      </c>
      <c r="AE13">
        <v>-1</v>
      </c>
      <c r="AF13">
        <v>581</v>
      </c>
      <c r="AG13">
        <v>-1</v>
      </c>
      <c r="AH13">
        <v>716</v>
      </c>
      <c r="AI13">
        <v>-1</v>
      </c>
      <c r="AJ13">
        <v>2524</v>
      </c>
      <c r="AK13">
        <v>1744</v>
      </c>
      <c r="AL13">
        <v>2</v>
      </c>
      <c r="AM13">
        <v>0</v>
      </c>
      <c r="AN13">
        <v>0</v>
      </c>
      <c r="AO13">
        <v>51</v>
      </c>
      <c r="AP13">
        <v>555</v>
      </c>
      <c r="AQ13">
        <v>53</v>
      </c>
      <c r="AR13">
        <v>526</v>
      </c>
      <c r="AS13">
        <v>13</v>
      </c>
      <c r="AT13">
        <v>0</v>
      </c>
      <c r="AU13">
        <v>337</v>
      </c>
      <c r="AV13">
        <v>19</v>
      </c>
      <c r="AW13">
        <v>39</v>
      </c>
      <c r="AX13">
        <v>2</v>
      </c>
      <c r="AY13">
        <v>39</v>
      </c>
      <c r="AZ13">
        <v>47</v>
      </c>
      <c r="BA13">
        <v>13</v>
      </c>
      <c r="BB13">
        <v>162</v>
      </c>
      <c r="BC13">
        <v>12</v>
      </c>
      <c r="BD13">
        <v>408</v>
      </c>
      <c r="BE13">
        <v>228</v>
      </c>
      <c r="BF13">
        <v>180</v>
      </c>
      <c r="BG13">
        <v>0</v>
      </c>
      <c r="BH13">
        <v>0</v>
      </c>
      <c r="BI13">
        <v>55</v>
      </c>
      <c r="BJ13">
        <v>1</v>
      </c>
      <c r="BK13">
        <v>-1</v>
      </c>
      <c r="BL13">
        <v>118</v>
      </c>
      <c r="BM13">
        <v>-1</v>
      </c>
      <c r="BN13">
        <v>94</v>
      </c>
      <c r="BO13">
        <v>-1</v>
      </c>
      <c r="BP13">
        <v>608</v>
      </c>
      <c r="BQ13">
        <v>592</v>
      </c>
      <c r="BR13">
        <f t="shared" si="2"/>
        <v>9433.2352941176468</v>
      </c>
      <c r="BS13">
        <f>AVERAGE(L2:L15)</f>
        <v>3739.3571428571427</v>
      </c>
      <c r="BT13" t="s">
        <v>80</v>
      </c>
      <c r="BU13">
        <f>B13/$BR$13*100</f>
        <v>3137.3223583699687</v>
      </c>
      <c r="BV13">
        <f t="shared" ref="BV13:EG13" si="91">C13/$BR$13*100</f>
        <v>3409.6785458173545</v>
      </c>
      <c r="BW13">
        <f t="shared" si="91"/>
        <v>19.081470395659903</v>
      </c>
      <c r="BX13">
        <f t="shared" si="91"/>
        <v>3.1060393477379726</v>
      </c>
      <c r="BY13">
        <f t="shared" si="91"/>
        <v>0.28622205593489852</v>
      </c>
      <c r="BZ13">
        <f t="shared" si="91"/>
        <v>4.2403267545910894E-2</v>
      </c>
      <c r="CA13">
        <f t="shared" si="91"/>
        <v>0.53004084432388621</v>
      </c>
      <c r="CB13">
        <f t="shared" si="91"/>
        <v>5.5972313160602374</v>
      </c>
      <c r="CC13">
        <f t="shared" si="91"/>
        <v>20.342967605150751</v>
      </c>
      <c r="CD13">
        <f t="shared" si="91"/>
        <v>4.8233716833473643</v>
      </c>
      <c r="CE13">
        <f t="shared" si="91"/>
        <v>12.932996601502822</v>
      </c>
      <c r="CF13">
        <f t="shared" si="91"/>
        <v>0.71025473139400741</v>
      </c>
      <c r="CG13">
        <f t="shared" si="91"/>
        <v>2.1201633772955447E-2</v>
      </c>
      <c r="CH13">
        <f t="shared" si="91"/>
        <v>15.975431047921928</v>
      </c>
      <c r="CI13">
        <f t="shared" si="91"/>
        <v>0.24381878838898763</v>
      </c>
      <c r="CJ13">
        <f t="shared" si="91"/>
        <v>0.84806535091821789</v>
      </c>
      <c r="CK13">
        <f t="shared" si="91"/>
        <v>1.0600816886477724E-2</v>
      </c>
      <c r="CL13">
        <f t="shared" si="91"/>
        <v>2.6608050385059081</v>
      </c>
      <c r="CM13">
        <f t="shared" si="91"/>
        <v>3.1166401646244504</v>
      </c>
      <c r="CN13">
        <f t="shared" si="91"/>
        <v>3.4876687556511707</v>
      </c>
      <c r="CO13">
        <f t="shared" si="91"/>
        <v>0.9116702522370842</v>
      </c>
      <c r="CP13">
        <f t="shared" si="91"/>
        <v>1.3887070121285818</v>
      </c>
      <c r="CQ13">
        <f t="shared" si="91"/>
        <v>25.897795653665078</v>
      </c>
      <c r="CR13">
        <f t="shared" si="91"/>
        <v>17.226327440526298</v>
      </c>
      <c r="CS13">
        <f t="shared" si="91"/>
        <v>8.6714682131387768</v>
      </c>
      <c r="CT13">
        <f t="shared" si="91"/>
        <v>4.2403267545910894E-2</v>
      </c>
      <c r="CU13">
        <f t="shared" si="91"/>
        <v>1.0600816886477724E-2</v>
      </c>
      <c r="CV13">
        <f t="shared" si="91"/>
        <v>1.9823527577713342</v>
      </c>
      <c r="CW13">
        <f t="shared" si="91"/>
        <v>8.4806535091821789E-2</v>
      </c>
      <c r="CX13">
        <f t="shared" si="91"/>
        <v>-1.0600816886477724E-2</v>
      </c>
      <c r="CY13">
        <f t="shared" si="91"/>
        <v>6.1590746110435575</v>
      </c>
      <c r="CZ13">
        <f t="shared" si="91"/>
        <v>-1.0600816886477724E-2</v>
      </c>
      <c r="DA13">
        <f t="shared" si="91"/>
        <v>7.5901848907180494</v>
      </c>
      <c r="DB13">
        <f t="shared" si="91"/>
        <v>-1.0600816886477724E-2</v>
      </c>
      <c r="DC13">
        <f t="shared" si="91"/>
        <v>26.756461821469774</v>
      </c>
      <c r="DD13">
        <f t="shared" si="91"/>
        <v>18.487824650017149</v>
      </c>
      <c r="DE13">
        <f t="shared" si="91"/>
        <v>2.1201633772955447E-2</v>
      </c>
      <c r="DF13">
        <f t="shared" si="91"/>
        <v>0</v>
      </c>
      <c r="DG13">
        <f t="shared" si="91"/>
        <v>0</v>
      </c>
      <c r="DH13">
        <f t="shared" si="91"/>
        <v>0.54064166121036383</v>
      </c>
      <c r="DI13">
        <f t="shared" si="91"/>
        <v>5.8834533719951363</v>
      </c>
      <c r="DJ13">
        <f t="shared" si="91"/>
        <v>0.56184329498331931</v>
      </c>
      <c r="DK13">
        <f t="shared" si="91"/>
        <v>5.5760296822872819</v>
      </c>
      <c r="DL13">
        <f t="shared" si="91"/>
        <v>0.13781061952421039</v>
      </c>
      <c r="DM13">
        <f t="shared" si="91"/>
        <v>0</v>
      </c>
      <c r="DN13">
        <f t="shared" si="91"/>
        <v>3.5724752907429926</v>
      </c>
      <c r="DO13">
        <f t="shared" si="91"/>
        <v>0.20141552084307676</v>
      </c>
      <c r="DP13">
        <f t="shared" si="91"/>
        <v>0.41343185857263115</v>
      </c>
      <c r="DQ13">
        <f t="shared" si="91"/>
        <v>2.1201633772955447E-2</v>
      </c>
      <c r="DR13">
        <f t="shared" si="91"/>
        <v>0.41343185857263115</v>
      </c>
      <c r="DS13">
        <f t="shared" si="91"/>
        <v>0.49823839366445299</v>
      </c>
      <c r="DT13">
        <f t="shared" si="91"/>
        <v>0.13781061952421039</v>
      </c>
      <c r="DU13">
        <f t="shared" si="91"/>
        <v>1.7173323356093912</v>
      </c>
      <c r="DV13">
        <f t="shared" si="91"/>
        <v>0.12720980263773268</v>
      </c>
      <c r="DW13">
        <f t="shared" si="91"/>
        <v>4.3251332896829107</v>
      </c>
      <c r="DX13">
        <f t="shared" si="91"/>
        <v>2.4169862501169206</v>
      </c>
      <c r="DY13">
        <f t="shared" si="91"/>
        <v>1.9081470395659901</v>
      </c>
      <c r="DZ13">
        <f t="shared" si="91"/>
        <v>0</v>
      </c>
      <c r="EA13">
        <f t="shared" si="91"/>
        <v>0</v>
      </c>
      <c r="EB13">
        <f t="shared" si="91"/>
        <v>0.58304492875627478</v>
      </c>
      <c r="EC13">
        <f t="shared" si="91"/>
        <v>1.0600816886477724E-2</v>
      </c>
      <c r="ED13">
        <f t="shared" si="91"/>
        <v>-1.0600816886477724E-2</v>
      </c>
      <c r="EE13">
        <f t="shared" si="91"/>
        <v>1.2508963926043715</v>
      </c>
      <c r="EF13">
        <f t="shared" si="91"/>
        <v>-1.0600816886477724E-2</v>
      </c>
      <c r="EG13">
        <f t="shared" si="91"/>
        <v>0.99647678732890599</v>
      </c>
      <c r="EH13">
        <f t="shared" ref="EH13:EJ13" si="92">BO13/$BR$13*100</f>
        <v>-1.0600816886477724E-2</v>
      </c>
      <c r="EI13">
        <f t="shared" si="92"/>
        <v>6.4452966669784564</v>
      </c>
      <c r="EJ13">
        <f t="shared" si="92"/>
        <v>6.2756835967948117</v>
      </c>
      <c r="EK13" t="s">
        <v>80</v>
      </c>
      <c r="EL13">
        <f t="shared" si="5"/>
        <v>36.216041730165223</v>
      </c>
      <c r="EM13">
        <f t="shared" si="6"/>
        <v>39.360016726470029</v>
      </c>
      <c r="EN13">
        <f t="shared" si="7"/>
        <v>0.20747297911438678</v>
      </c>
      <c r="EO13">
        <f t="shared" si="8"/>
        <v>3.3771990489175181E-2</v>
      </c>
      <c r="EP13">
        <f t="shared" si="9"/>
        <v>0.52597890518464918</v>
      </c>
      <c r="EQ13">
        <f t="shared" si="10"/>
        <v>0.34208918753817963</v>
      </c>
      <c r="ER13">
        <f t="shared" si="11"/>
        <v>43.613707165109034</v>
      </c>
      <c r="ES13">
        <f t="shared" si="12"/>
        <v>8906.0240963855413</v>
      </c>
      <c r="ET13">
        <f t="shared" si="13"/>
        <v>1075.0700280112046</v>
      </c>
      <c r="EU13">
        <f t="shared" si="14"/>
        <v>27.532849239280772</v>
      </c>
      <c r="EV13">
        <f t="shared" si="15"/>
        <v>43.979812545061279</v>
      </c>
      <c r="EW13">
        <f t="shared" si="16"/>
        <v>5.3353051589784428</v>
      </c>
      <c r="EX13">
        <f t="shared" si="17"/>
        <v>5.348512922389257E-2</v>
      </c>
      <c r="EY13">
        <f t="shared" si="18"/>
        <v>241.31305044035227</v>
      </c>
      <c r="EZ13">
        <f t="shared" si="19"/>
        <v>70.925110132158579</v>
      </c>
      <c r="FA13">
        <f t="shared" si="20"/>
        <v>1.4895994041602383</v>
      </c>
      <c r="FB13">
        <f t="shared" si="21"/>
        <v>0.15522785231178624</v>
      </c>
      <c r="FC13">
        <f t="shared" si="22"/>
        <v>15.93939943753969</v>
      </c>
      <c r="FD13">
        <f t="shared" si="23"/>
        <v>712.1107266435987</v>
      </c>
      <c r="FE13">
        <f t="shared" si="24"/>
        <v>102.56067690937431</v>
      </c>
      <c r="FF13">
        <f t="shared" si="25"/>
        <v>7.4537237664830069</v>
      </c>
      <c r="FG13">
        <f t="shared" si="26"/>
        <v>8.073959938366718</v>
      </c>
      <c r="FH13">
        <f t="shared" si="27"/>
        <v>414.82110369921156</v>
      </c>
      <c r="FI13">
        <f t="shared" si="28"/>
        <v>240.61343204653619</v>
      </c>
      <c r="FJ13">
        <f t="shared" si="29"/>
        <v>5.4451138044000249</v>
      </c>
      <c r="FK13">
        <f t="shared" si="30"/>
        <v>0.11632979496873637</v>
      </c>
      <c r="FL13">
        <f t="shared" si="31"/>
        <v>1.0748890560938532E-2</v>
      </c>
      <c r="FM13">
        <f t="shared" si="32"/>
        <v>32.889447236180906</v>
      </c>
      <c r="FN13">
        <f t="shared" si="33"/>
        <v>22.810590631364562</v>
      </c>
      <c r="FO13">
        <f t="shared" si="34"/>
        <v>-4.3076923076923075E-2</v>
      </c>
      <c r="FP13">
        <f t="shared" si="35"/>
        <v>5.3272031855810544</v>
      </c>
      <c r="FQ13">
        <f t="shared" si="36"/>
        <v>-6.1398122971669154E-2</v>
      </c>
      <c r="FR13">
        <f t="shared" si="37"/>
        <v>14.324911398193665</v>
      </c>
      <c r="FS13">
        <f t="shared" si="38"/>
        <v>-0.25247971145175835</v>
      </c>
      <c r="FT13">
        <f t="shared" si="39"/>
        <v>8.0337026284139696</v>
      </c>
      <c r="FU13">
        <f t="shared" si="40"/>
        <v>165.72320640738479</v>
      </c>
      <c r="FV13">
        <f t="shared" si="41"/>
        <v>4.2374163866945126E-2</v>
      </c>
      <c r="FW13">
        <f t="shared" si="42"/>
        <v>0</v>
      </c>
      <c r="FX13">
        <f t="shared" si="43"/>
        <v>0</v>
      </c>
      <c r="FY13">
        <f t="shared" si="44"/>
        <v>3966.6666666666665</v>
      </c>
      <c r="FZ13">
        <f t="shared" si="45"/>
        <v>59769.230769230766</v>
      </c>
      <c r="GA13">
        <f t="shared" si="46"/>
        <v>26.080843585237258</v>
      </c>
      <c r="GB13">
        <f t="shared" si="47"/>
        <v>62.20645379287042</v>
      </c>
      <c r="GC13">
        <f t="shared" si="48"/>
        <v>8.5205992509363302</v>
      </c>
      <c r="GD13">
        <f t="shared" si="49"/>
        <v>0</v>
      </c>
      <c r="GE13">
        <f t="shared" si="50"/>
        <v>341.3892908827786</v>
      </c>
      <c r="GF13">
        <f t="shared" si="51"/>
        <v>223.52941176470588</v>
      </c>
      <c r="GG13">
        <f t="shared" si="52"/>
        <v>2.3251852482752748</v>
      </c>
      <c r="GH13">
        <f t="shared" si="53"/>
        <v>1.7177914110429446</v>
      </c>
      <c r="GI13">
        <f t="shared" si="54"/>
        <v>10.994764397905758</v>
      </c>
      <c r="GJ13">
        <f t="shared" si="55"/>
        <v>130.55555555555557</v>
      </c>
      <c r="GK13">
        <f t="shared" si="56"/>
        <v>26.262626262626267</v>
      </c>
      <c r="GL13">
        <f t="shared" si="57"/>
        <v>77.142857142857153</v>
      </c>
      <c r="GM13">
        <f t="shared" si="58"/>
        <v>7.6747373229785278</v>
      </c>
      <c r="GN13">
        <f t="shared" si="59"/>
        <v>31.843014828854947</v>
      </c>
      <c r="GO13">
        <f t="shared" si="60"/>
        <v>687.93103448275849</v>
      </c>
      <c r="GP13">
        <f t="shared" si="61"/>
        <v>7.8062077938169878</v>
      </c>
      <c r="GQ13">
        <f t="shared" si="62"/>
        <v>0</v>
      </c>
      <c r="GR13">
        <f t="shared" si="63"/>
        <v>0</v>
      </c>
      <c r="GS13">
        <f t="shared" si="64"/>
        <v>97.839898348157561</v>
      </c>
      <c r="GT13">
        <f t="shared" si="65"/>
        <v>3.125</v>
      </c>
      <c r="GU13">
        <f t="shared" si="66"/>
        <v>-0.19572207465399133</v>
      </c>
      <c r="GV13">
        <f t="shared" si="67"/>
        <v>8.9306952102930044</v>
      </c>
      <c r="GW13">
        <f t="shared" si="68"/>
        <v>-0.35407182599898834</v>
      </c>
      <c r="GX13">
        <f t="shared" si="69"/>
        <v>8.1993769470404985</v>
      </c>
      <c r="GY13">
        <f t="shared" si="70"/>
        <v>-0.41152263374485598</v>
      </c>
      <c r="GZ13">
        <f t="shared" si="71"/>
        <v>12.752824139274264</v>
      </c>
      <c r="HA13">
        <f t="shared" si="72"/>
        <v>192.87875261810566</v>
      </c>
    </row>
    <row r="14" spans="1:209">
      <c r="A14" t="s">
        <v>81</v>
      </c>
      <c r="B14">
        <v>1053517</v>
      </c>
      <c r="C14">
        <v>1045934</v>
      </c>
      <c r="D14">
        <v>4390</v>
      </c>
      <c r="E14">
        <v>656</v>
      </c>
      <c r="F14">
        <v>82</v>
      </c>
      <c r="G14">
        <v>9</v>
      </c>
      <c r="H14">
        <v>167</v>
      </c>
      <c r="I14">
        <v>958</v>
      </c>
      <c r="J14">
        <v>1323</v>
      </c>
      <c r="K14">
        <v>1186</v>
      </c>
      <c r="L14">
        <v>5885</v>
      </c>
      <c r="M14">
        <v>15</v>
      </c>
      <c r="N14">
        <v>19</v>
      </c>
      <c r="O14">
        <v>7168</v>
      </c>
      <c r="P14">
        <v>420</v>
      </c>
      <c r="Q14">
        <v>1442</v>
      </c>
      <c r="R14">
        <v>2</v>
      </c>
      <c r="S14">
        <v>-1</v>
      </c>
      <c r="T14">
        <v>912</v>
      </c>
      <c r="U14">
        <v>1424</v>
      </c>
      <c r="V14">
        <v>586</v>
      </c>
      <c r="W14">
        <v>442</v>
      </c>
      <c r="X14">
        <v>12223</v>
      </c>
      <c r="Y14">
        <v>-1</v>
      </c>
      <c r="Z14">
        <v>12223</v>
      </c>
      <c r="AA14">
        <v>73</v>
      </c>
      <c r="AB14">
        <v>78</v>
      </c>
      <c r="AC14">
        <v>5363</v>
      </c>
      <c r="AD14">
        <v>2015</v>
      </c>
      <c r="AE14">
        <v>10782</v>
      </c>
      <c r="AF14">
        <v>3279</v>
      </c>
      <c r="AG14">
        <v>238</v>
      </c>
      <c r="AH14">
        <v>18891</v>
      </c>
      <c r="AI14">
        <v>548</v>
      </c>
      <c r="AJ14">
        <v>2530</v>
      </c>
      <c r="AK14">
        <v>7105</v>
      </c>
      <c r="AL14">
        <v>11</v>
      </c>
      <c r="AM14">
        <v>6</v>
      </c>
      <c r="AN14">
        <v>0</v>
      </c>
      <c r="AO14">
        <v>100</v>
      </c>
      <c r="AP14">
        <v>435</v>
      </c>
      <c r="AQ14">
        <v>108</v>
      </c>
      <c r="AR14">
        <v>3842</v>
      </c>
      <c r="AS14">
        <v>0</v>
      </c>
      <c r="AT14">
        <v>6</v>
      </c>
      <c r="AU14">
        <v>1752</v>
      </c>
      <c r="AV14">
        <v>224</v>
      </c>
      <c r="AW14">
        <v>310</v>
      </c>
      <c r="AX14">
        <v>11</v>
      </c>
      <c r="AY14">
        <v>-1</v>
      </c>
      <c r="AZ14">
        <v>329</v>
      </c>
      <c r="BA14">
        <v>55</v>
      </c>
      <c r="BB14">
        <v>2193</v>
      </c>
      <c r="BC14">
        <v>38</v>
      </c>
      <c r="BD14">
        <v>2279</v>
      </c>
      <c r="BE14">
        <v>-1</v>
      </c>
      <c r="BF14">
        <v>2279</v>
      </c>
      <c r="BG14">
        <v>2</v>
      </c>
      <c r="BH14">
        <v>3</v>
      </c>
      <c r="BI14">
        <v>1188</v>
      </c>
      <c r="BJ14">
        <v>336</v>
      </c>
      <c r="BK14">
        <v>1824</v>
      </c>
      <c r="BL14">
        <v>1154</v>
      </c>
      <c r="BM14">
        <v>19</v>
      </c>
      <c r="BN14">
        <v>6097</v>
      </c>
      <c r="BO14">
        <v>229</v>
      </c>
      <c r="BP14">
        <v>546</v>
      </c>
      <c r="BQ14">
        <v>3956</v>
      </c>
      <c r="BR14">
        <f t="shared" si="2"/>
        <v>32811.955882352944</v>
      </c>
      <c r="BS14">
        <f>AVERAGE(M2:M15)</f>
        <v>624.5</v>
      </c>
      <c r="BT14" t="s">
        <v>81</v>
      </c>
      <c r="BU14">
        <f>B14/$BR$14*100</f>
        <v>3210.771719239714</v>
      </c>
      <c r="BV14">
        <f t="shared" ref="BV14:EG14" si="93">C14/$BR$14*100</f>
        <v>3187.6612407690341</v>
      </c>
      <c r="BW14">
        <f t="shared" si="93"/>
        <v>13.379269482563968</v>
      </c>
      <c r="BX14">
        <f t="shared" si="93"/>
        <v>1.9992712484195814</v>
      </c>
      <c r="BY14">
        <f t="shared" si="93"/>
        <v>0.24990890605244767</v>
      </c>
      <c r="BZ14">
        <f t="shared" si="93"/>
        <v>2.7429026274049136E-2</v>
      </c>
      <c r="CA14">
        <f t="shared" si="93"/>
        <v>0.50896082086291172</v>
      </c>
      <c r="CB14">
        <f t="shared" si="93"/>
        <v>2.91966746339323</v>
      </c>
      <c r="CC14">
        <f t="shared" si="93"/>
        <v>4.0320668622852232</v>
      </c>
      <c r="CD14">
        <f t="shared" si="93"/>
        <v>3.6145361290024747</v>
      </c>
      <c r="CE14">
        <f t="shared" si="93"/>
        <v>17.93553551364213</v>
      </c>
      <c r="CF14">
        <f t="shared" si="93"/>
        <v>4.5715043790081893E-2</v>
      </c>
      <c r="CG14">
        <f t="shared" si="93"/>
        <v>5.7905722134103728E-2</v>
      </c>
      <c r="CH14">
        <f t="shared" si="93"/>
        <v>21.845695592487132</v>
      </c>
      <c r="CI14">
        <f t="shared" si="93"/>
        <v>1.280021226122293</v>
      </c>
      <c r="CJ14">
        <f t="shared" si="93"/>
        <v>4.3947395430198721</v>
      </c>
      <c r="CK14">
        <f t="shared" si="93"/>
        <v>6.0953391720109194E-3</v>
      </c>
      <c r="CL14">
        <f t="shared" si="93"/>
        <v>-3.0476695860054597E-3</v>
      </c>
      <c r="CM14">
        <f t="shared" si="93"/>
        <v>2.779474662436979</v>
      </c>
      <c r="CN14">
        <f t="shared" si="93"/>
        <v>4.3398814904717744</v>
      </c>
      <c r="CO14">
        <f t="shared" si="93"/>
        <v>1.7859343773991991</v>
      </c>
      <c r="CP14">
        <f t="shared" si="93"/>
        <v>1.3470699570144131</v>
      </c>
      <c r="CQ14">
        <f t="shared" si="93"/>
        <v>37.251665349744734</v>
      </c>
      <c r="CR14">
        <f t="shared" si="93"/>
        <v>-3.0476695860054597E-3</v>
      </c>
      <c r="CS14">
        <f t="shared" si="93"/>
        <v>37.251665349744734</v>
      </c>
      <c r="CT14">
        <f t="shared" si="93"/>
        <v>0.22247987977839856</v>
      </c>
      <c r="CU14">
        <f t="shared" si="93"/>
        <v>0.23771822770842585</v>
      </c>
      <c r="CV14">
        <f t="shared" si="93"/>
        <v>16.34465198974728</v>
      </c>
      <c r="CW14">
        <f t="shared" si="93"/>
        <v>6.1410542158010006</v>
      </c>
      <c r="CX14">
        <f t="shared" si="93"/>
        <v>32.85997347631087</v>
      </c>
      <c r="CY14">
        <f t="shared" si="93"/>
        <v>9.9933085725119017</v>
      </c>
      <c r="CZ14">
        <f t="shared" si="93"/>
        <v>0.7253453614692994</v>
      </c>
      <c r="DA14">
        <f t="shared" si="93"/>
        <v>57.573526149229139</v>
      </c>
      <c r="DB14">
        <f t="shared" si="93"/>
        <v>1.6701229331309919</v>
      </c>
      <c r="DC14">
        <f t="shared" si="93"/>
        <v>7.7106040525938129</v>
      </c>
      <c r="DD14">
        <f t="shared" si="93"/>
        <v>21.653692408568791</v>
      </c>
      <c r="DE14">
        <f t="shared" si="93"/>
        <v>3.3524365446060057E-2</v>
      </c>
      <c r="DF14">
        <f t="shared" si="93"/>
        <v>1.8286017516032756E-2</v>
      </c>
      <c r="DG14">
        <f t="shared" si="93"/>
        <v>0</v>
      </c>
      <c r="DH14">
        <f t="shared" si="93"/>
        <v>0.30476695860054598</v>
      </c>
      <c r="DI14">
        <f t="shared" si="93"/>
        <v>1.3257362699123749</v>
      </c>
      <c r="DJ14">
        <f t="shared" si="93"/>
        <v>0.32914831528858962</v>
      </c>
      <c r="DK14">
        <f t="shared" si="93"/>
        <v>11.709146549432974</v>
      </c>
      <c r="DL14">
        <f t="shared" si="93"/>
        <v>0</v>
      </c>
      <c r="DM14">
        <f t="shared" si="93"/>
        <v>1.8286017516032756E-2</v>
      </c>
      <c r="DN14">
        <f t="shared" si="93"/>
        <v>5.3395171146815645</v>
      </c>
      <c r="DO14">
        <f t="shared" si="93"/>
        <v>0.68267798726522289</v>
      </c>
      <c r="DP14">
        <f t="shared" si="93"/>
        <v>0.94477757166169241</v>
      </c>
      <c r="DQ14">
        <f t="shared" si="93"/>
        <v>3.3524365446060057E-2</v>
      </c>
      <c r="DR14">
        <f t="shared" si="93"/>
        <v>-3.0476695860054597E-3</v>
      </c>
      <c r="DS14">
        <f t="shared" si="93"/>
        <v>1.0026832937957963</v>
      </c>
      <c r="DT14">
        <f t="shared" si="93"/>
        <v>0.16762182723030028</v>
      </c>
      <c r="DU14">
        <f t="shared" si="93"/>
        <v>6.6835394021099725</v>
      </c>
      <c r="DV14">
        <f t="shared" si="93"/>
        <v>0.11581144426820746</v>
      </c>
      <c r="DW14">
        <f t="shared" si="93"/>
        <v>6.9456389865064416</v>
      </c>
      <c r="DX14">
        <f t="shared" si="93"/>
        <v>-3.0476695860054597E-3</v>
      </c>
      <c r="DY14">
        <f t="shared" si="93"/>
        <v>6.9456389865064416</v>
      </c>
      <c r="DZ14">
        <f t="shared" si="93"/>
        <v>6.0953391720109194E-3</v>
      </c>
      <c r="EA14">
        <f t="shared" si="93"/>
        <v>9.1430087580163782E-3</v>
      </c>
      <c r="EB14">
        <f t="shared" si="93"/>
        <v>3.6206314681744858</v>
      </c>
      <c r="EC14">
        <f t="shared" si="93"/>
        <v>1.0240169808978346</v>
      </c>
      <c r="ED14">
        <f t="shared" si="93"/>
        <v>5.5589493248739581</v>
      </c>
      <c r="EE14">
        <f t="shared" si="93"/>
        <v>3.5170107022503005</v>
      </c>
      <c r="EF14">
        <f t="shared" si="93"/>
        <v>5.7905722134103728E-2</v>
      </c>
      <c r="EG14">
        <f t="shared" si="93"/>
        <v>18.581641465875286</v>
      </c>
      <c r="EH14">
        <f t="shared" ref="EH14:EJ14" si="94">BO14/$BR$14*100</f>
        <v>0.6979163351952502</v>
      </c>
      <c r="EI14">
        <f t="shared" si="94"/>
        <v>1.6640275939589808</v>
      </c>
      <c r="EJ14">
        <f t="shared" si="94"/>
        <v>12.056580882237599</v>
      </c>
      <c r="EK14" t="s">
        <v>81</v>
      </c>
      <c r="EL14">
        <f t="shared" si="5"/>
        <v>128.92071875222072</v>
      </c>
      <c r="EM14">
        <f t="shared" si="6"/>
        <v>127.99277377335649</v>
      </c>
      <c r="EN14">
        <f t="shared" si="7"/>
        <v>0.50600354350675436</v>
      </c>
      <c r="EO14">
        <f t="shared" si="8"/>
        <v>7.5612374610576516E-2</v>
      </c>
      <c r="EP14">
        <f t="shared" si="9"/>
        <v>1.5974174157459715</v>
      </c>
      <c r="EQ14">
        <f t="shared" si="10"/>
        <v>0.76970067196090419</v>
      </c>
      <c r="ER14">
        <f t="shared" si="11"/>
        <v>145.66978193146417</v>
      </c>
      <c r="ES14">
        <f t="shared" si="12"/>
        <v>16159.036144578311</v>
      </c>
      <c r="ET14">
        <f t="shared" si="13"/>
        <v>741.17647058823536</v>
      </c>
      <c r="EU14">
        <f t="shared" si="14"/>
        <v>71.766943291839553</v>
      </c>
      <c r="EV14">
        <f t="shared" si="15"/>
        <v>212.14852198990627</v>
      </c>
      <c r="EW14">
        <f t="shared" si="16"/>
        <v>1.1944713042489052</v>
      </c>
      <c r="EX14">
        <f t="shared" si="17"/>
        <v>0.50810872762697945</v>
      </c>
      <c r="EY14">
        <f t="shared" si="18"/>
        <v>1147.7982385908726</v>
      </c>
      <c r="EZ14">
        <f t="shared" si="19"/>
        <v>1295.1541850220262</v>
      </c>
      <c r="FA14">
        <f t="shared" si="20"/>
        <v>26.850029259988297</v>
      </c>
      <c r="FB14">
        <f t="shared" si="21"/>
        <v>0.31045570462357247</v>
      </c>
      <c r="FC14">
        <f t="shared" si="22"/>
        <v>-6.3503583416492787E-2</v>
      </c>
      <c r="FD14">
        <f t="shared" si="23"/>
        <v>2208.9965397923875</v>
      </c>
      <c r="FE14">
        <f t="shared" si="24"/>
        <v>443.91004230683586</v>
      </c>
      <c r="FF14">
        <f t="shared" si="25"/>
        <v>50.789327059988864</v>
      </c>
      <c r="FG14">
        <f t="shared" si="26"/>
        <v>27.241910631741138</v>
      </c>
      <c r="FH14">
        <f t="shared" si="27"/>
        <v>2075.4639175257735</v>
      </c>
      <c r="FI14">
        <f t="shared" si="28"/>
        <v>-0.14806980433632999</v>
      </c>
      <c r="FJ14">
        <f t="shared" si="29"/>
        <v>81.363846003889378</v>
      </c>
      <c r="FK14">
        <f t="shared" si="30"/>
        <v>2.1230187581794389</v>
      </c>
      <c r="FL14">
        <f t="shared" si="31"/>
        <v>0.83841346375320547</v>
      </c>
      <c r="FM14">
        <f t="shared" si="32"/>
        <v>943.24120603015069</v>
      </c>
      <c r="FN14">
        <f t="shared" si="33"/>
        <v>5745.4175152749494</v>
      </c>
      <c r="FO14">
        <f t="shared" si="34"/>
        <v>464.45538461538456</v>
      </c>
      <c r="FP14">
        <f t="shared" si="35"/>
        <v>30.065231059415282</v>
      </c>
      <c r="FQ14">
        <f t="shared" si="36"/>
        <v>14.612753267257258</v>
      </c>
      <c r="FR14">
        <f t="shared" si="37"/>
        <v>377.94958271407336</v>
      </c>
      <c r="FS14">
        <f t="shared" si="38"/>
        <v>138.35888187556358</v>
      </c>
      <c r="FT14">
        <f t="shared" si="39"/>
        <v>8.0528001782437979</v>
      </c>
      <c r="FU14">
        <f t="shared" si="40"/>
        <v>675.15102151632391</v>
      </c>
      <c r="FV14">
        <f t="shared" si="41"/>
        <v>0.2330579012681982</v>
      </c>
      <c r="FW14">
        <f t="shared" si="42"/>
        <v>0.10615442941994187</v>
      </c>
      <c r="FX14">
        <f t="shared" si="43"/>
        <v>0</v>
      </c>
      <c r="FY14">
        <f t="shared" si="44"/>
        <v>7777.7777777777774</v>
      </c>
      <c r="FZ14">
        <f t="shared" si="45"/>
        <v>46846.153846153844</v>
      </c>
      <c r="GA14">
        <f t="shared" si="46"/>
        <v>53.145869947275926</v>
      </c>
      <c r="GB14">
        <f t="shared" si="47"/>
        <v>454.36729177225885</v>
      </c>
      <c r="GC14">
        <f t="shared" si="48"/>
        <v>0</v>
      </c>
      <c r="GD14">
        <f t="shared" si="49"/>
        <v>0.28909691629955947</v>
      </c>
      <c r="GE14">
        <f t="shared" si="50"/>
        <v>1774.8191027496382</v>
      </c>
      <c r="GF14">
        <f t="shared" si="51"/>
        <v>2635.2941176470586</v>
      </c>
      <c r="GG14">
        <f t="shared" si="52"/>
        <v>18.482241717059878</v>
      </c>
      <c r="GH14">
        <f t="shared" si="53"/>
        <v>9.4478527607361951</v>
      </c>
      <c r="GI14">
        <f t="shared" si="54"/>
        <v>-0.2819170358437374</v>
      </c>
      <c r="GJ14">
        <f t="shared" si="55"/>
        <v>913.88888888888891</v>
      </c>
      <c r="GK14">
        <f t="shared" si="56"/>
        <v>111.11111111111111</v>
      </c>
      <c r="GL14">
        <f t="shared" si="57"/>
        <v>1044.2857142857142</v>
      </c>
      <c r="GM14">
        <f t="shared" si="58"/>
        <v>24.303334856098672</v>
      </c>
      <c r="GN14">
        <f t="shared" si="59"/>
        <v>177.86821273274614</v>
      </c>
      <c r="GO14">
        <f t="shared" si="60"/>
        <v>-3.0172413793103448</v>
      </c>
      <c r="GP14">
        <f t="shared" si="61"/>
        <v>98.835264233938432</v>
      </c>
      <c r="GQ14">
        <f t="shared" si="62"/>
        <v>0.40780658316341389</v>
      </c>
      <c r="GR14">
        <f t="shared" si="63"/>
        <v>0.1891040072039622</v>
      </c>
      <c r="GS14">
        <f t="shared" si="64"/>
        <v>2113.3418043202032</v>
      </c>
      <c r="GT14">
        <f t="shared" si="65"/>
        <v>1050</v>
      </c>
      <c r="GU14">
        <f t="shared" si="66"/>
        <v>356.99706416888017</v>
      </c>
      <c r="GV14">
        <f t="shared" si="67"/>
        <v>87.339171802357015</v>
      </c>
      <c r="GW14">
        <f t="shared" si="68"/>
        <v>6.7273646939807783</v>
      </c>
      <c r="GX14">
        <f t="shared" si="69"/>
        <v>531.82554517133963</v>
      </c>
      <c r="GY14">
        <f t="shared" si="70"/>
        <v>94.238683127572017</v>
      </c>
      <c r="GZ14">
        <f t="shared" si="71"/>
        <v>11.452371677703534</v>
      </c>
      <c r="HA14">
        <f t="shared" si="72"/>
        <v>1288.899232022341</v>
      </c>
    </row>
    <row r="15" spans="1:209">
      <c r="A15" t="s">
        <v>82</v>
      </c>
      <c r="B15">
        <v>294100</v>
      </c>
      <c r="C15">
        <v>289656</v>
      </c>
      <c r="D15">
        <v>2214</v>
      </c>
      <c r="E15">
        <v>219</v>
      </c>
      <c r="F15">
        <v>56</v>
      </c>
      <c r="G15">
        <v>10</v>
      </c>
      <c r="H15">
        <v>112</v>
      </c>
      <c r="I15">
        <v>920</v>
      </c>
      <c r="J15">
        <v>2037</v>
      </c>
      <c r="K15">
        <v>927</v>
      </c>
      <c r="L15">
        <v>4160</v>
      </c>
      <c r="M15">
        <v>260</v>
      </c>
      <c r="N15">
        <v>7</v>
      </c>
      <c r="O15">
        <v>6750</v>
      </c>
      <c r="P15">
        <v>370</v>
      </c>
      <c r="Q15">
        <v>606</v>
      </c>
      <c r="R15">
        <v>151</v>
      </c>
      <c r="S15">
        <v>694</v>
      </c>
      <c r="T15">
        <v>989</v>
      </c>
      <c r="U15">
        <v>849</v>
      </c>
      <c r="V15">
        <v>556</v>
      </c>
      <c r="W15">
        <v>818</v>
      </c>
      <c r="X15">
        <v>8100</v>
      </c>
      <c r="Y15">
        <v>1751</v>
      </c>
      <c r="Z15">
        <v>6349</v>
      </c>
      <c r="AA15">
        <v>8</v>
      </c>
      <c r="AB15">
        <v>104</v>
      </c>
      <c r="AC15">
        <v>5564</v>
      </c>
      <c r="AD15">
        <v>3184</v>
      </c>
      <c r="AE15">
        <v>1</v>
      </c>
      <c r="AF15">
        <v>779</v>
      </c>
      <c r="AG15">
        <v>1285</v>
      </c>
      <c r="AH15">
        <v>21119</v>
      </c>
      <c r="AI15">
        <v>726</v>
      </c>
      <c r="AJ15">
        <v>3125</v>
      </c>
      <c r="AK15">
        <v>5354</v>
      </c>
      <c r="AL15">
        <v>15</v>
      </c>
      <c r="AM15">
        <v>2</v>
      </c>
      <c r="AN15">
        <v>0</v>
      </c>
      <c r="AO15">
        <v>198</v>
      </c>
      <c r="AP15">
        <v>822</v>
      </c>
      <c r="AQ15">
        <v>192</v>
      </c>
      <c r="AR15">
        <v>2811</v>
      </c>
      <c r="AS15">
        <v>61</v>
      </c>
      <c r="AT15">
        <v>0</v>
      </c>
      <c r="AU15">
        <v>3248</v>
      </c>
      <c r="AV15">
        <v>238</v>
      </c>
      <c r="AW15">
        <v>269</v>
      </c>
      <c r="AX15">
        <v>138</v>
      </c>
      <c r="AY15">
        <v>150</v>
      </c>
      <c r="AZ15">
        <v>147</v>
      </c>
      <c r="BA15">
        <v>101</v>
      </c>
      <c r="BB15">
        <v>2957</v>
      </c>
      <c r="BC15">
        <v>81</v>
      </c>
      <c r="BD15">
        <v>1740</v>
      </c>
      <c r="BE15">
        <v>271</v>
      </c>
      <c r="BF15">
        <v>1469</v>
      </c>
      <c r="BG15">
        <v>3</v>
      </c>
      <c r="BH15">
        <v>157</v>
      </c>
      <c r="BI15">
        <v>1899</v>
      </c>
      <c r="BJ15">
        <v>650</v>
      </c>
      <c r="BK15">
        <v>0</v>
      </c>
      <c r="BL15">
        <v>159</v>
      </c>
      <c r="BM15">
        <v>364</v>
      </c>
      <c r="BN15">
        <v>8008</v>
      </c>
      <c r="BO15">
        <v>324</v>
      </c>
      <c r="BP15">
        <v>1035</v>
      </c>
      <c r="BQ15">
        <v>3064</v>
      </c>
      <c r="BR15">
        <f t="shared" si="2"/>
        <v>10212.985294117647</v>
      </c>
      <c r="BS15">
        <f>AVERAGE(N2:N15)</f>
        <v>32.428571428571431</v>
      </c>
      <c r="BT15" t="s">
        <v>82</v>
      </c>
      <c r="BU15">
        <f>B15/$BR$15*100</f>
        <v>2879.6673208703451</v>
      </c>
      <c r="BV15">
        <f t="shared" ref="BV15:EG15" si="95">C15/$BR$15*100</f>
        <v>2836.1540887249939</v>
      </c>
      <c r="BW15">
        <f t="shared" si="95"/>
        <v>21.678284421648911</v>
      </c>
      <c r="BX15">
        <f t="shared" si="95"/>
        <v>2.1443289468568705</v>
      </c>
      <c r="BY15">
        <f t="shared" si="95"/>
        <v>0.54832155718714504</v>
      </c>
      <c r="BZ15">
        <f t="shared" si="95"/>
        <v>9.7914563783418743E-2</v>
      </c>
      <c r="CA15">
        <f t="shared" si="95"/>
        <v>1.0966431143742901</v>
      </c>
      <c r="CB15">
        <f t="shared" si="95"/>
        <v>9.0081398680745242</v>
      </c>
      <c r="CC15">
        <f t="shared" si="95"/>
        <v>19.945196642682397</v>
      </c>
      <c r="CD15">
        <f t="shared" si="95"/>
        <v>9.0766800627229181</v>
      </c>
      <c r="CE15">
        <f t="shared" si="95"/>
        <v>40.732458533902197</v>
      </c>
      <c r="CF15">
        <f t="shared" si="95"/>
        <v>2.5457786583688873</v>
      </c>
      <c r="CG15">
        <f t="shared" si="95"/>
        <v>6.854019464839313E-2</v>
      </c>
      <c r="CH15">
        <f t="shared" si="95"/>
        <v>66.092330553807656</v>
      </c>
      <c r="CI15">
        <f t="shared" si="95"/>
        <v>3.6228388599864934</v>
      </c>
      <c r="CJ15">
        <f t="shared" si="95"/>
        <v>5.9336225652751757</v>
      </c>
      <c r="CK15">
        <f t="shared" si="95"/>
        <v>1.4785099131296231</v>
      </c>
      <c r="CL15">
        <f t="shared" si="95"/>
        <v>6.7952707265692611</v>
      </c>
      <c r="CM15">
        <f t="shared" si="95"/>
        <v>9.6837503581801148</v>
      </c>
      <c r="CN15">
        <f t="shared" si="95"/>
        <v>8.3129464652122529</v>
      </c>
      <c r="CO15">
        <f t="shared" si="95"/>
        <v>5.4440497463580826</v>
      </c>
      <c r="CP15">
        <f t="shared" si="95"/>
        <v>8.0094113174836536</v>
      </c>
      <c r="CQ15">
        <f t="shared" si="95"/>
        <v>79.310796664569182</v>
      </c>
      <c r="CR15">
        <f t="shared" si="95"/>
        <v>17.144840118476623</v>
      </c>
      <c r="CS15">
        <f t="shared" si="95"/>
        <v>62.165956546092559</v>
      </c>
      <c r="CT15">
        <f t="shared" si="95"/>
        <v>7.8331651026735005E-2</v>
      </c>
      <c r="CU15">
        <f t="shared" si="95"/>
        <v>1.018311463347555</v>
      </c>
      <c r="CV15">
        <f t="shared" si="95"/>
        <v>54.479663289094191</v>
      </c>
      <c r="CW15">
        <f t="shared" si="95"/>
        <v>31.17599710864053</v>
      </c>
      <c r="CX15">
        <f t="shared" si="95"/>
        <v>9.7914563783418757E-3</v>
      </c>
      <c r="CY15">
        <f t="shared" si="95"/>
        <v>7.6275445187283202</v>
      </c>
      <c r="CZ15">
        <f t="shared" si="95"/>
        <v>12.582021446169309</v>
      </c>
      <c r="DA15">
        <f t="shared" si="95"/>
        <v>206.78576725420203</v>
      </c>
      <c r="DB15">
        <f t="shared" si="95"/>
        <v>7.1085973306762016</v>
      </c>
      <c r="DC15">
        <f t="shared" si="95"/>
        <v>30.598301182318359</v>
      </c>
      <c r="DD15">
        <f t="shared" si="95"/>
        <v>52.423457449642399</v>
      </c>
      <c r="DE15">
        <f t="shared" si="95"/>
        <v>0.14687184567512812</v>
      </c>
      <c r="DF15">
        <f t="shared" si="95"/>
        <v>1.9582912756683751E-2</v>
      </c>
      <c r="DG15">
        <f t="shared" si="95"/>
        <v>0</v>
      </c>
      <c r="DH15">
        <f t="shared" si="95"/>
        <v>1.938708362911691</v>
      </c>
      <c r="DI15">
        <f t="shared" si="95"/>
        <v>8.0485771429970203</v>
      </c>
      <c r="DJ15">
        <f t="shared" si="95"/>
        <v>1.8799596246416399</v>
      </c>
      <c r="DK15">
        <f t="shared" si="95"/>
        <v>27.523783879519009</v>
      </c>
      <c r="DL15">
        <f t="shared" si="95"/>
        <v>0.59727883907885437</v>
      </c>
      <c r="DM15">
        <f t="shared" si="95"/>
        <v>0</v>
      </c>
      <c r="DN15">
        <f t="shared" si="95"/>
        <v>31.802650316854407</v>
      </c>
      <c r="DO15">
        <f t="shared" si="95"/>
        <v>2.3303666180453662</v>
      </c>
      <c r="DP15">
        <f t="shared" si="95"/>
        <v>2.6339017657739645</v>
      </c>
      <c r="DQ15">
        <f t="shared" si="95"/>
        <v>1.3512209802111788</v>
      </c>
      <c r="DR15">
        <f t="shared" si="95"/>
        <v>1.4687184567512812</v>
      </c>
      <c r="DS15">
        <f t="shared" si="95"/>
        <v>1.4393440876162555</v>
      </c>
      <c r="DT15">
        <f t="shared" si="95"/>
        <v>0.9889370942125294</v>
      </c>
      <c r="DU15">
        <f t="shared" si="95"/>
        <v>28.953336510756923</v>
      </c>
      <c r="DV15">
        <f t="shared" si="95"/>
        <v>0.79310796664569183</v>
      </c>
      <c r="DW15">
        <f t="shared" si="95"/>
        <v>17.037134098314862</v>
      </c>
      <c r="DX15">
        <f t="shared" si="95"/>
        <v>2.6534846785306478</v>
      </c>
      <c r="DY15">
        <f t="shared" si="95"/>
        <v>14.383649419784215</v>
      </c>
      <c r="DZ15">
        <f t="shared" si="95"/>
        <v>2.9374369135025623E-2</v>
      </c>
      <c r="EA15">
        <f t="shared" si="95"/>
        <v>1.5372586513996744</v>
      </c>
      <c r="EB15">
        <f t="shared" si="95"/>
        <v>18.59397566247122</v>
      </c>
      <c r="EC15">
        <f t="shared" si="95"/>
        <v>6.3644466459222189</v>
      </c>
      <c r="ED15">
        <f t="shared" si="95"/>
        <v>0</v>
      </c>
      <c r="EE15">
        <f t="shared" si="95"/>
        <v>1.556841564156358</v>
      </c>
      <c r="EF15">
        <f t="shared" si="95"/>
        <v>3.564090121716442</v>
      </c>
      <c r="EG15">
        <f t="shared" si="95"/>
        <v>78.409982677761732</v>
      </c>
      <c r="EH15">
        <f t="shared" ref="EH15:EJ15" si="96">BO15/$BR$15*100</f>
        <v>3.1724318665827673</v>
      </c>
      <c r="EI15">
        <f t="shared" si="96"/>
        <v>10.134157351583841</v>
      </c>
      <c r="EJ15">
        <f t="shared" si="96"/>
        <v>30.001022343239502</v>
      </c>
      <c r="EK15" t="s">
        <v>82</v>
      </c>
      <c r="EL15">
        <f t="shared" si="5"/>
        <v>35.989531621253491</v>
      </c>
      <c r="EM15">
        <f t="shared" si="6"/>
        <v>35.445711565065622</v>
      </c>
      <c r="EN15">
        <f t="shared" si="7"/>
        <v>0.25519176431069573</v>
      </c>
      <c r="EO15">
        <f t="shared" si="8"/>
        <v>2.5242545792250392E-2</v>
      </c>
      <c r="EP15">
        <f t="shared" si="9"/>
        <v>1.0909192107533465</v>
      </c>
      <c r="EQ15">
        <f t="shared" si="10"/>
        <v>0.85522296884544913</v>
      </c>
      <c r="ER15">
        <f t="shared" si="11"/>
        <v>97.694704049844233</v>
      </c>
      <c r="ES15">
        <f t="shared" si="12"/>
        <v>15518.072289156626</v>
      </c>
      <c r="ET15">
        <f t="shared" si="13"/>
        <v>1141.1764705882354</v>
      </c>
      <c r="EU15">
        <f t="shared" si="14"/>
        <v>56.094398340248965</v>
      </c>
      <c r="EV15">
        <f t="shared" si="15"/>
        <v>149.9639509733237</v>
      </c>
      <c r="EW15">
        <f t="shared" si="16"/>
        <v>20.704169273647686</v>
      </c>
      <c r="EX15">
        <f t="shared" si="17"/>
        <v>0.18719795228362401</v>
      </c>
      <c r="EY15">
        <f t="shared" si="18"/>
        <v>1080.8646917534027</v>
      </c>
      <c r="EZ15">
        <f t="shared" si="19"/>
        <v>1140.9691629955946</v>
      </c>
      <c r="FA15">
        <f t="shared" si="20"/>
        <v>11.283715486513806</v>
      </c>
      <c r="FB15">
        <f t="shared" si="21"/>
        <v>23.439405699079721</v>
      </c>
      <c r="FC15">
        <f t="shared" si="22"/>
        <v>44.071486891045993</v>
      </c>
      <c r="FD15">
        <f t="shared" si="23"/>
        <v>2395.501730103806</v>
      </c>
      <c r="FE15">
        <f t="shared" si="24"/>
        <v>264.66265865063463</v>
      </c>
      <c r="FF15">
        <f t="shared" si="25"/>
        <v>48.189190862378503</v>
      </c>
      <c r="FG15">
        <f t="shared" si="26"/>
        <v>50.416024653312789</v>
      </c>
      <c r="FH15">
        <f t="shared" si="27"/>
        <v>1375.379017586416</v>
      </c>
      <c r="FI15">
        <f t="shared" si="28"/>
        <v>259.2702273929138</v>
      </c>
      <c r="FJ15">
        <f t="shared" si="29"/>
        <v>42.262869858356673</v>
      </c>
      <c r="FK15">
        <f t="shared" si="30"/>
        <v>0.23265958993747274</v>
      </c>
      <c r="FL15">
        <f t="shared" si="31"/>
        <v>1.1178846183376074</v>
      </c>
      <c r="FM15">
        <f t="shared" si="32"/>
        <v>978.5929648241206</v>
      </c>
      <c r="FN15">
        <f t="shared" si="33"/>
        <v>9078.6150712830968</v>
      </c>
      <c r="FO15">
        <f t="shared" si="34"/>
        <v>4.3076923076923075E-2</v>
      </c>
      <c r="FP15">
        <f t="shared" si="35"/>
        <v>7.1426700199098816</v>
      </c>
      <c r="FQ15">
        <f t="shared" si="36"/>
        <v>78.896588018594855</v>
      </c>
      <c r="FR15">
        <f t="shared" si="37"/>
        <v>422.52486566822904</v>
      </c>
      <c r="FS15">
        <f t="shared" si="38"/>
        <v>183.30027051397656</v>
      </c>
      <c r="FT15">
        <f t="shared" si="39"/>
        <v>9.9466405363683279</v>
      </c>
      <c r="FU15">
        <f t="shared" si="40"/>
        <v>508.76264168872598</v>
      </c>
      <c r="FV15">
        <f t="shared" si="41"/>
        <v>0.31780622900208844</v>
      </c>
      <c r="FW15">
        <f t="shared" si="42"/>
        <v>3.5384809806647287E-2</v>
      </c>
      <c r="FX15">
        <f t="shared" si="43"/>
        <v>0</v>
      </c>
      <c r="FY15">
        <f t="shared" si="44"/>
        <v>15400</v>
      </c>
      <c r="FZ15">
        <f t="shared" si="45"/>
        <v>88523.076923076922</v>
      </c>
      <c r="GA15">
        <f t="shared" si="46"/>
        <v>94.481546572934974</v>
      </c>
      <c r="GB15">
        <f t="shared" si="47"/>
        <v>332.43791180942725</v>
      </c>
      <c r="GC15">
        <f t="shared" si="48"/>
        <v>39.981273408239701</v>
      </c>
      <c r="GD15">
        <f t="shared" si="49"/>
        <v>0</v>
      </c>
      <c r="GE15">
        <f t="shared" si="50"/>
        <v>3290.3039073806076</v>
      </c>
      <c r="GF15">
        <f t="shared" si="51"/>
        <v>2800</v>
      </c>
      <c r="GG15">
        <f t="shared" si="52"/>
        <v>16.037816199642279</v>
      </c>
      <c r="GH15">
        <f t="shared" si="53"/>
        <v>118.52760736196319</v>
      </c>
      <c r="GI15">
        <f t="shared" si="54"/>
        <v>42.287555376560611</v>
      </c>
      <c r="GJ15">
        <f t="shared" si="55"/>
        <v>408.33333333333331</v>
      </c>
      <c r="GK15">
        <f t="shared" si="56"/>
        <v>204.04040404040401</v>
      </c>
      <c r="GL15">
        <f t="shared" si="57"/>
        <v>1408.0952380952381</v>
      </c>
      <c r="GM15">
        <f t="shared" si="58"/>
        <v>51.804476930105068</v>
      </c>
      <c r="GN15">
        <f t="shared" si="59"/>
        <v>135.80109265246963</v>
      </c>
      <c r="GO15">
        <f t="shared" si="60"/>
        <v>817.67241379310337</v>
      </c>
      <c r="GP15">
        <f t="shared" si="61"/>
        <v>63.707329161761983</v>
      </c>
      <c r="GQ15">
        <f t="shared" si="62"/>
        <v>0.61170987474512095</v>
      </c>
      <c r="GR15">
        <f t="shared" si="63"/>
        <v>9.8964430436740223</v>
      </c>
      <c r="GS15">
        <f t="shared" si="64"/>
        <v>3378.1448538754767</v>
      </c>
      <c r="GT15">
        <f t="shared" si="65"/>
        <v>2031.25</v>
      </c>
      <c r="GU15">
        <f t="shared" si="66"/>
        <v>0</v>
      </c>
      <c r="GV15">
        <f t="shared" si="67"/>
        <v>12.033733376581253</v>
      </c>
      <c r="GW15">
        <f t="shared" si="68"/>
        <v>128.88214466363175</v>
      </c>
      <c r="GX15">
        <f t="shared" si="69"/>
        <v>698.51713395638637</v>
      </c>
      <c r="GY15">
        <f t="shared" si="70"/>
        <v>133.33333333333331</v>
      </c>
      <c r="GZ15">
        <f t="shared" si="71"/>
        <v>21.709166092350106</v>
      </c>
      <c r="HA15">
        <f t="shared" si="72"/>
        <v>998.27786828019555</v>
      </c>
    </row>
    <row r="16" spans="1:209">
      <c r="BS16">
        <f>AVERAGE(O2:O15)</f>
        <v>5370.5714285714284</v>
      </c>
    </row>
    <row r="17" spans="6:208">
      <c r="F17">
        <f>F2/$B2</f>
        <v>5.8756995754807058E-5</v>
      </c>
      <c r="G17">
        <f t="shared" ref="G17:AK17" si="97">G2/$B2</f>
        <v>4.8964163129005884E-6</v>
      </c>
      <c r="H17">
        <f t="shared" si="97"/>
        <v>4.6515954972555587E-5</v>
      </c>
      <c r="I17">
        <f t="shared" si="97"/>
        <v>8.2749435688019935E-4</v>
      </c>
      <c r="J17">
        <f t="shared" si="97"/>
        <v>2.7101664291904757E-3</v>
      </c>
      <c r="K17">
        <f t="shared" si="97"/>
        <v>1.0576259235865271E-3</v>
      </c>
      <c r="L17">
        <f t="shared" si="97"/>
        <v>1.3122395718573577E-3</v>
      </c>
      <c r="M17">
        <f t="shared" si="97"/>
        <v>3.1826706033853821E-4</v>
      </c>
      <c r="N17">
        <f t="shared" si="97"/>
        <v>4.8964163129005883E-5</v>
      </c>
      <c r="O17">
        <f t="shared" si="97"/>
        <v>2.3086602915326272E-3</v>
      </c>
      <c r="P17">
        <f t="shared" si="97"/>
        <v>1.1261757519671352E-4</v>
      </c>
      <c r="Q17">
        <f t="shared" si="97"/>
        <v>1.2241040782251471E-4</v>
      </c>
      <c r="R17">
        <f t="shared" si="97"/>
        <v>7.3446244693508822E-6</v>
      </c>
      <c r="S17">
        <f t="shared" si="97"/>
        <v>3.8192047240624585E-4</v>
      </c>
      <c r="T17">
        <f t="shared" si="97"/>
        <v>6.3163770436417581E-4</v>
      </c>
      <c r="U17">
        <f t="shared" si="97"/>
        <v>1.8851202804667265E-4</v>
      </c>
      <c r="V17">
        <f t="shared" si="97"/>
        <v>4.1129897028364937E-4</v>
      </c>
      <c r="W17">
        <f t="shared" si="97"/>
        <v>1.9585665251602353E-4</v>
      </c>
      <c r="X17">
        <f t="shared" si="97"/>
        <v>3.1214653994741247E-3</v>
      </c>
      <c r="Y17">
        <f t="shared" si="97"/>
        <v>1.5888870935362408E-3</v>
      </c>
      <c r="Z17">
        <f t="shared" si="97"/>
        <v>1.5423711385636853E-3</v>
      </c>
      <c r="AA17">
        <f t="shared" si="97"/>
        <v>4.8964163129005884E-6</v>
      </c>
      <c r="AB17">
        <f t="shared" si="97"/>
        <v>-2.4482081564502942E-6</v>
      </c>
      <c r="AC17">
        <f t="shared" si="97"/>
        <v>9.5969759732851523E-4</v>
      </c>
      <c r="AD17">
        <f t="shared" si="97"/>
        <v>1.4444428123056735E-4</v>
      </c>
      <c r="AE17">
        <f t="shared" si="97"/>
        <v>3.7310692304302483E-3</v>
      </c>
      <c r="AF17">
        <f t="shared" si="97"/>
        <v>1.4689248938701765E-4</v>
      </c>
      <c r="AG17">
        <f t="shared" si="97"/>
        <v>2.3257977486277793E-4</v>
      </c>
      <c r="AH17">
        <f t="shared" si="97"/>
        <v>1.4941414378816145E-2</v>
      </c>
      <c r="AI17">
        <f t="shared" si="97"/>
        <v>-2.4482081564502942E-6</v>
      </c>
      <c r="AJ17">
        <f t="shared" si="97"/>
        <v>3.6429337367980376E-3</v>
      </c>
      <c r="AK17">
        <f t="shared" si="97"/>
        <v>2.7370967189114287E-3</v>
      </c>
      <c r="AL17">
        <f>AL2/$C2</f>
        <v>2.5203327847408973E-6</v>
      </c>
      <c r="AM17">
        <f t="shared" ref="AM17:BQ25" si="98">AM2/$C2</f>
        <v>2.5203327847408973E-6</v>
      </c>
      <c r="AN17">
        <f t="shared" si="98"/>
        <v>0</v>
      </c>
      <c r="AO17">
        <f t="shared" si="98"/>
        <v>1.5878096543867653E-4</v>
      </c>
      <c r="AP17">
        <f t="shared" si="98"/>
        <v>6.9813218137322857E-4</v>
      </c>
      <c r="AQ17">
        <f t="shared" si="98"/>
        <v>3.4276525872476202E-4</v>
      </c>
      <c r="AR17">
        <f t="shared" si="98"/>
        <v>7.5105916985278732E-4</v>
      </c>
      <c r="AS17">
        <f t="shared" si="98"/>
        <v>8.8211647465931401E-5</v>
      </c>
      <c r="AT17">
        <f t="shared" si="98"/>
        <v>7.5609983542226916E-6</v>
      </c>
      <c r="AU17">
        <f t="shared" si="98"/>
        <v>7.0821351251219215E-4</v>
      </c>
      <c r="AV17">
        <f t="shared" si="98"/>
        <v>3.7804991771113455E-5</v>
      </c>
      <c r="AW17">
        <f t="shared" si="98"/>
        <v>3.528465898637256E-5</v>
      </c>
      <c r="AX17">
        <f t="shared" si="98"/>
        <v>7.5609983542226916E-6</v>
      </c>
      <c r="AY17">
        <f t="shared" si="98"/>
        <v>8.317098189644961E-5</v>
      </c>
      <c r="AZ17">
        <f t="shared" si="98"/>
        <v>1.2349630645230397E-4</v>
      </c>
      <c r="BA17">
        <f t="shared" si="98"/>
        <v>1.2601663923704486E-5</v>
      </c>
      <c r="BB17">
        <f t="shared" si="98"/>
        <v>2.8479760467572138E-4</v>
      </c>
      <c r="BC17">
        <f t="shared" si="98"/>
        <v>1.2601663923704486E-5</v>
      </c>
      <c r="BD17">
        <f t="shared" si="98"/>
        <v>7.2837617479011932E-4</v>
      </c>
      <c r="BE17">
        <f t="shared" si="98"/>
        <v>4.1081424391276625E-4</v>
      </c>
      <c r="BF17">
        <f t="shared" si="98"/>
        <v>3.1756193087735307E-4</v>
      </c>
      <c r="BG17">
        <f t="shared" si="98"/>
        <v>0</v>
      </c>
      <c r="BH17">
        <f t="shared" si="98"/>
        <v>-2.5203327847408973E-6</v>
      </c>
      <c r="BI17">
        <f t="shared" si="98"/>
        <v>2.8983827024520317E-4</v>
      </c>
      <c r="BJ17">
        <f t="shared" si="98"/>
        <v>3.7804991771113455E-5</v>
      </c>
      <c r="BK17">
        <f t="shared" si="98"/>
        <v>8.7455547630509135E-4</v>
      </c>
      <c r="BL17">
        <f t="shared" si="98"/>
        <v>5.292698847955884E-5</v>
      </c>
      <c r="BM17">
        <f t="shared" si="98"/>
        <v>5.292698847955884E-5</v>
      </c>
      <c r="BN17">
        <f t="shared" si="98"/>
        <v>3.283993618517389E-3</v>
      </c>
      <c r="BO17">
        <f t="shared" si="98"/>
        <v>-2.5203327847408973E-6</v>
      </c>
      <c r="BP17">
        <f t="shared" si="98"/>
        <v>8.5943347959664598E-4</v>
      </c>
      <c r="BQ17">
        <f t="shared" si="98"/>
        <v>1.1895970743977034E-3</v>
      </c>
      <c r="BS17">
        <f>AVERAGE(P2:P15)</f>
        <v>644.21428571428567</v>
      </c>
      <c r="BU17">
        <f>BU2-BV2</f>
        <v>95.80292982544961</v>
      </c>
      <c r="BW17">
        <f>BW2-BX2</f>
        <v>12.064497621957541</v>
      </c>
      <c r="BX17">
        <f>BX2-BY2</f>
        <v>2.4342090989955096</v>
      </c>
      <c r="BY17">
        <f t="shared" ref="BY17:EI17" si="99">BY2-BZ2</f>
        <v>0.18031178511077844</v>
      </c>
      <c r="BZ17">
        <f t="shared" si="99"/>
        <v>-0.1393318339492379</v>
      </c>
      <c r="CA17">
        <f t="shared" si="99"/>
        <v>-2.6145208841062879</v>
      </c>
      <c r="CB17">
        <f t="shared" si="99"/>
        <v>-6.3027164886449372</v>
      </c>
      <c r="CC17">
        <f t="shared" si="99"/>
        <v>5.532293406807975</v>
      </c>
      <c r="CD17">
        <f t="shared" si="99"/>
        <v>-0.85238298416004366</v>
      </c>
      <c r="CE17">
        <f t="shared" si="99"/>
        <v>3.3275720343170931</v>
      </c>
      <c r="CF17">
        <f t="shared" si="99"/>
        <v>0.90155892555389228</v>
      </c>
      <c r="CG17">
        <f t="shared" si="99"/>
        <v>-7.5648989844203873</v>
      </c>
      <c r="CH17">
        <f t="shared" si="99"/>
        <v>7.3518032383803762</v>
      </c>
      <c r="CI17">
        <f t="shared" si="99"/>
        <v>-3.278396092923247E-2</v>
      </c>
      <c r="CJ17">
        <f t="shared" si="99"/>
        <v>0.38521154091848131</v>
      </c>
      <c r="CK17">
        <f t="shared" si="99"/>
        <v>-1.2539865055431412</v>
      </c>
      <c r="CL17">
        <f t="shared" si="99"/>
        <v>-0.83599100369542745</v>
      </c>
      <c r="CM17">
        <f t="shared" si="99"/>
        <v>1.4834742320477683</v>
      </c>
      <c r="CN17">
        <f t="shared" si="99"/>
        <v>-0.74583511114003809</v>
      </c>
      <c r="CO17">
        <f t="shared" si="99"/>
        <v>0.72124714044311378</v>
      </c>
      <c r="CP17">
        <f t="shared" si="99"/>
        <v>-9.7942083276081942</v>
      </c>
      <c r="CQ17">
        <f t="shared" si="99"/>
        <v>5.1306898854248777</v>
      </c>
      <c r="CR17">
        <f t="shared" si="99"/>
        <v>0.15572381441385463</v>
      </c>
      <c r="CS17">
        <f t="shared" si="99"/>
        <v>5.1470818658894935</v>
      </c>
      <c r="CT17">
        <f t="shared" si="99"/>
        <v>2.4587970696924338E-2</v>
      </c>
      <c r="CU17">
        <f t="shared" si="99"/>
        <v>-3.2210241612970885</v>
      </c>
      <c r="CV17">
        <f t="shared" si="99"/>
        <v>2.7292647473586014</v>
      </c>
      <c r="CW17">
        <f t="shared" si="99"/>
        <v>-12.007125690331383</v>
      </c>
      <c r="CX17">
        <f t="shared" si="99"/>
        <v>11.998929700099074</v>
      </c>
      <c r="CY17">
        <f t="shared" si="99"/>
        <v>-0.2868596581307839</v>
      </c>
      <c r="CZ17">
        <f t="shared" si="99"/>
        <v>-49.241509315707141</v>
      </c>
      <c r="DA17">
        <f t="shared" si="99"/>
        <v>50.028324378008719</v>
      </c>
      <c r="DB17">
        <f t="shared" si="99"/>
        <v>-12.203829455906778</v>
      </c>
      <c r="DC17">
        <f t="shared" si="99"/>
        <v>3.0325163859540023</v>
      </c>
      <c r="DD17">
        <f t="shared" si="99"/>
        <v>9.1549210894881607</v>
      </c>
      <c r="DE17">
        <f t="shared" si="99"/>
        <v>0</v>
      </c>
      <c r="DF17">
        <f t="shared" si="99"/>
        <v>8.1959902323081122E-3</v>
      </c>
      <c r="DG17">
        <f t="shared" si="99"/>
        <v>-0.51634738463541097</v>
      </c>
      <c r="DH17">
        <f t="shared" si="99"/>
        <v>-1.7539419097139362</v>
      </c>
      <c r="DI17">
        <f t="shared" si="99"/>
        <v>1.1556346227554439</v>
      </c>
      <c r="DJ17">
        <f t="shared" si="99"/>
        <v>-1.3277504176339143</v>
      </c>
      <c r="DK17">
        <f t="shared" si="99"/>
        <v>2.1555454310970337</v>
      </c>
      <c r="DL17">
        <f t="shared" si="99"/>
        <v>0.26227168743385959</v>
      </c>
      <c r="DM17">
        <f t="shared" si="99"/>
        <v>-2.278485284581655</v>
      </c>
      <c r="DN17">
        <f t="shared" si="99"/>
        <v>2.1801334017939578</v>
      </c>
      <c r="DO17">
        <f t="shared" si="99"/>
        <v>8.1959902323081174E-3</v>
      </c>
      <c r="DP17">
        <f t="shared" si="99"/>
        <v>9.0155892555389222E-2</v>
      </c>
      <c r="DQ17">
        <f t="shared" si="99"/>
        <v>-0.24587970696924336</v>
      </c>
      <c r="DR17">
        <f t="shared" si="99"/>
        <v>-0.13113584371692982</v>
      </c>
      <c r="DS17">
        <f t="shared" si="99"/>
        <v>0.36062357022155694</v>
      </c>
      <c r="DT17">
        <f t="shared" si="99"/>
        <v>-0.88516694508927618</v>
      </c>
      <c r="DU17">
        <f t="shared" si="99"/>
        <v>0.88516694508927618</v>
      </c>
      <c r="DV17">
        <f t="shared" si="99"/>
        <v>-2.3276612259755036</v>
      </c>
      <c r="DW17">
        <f t="shared" si="99"/>
        <v>1.0326947692708222</v>
      </c>
      <c r="DX17">
        <f t="shared" si="99"/>
        <v>0.30325163859540027</v>
      </c>
      <c r="DY17">
        <f t="shared" si="99"/>
        <v>1.0326947692708219</v>
      </c>
      <c r="DZ17">
        <f t="shared" si="99"/>
        <v>8.1959902323081122E-3</v>
      </c>
      <c r="EA17">
        <f t="shared" si="99"/>
        <v>-0.9507348669477409</v>
      </c>
      <c r="EB17">
        <f t="shared" si="99"/>
        <v>0.81959902323081113</v>
      </c>
      <c r="EC17">
        <f t="shared" si="99"/>
        <v>-2.721068757126293</v>
      </c>
      <c r="ED17">
        <f t="shared" si="99"/>
        <v>2.6718928157324444</v>
      </c>
      <c r="EE17">
        <f t="shared" si="99"/>
        <v>0</v>
      </c>
      <c r="EF17">
        <f t="shared" si="99"/>
        <v>-10.507259477819</v>
      </c>
      <c r="EG17">
        <f t="shared" si="99"/>
        <v>10.687571262929778</v>
      </c>
      <c r="EH17">
        <f t="shared" si="99"/>
        <v>-2.8030286594493745</v>
      </c>
      <c r="EI17">
        <f t="shared" si="99"/>
        <v>-1.0736747204323627</v>
      </c>
      <c r="EL17">
        <f>EL2-EM2</f>
        <v>1.430403383613843</v>
      </c>
      <c r="EM17">
        <f t="shared" ref="EM17:GX18" si="100">EM2-EN2</f>
        <v>48.347140150488926</v>
      </c>
      <c r="EN17">
        <f t="shared" si="100"/>
        <v>0.16966679180909852</v>
      </c>
      <c r="EO17">
        <f t="shared" si="100"/>
        <v>-0.43053745666651144</v>
      </c>
      <c r="EP17">
        <f t="shared" si="100"/>
        <v>0.29649221083948724</v>
      </c>
      <c r="EQ17">
        <f t="shared" si="100"/>
        <v>-16.402164128972345</v>
      </c>
      <c r="ER17">
        <f t="shared" si="100"/>
        <v>-5684.6316105543665</v>
      </c>
      <c r="ES17">
        <f t="shared" si="100"/>
        <v>5081.0367520502168</v>
      </c>
      <c r="ET17">
        <f t="shared" si="100"/>
        <v>594.02698838871652</v>
      </c>
      <c r="EU17">
        <f t="shared" si="100"/>
        <v>6.8188005396883291</v>
      </c>
      <c r="EV17">
        <f t="shared" si="100"/>
        <v>8.9701936616620976</v>
      </c>
      <c r="EW17">
        <f t="shared" si="100"/>
        <v>9.8172333445849169</v>
      </c>
      <c r="EX17">
        <f t="shared" si="100"/>
        <v>-150.46594934827348</v>
      </c>
      <c r="EY17">
        <f t="shared" si="100"/>
        <v>9.1505803761952507</v>
      </c>
      <c r="EZ17">
        <f t="shared" si="100"/>
        <v>140.919220636717</v>
      </c>
      <c r="FA17">
        <f t="shared" si="100"/>
        <v>0.46531607066479025</v>
      </c>
      <c r="FB17">
        <f t="shared" si="100"/>
        <v>-9.4408754560375172</v>
      </c>
      <c r="FC17">
        <f t="shared" si="100"/>
        <v>-615.00693579671577</v>
      </c>
      <c r="FD17">
        <f t="shared" si="100"/>
        <v>600.90993212877117</v>
      </c>
      <c r="FE17">
        <f t="shared" si="100"/>
        <v>9.4427999742994242</v>
      </c>
      <c r="FF17">
        <f t="shared" si="100"/>
        <v>9.6301001488367639</v>
      </c>
      <c r="FG17">
        <f t="shared" si="100"/>
        <v>-211.56418280304354</v>
      </c>
      <c r="FH17">
        <f t="shared" si="100"/>
        <v>120.39754234654659</v>
      </c>
      <c r="FI17">
        <f t="shared" si="100"/>
        <v>91.903633458322147</v>
      </c>
      <c r="FJ17">
        <f t="shared" si="100"/>
        <v>4.1355046584716417</v>
      </c>
      <c r="FK17">
        <f t="shared" si="100"/>
        <v>6.891378804530672E-2</v>
      </c>
      <c r="FL17">
        <f t="shared" si="100"/>
        <v>-68.955472508651383</v>
      </c>
      <c r="FM17">
        <f t="shared" si="100"/>
        <v>-99.283382288223208</v>
      </c>
      <c r="FN17">
        <f t="shared" si="100"/>
        <v>102.57887513708289</v>
      </c>
      <c r="FO17">
        <f t="shared" si="100"/>
        <v>65.099089304282643</v>
      </c>
      <c r="FP17">
        <f t="shared" si="100"/>
        <v>-5.282680217360439</v>
      </c>
      <c r="FQ17">
        <f t="shared" si="100"/>
        <v>-116.26904181374722</v>
      </c>
      <c r="FR17">
        <f t="shared" si="100"/>
        <v>122.35434320750754</v>
      </c>
      <c r="FS17">
        <f t="shared" si="100"/>
        <v>-4.9886720692489011</v>
      </c>
      <c r="FT17">
        <f t="shared" si="100"/>
        <v>-101.50150532767087</v>
      </c>
      <c r="FU17">
        <f t="shared" si="100"/>
        <v>106.21651060353453</v>
      </c>
      <c r="FV17">
        <f t="shared" si="100"/>
        <v>3.4946770301489197E-3</v>
      </c>
      <c r="FW17">
        <f t="shared" si="100"/>
        <v>1.7692404903323643E-2</v>
      </c>
      <c r="FX17">
        <f t="shared" si="100"/>
        <v>-4899.9999999999991</v>
      </c>
      <c r="FY17">
        <f t="shared" si="100"/>
        <v>-24930.76923076923</v>
      </c>
      <c r="FZ17">
        <f t="shared" si="100"/>
        <v>29763.844801946736</v>
      </c>
      <c r="GA17">
        <f t="shared" si="100"/>
        <v>31.681989221211609</v>
      </c>
      <c r="GB17">
        <f t="shared" si="100"/>
        <v>12.302364694916967</v>
      </c>
      <c r="GC17">
        <f t="shared" si="100"/>
        <v>22.795526448217259</v>
      </c>
      <c r="GD17">
        <f t="shared" si="100"/>
        <v>-284.51536471117009</v>
      </c>
      <c r="GE17">
        <f t="shared" si="100"/>
        <v>108.18932493402573</v>
      </c>
      <c r="GF17">
        <f t="shared" si="100"/>
        <v>175.63590635129788</v>
      </c>
      <c r="GG17">
        <f t="shared" si="100"/>
        <v>-1.742005232568165</v>
      </c>
      <c r="GH17">
        <f t="shared" si="100"/>
        <v>-6.7265750662789179</v>
      </c>
      <c r="GI17">
        <f t="shared" si="100"/>
        <v>-126.80784892826777</v>
      </c>
      <c r="GJ17">
        <f t="shared" si="100"/>
        <v>126.01010101010101</v>
      </c>
      <c r="GK17">
        <f t="shared" si="100"/>
        <v>-43.708513708513706</v>
      </c>
      <c r="GL17">
        <f t="shared" si="100"/>
        <v>50.611716591616087</v>
      </c>
      <c r="GM17">
        <f t="shared" si="100"/>
        <v>-19.35766161919787</v>
      </c>
      <c r="GN17">
        <f t="shared" si="100"/>
        <v>-469.25487599048051</v>
      </c>
      <c r="GO17">
        <f t="shared" si="100"/>
        <v>486.34599937191422</v>
      </c>
      <c r="GP17">
        <f t="shared" si="100"/>
        <v>5.464345455671892</v>
      </c>
      <c r="GQ17">
        <f t="shared" si="100"/>
        <v>6.3034669067987395E-2</v>
      </c>
      <c r="GR17">
        <f t="shared" si="100"/>
        <v>-204.63736757885198</v>
      </c>
      <c r="GS17">
        <f t="shared" si="100"/>
        <v>157.699332909784</v>
      </c>
      <c r="GT17">
        <f t="shared" si="100"/>
        <v>-21.04055990493498</v>
      </c>
      <c r="GU17">
        <f t="shared" si="100"/>
        <v>66.326198892933689</v>
      </c>
      <c r="GV17">
        <f t="shared" si="100"/>
        <v>-5.8461473339774574</v>
      </c>
      <c r="GW17">
        <f t="shared" si="100"/>
        <v>-106.22181252629539</v>
      </c>
      <c r="GX17">
        <f t="shared" si="100"/>
        <v>114.06884350601901</v>
      </c>
      <c r="GY17">
        <f t="shared" ref="GY17:GZ21" si="101">GY2-GZ2</f>
        <v>-7.5640111723838759</v>
      </c>
      <c r="GZ17">
        <f t="shared" si="101"/>
        <v>-146.62921962985064</v>
      </c>
    </row>
    <row r="18" spans="6:208">
      <c r="F18">
        <f t="shared" ref="F18:F30" si="102">F3/$B3</f>
        <v>-8.1221572449642621E-5</v>
      </c>
      <c r="G18">
        <f t="shared" ref="G18:AK18" si="103">G3/$B3</f>
        <v>-8.1221572449642621E-5</v>
      </c>
      <c r="H18">
        <f t="shared" si="103"/>
        <v>-8.1221572449642621E-5</v>
      </c>
      <c r="I18">
        <f t="shared" si="103"/>
        <v>4.061078622482131E-4</v>
      </c>
      <c r="J18">
        <f t="shared" si="103"/>
        <v>2.1929824561403508E-3</v>
      </c>
      <c r="K18">
        <f t="shared" si="103"/>
        <v>5.6855100714749834E-4</v>
      </c>
      <c r="L18">
        <f t="shared" si="103"/>
        <v>3.5737491877842753E-3</v>
      </c>
      <c r="M18">
        <f t="shared" si="103"/>
        <v>0</v>
      </c>
      <c r="N18">
        <f t="shared" si="103"/>
        <v>-8.1221572449642621E-5</v>
      </c>
      <c r="O18">
        <f t="shared" si="103"/>
        <v>7.3911630929174785E-3</v>
      </c>
      <c r="P18">
        <f t="shared" si="103"/>
        <v>0</v>
      </c>
      <c r="Q18">
        <f t="shared" si="103"/>
        <v>0</v>
      </c>
      <c r="R18">
        <f t="shared" si="103"/>
        <v>-8.1221572449642621E-5</v>
      </c>
      <c r="S18">
        <f t="shared" si="103"/>
        <v>2.4366471734892786E-4</v>
      </c>
      <c r="T18">
        <f t="shared" si="103"/>
        <v>7.3099415204678359E-4</v>
      </c>
      <c r="U18">
        <f t="shared" si="103"/>
        <v>8.1221572449642621E-5</v>
      </c>
      <c r="V18">
        <f t="shared" si="103"/>
        <v>-8.1221572449642621E-5</v>
      </c>
      <c r="W18">
        <f t="shared" si="103"/>
        <v>2.4366471734892786E-4</v>
      </c>
      <c r="X18">
        <f t="shared" si="103"/>
        <v>3.1676413255360622E-3</v>
      </c>
      <c r="Y18">
        <f t="shared" si="103"/>
        <v>6.4977257959714096E-4</v>
      </c>
      <c r="Z18">
        <f t="shared" si="103"/>
        <v>2.5178687459389212E-3</v>
      </c>
      <c r="AA18">
        <f t="shared" si="103"/>
        <v>-8.1221572449642621E-5</v>
      </c>
      <c r="AB18">
        <f t="shared" si="103"/>
        <v>-8.1221572449642621E-5</v>
      </c>
      <c r="AC18">
        <f t="shared" si="103"/>
        <v>6.9038336582196227E-3</v>
      </c>
      <c r="AD18">
        <f t="shared" si="103"/>
        <v>1.705653021442495E-3</v>
      </c>
      <c r="AE18">
        <f t="shared" si="103"/>
        <v>1.364522417153996E-2</v>
      </c>
      <c r="AF18">
        <f t="shared" si="103"/>
        <v>2.8427550357374917E-3</v>
      </c>
      <c r="AG18">
        <f t="shared" si="103"/>
        <v>-8.1221572449642621E-5</v>
      </c>
      <c r="AH18">
        <f t="shared" si="103"/>
        <v>2.1442495126705652E-2</v>
      </c>
      <c r="AI18">
        <f t="shared" si="103"/>
        <v>-8.1221572449642621E-5</v>
      </c>
      <c r="AJ18">
        <f t="shared" si="103"/>
        <v>2.5990903183885639E-3</v>
      </c>
      <c r="AK18">
        <f t="shared" si="103"/>
        <v>4.1423001949317736E-3</v>
      </c>
      <c r="AL18">
        <f t="shared" ref="AL18:BA30" si="104">AL3/$C3</f>
        <v>-6.1587731723840609E-5</v>
      </c>
      <c r="AM18">
        <f t="shared" si="104"/>
        <v>-6.1587731723840609E-5</v>
      </c>
      <c r="AN18">
        <f t="shared" si="104"/>
        <v>-6.1587731723840609E-5</v>
      </c>
      <c r="AO18">
        <f t="shared" si="104"/>
        <v>0</v>
      </c>
      <c r="AP18">
        <f t="shared" si="104"/>
        <v>6.7746504896224673E-4</v>
      </c>
      <c r="AQ18">
        <f t="shared" si="104"/>
        <v>6.1587731723840609E-5</v>
      </c>
      <c r="AR18">
        <f t="shared" si="104"/>
        <v>8.6222824413376858E-4</v>
      </c>
      <c r="AS18">
        <f t="shared" si="104"/>
        <v>6.1587731723840609E-5</v>
      </c>
      <c r="AT18">
        <f t="shared" si="104"/>
        <v>-6.1587731723840609E-5</v>
      </c>
      <c r="AU18">
        <f t="shared" si="104"/>
        <v>2.4019215372297837E-3</v>
      </c>
      <c r="AV18">
        <f t="shared" si="104"/>
        <v>1.2317546344768122E-4</v>
      </c>
      <c r="AW18">
        <f t="shared" si="104"/>
        <v>6.1587731723840609E-5</v>
      </c>
      <c r="AX18">
        <f t="shared" si="104"/>
        <v>-6.1587731723840609E-5</v>
      </c>
      <c r="AY18">
        <f t="shared" si="104"/>
        <v>6.1587731723840609E-5</v>
      </c>
      <c r="AZ18">
        <f t="shared" si="104"/>
        <v>2.4635092689536244E-4</v>
      </c>
      <c r="BA18">
        <f t="shared" si="104"/>
        <v>0</v>
      </c>
      <c r="BB18">
        <f t="shared" si="98"/>
        <v>-6.1587731723840609E-5</v>
      </c>
      <c r="BC18">
        <f t="shared" si="98"/>
        <v>6.1587731723840609E-5</v>
      </c>
      <c r="BD18">
        <f t="shared" si="98"/>
        <v>2.4635092689536244E-4</v>
      </c>
      <c r="BE18">
        <f t="shared" si="98"/>
        <v>6.1587731723840609E-5</v>
      </c>
      <c r="BF18">
        <f t="shared" si="98"/>
        <v>1.8476319517152183E-4</v>
      </c>
      <c r="BG18">
        <f t="shared" si="98"/>
        <v>-6.1587731723840609E-5</v>
      </c>
      <c r="BH18">
        <f t="shared" si="98"/>
        <v>-6.1587731723840609E-5</v>
      </c>
      <c r="BI18">
        <f t="shared" si="98"/>
        <v>8.6222824413376858E-4</v>
      </c>
      <c r="BJ18">
        <f t="shared" si="98"/>
        <v>6.7746504896224673E-4</v>
      </c>
      <c r="BK18">
        <f t="shared" si="98"/>
        <v>2.8946233910205088E-3</v>
      </c>
      <c r="BL18">
        <f t="shared" si="98"/>
        <v>1.0469914393052904E-3</v>
      </c>
      <c r="BM18">
        <f t="shared" si="98"/>
        <v>-6.1587731723840609E-5</v>
      </c>
      <c r="BN18">
        <f t="shared" si="98"/>
        <v>4.5574921475642054E-3</v>
      </c>
      <c r="BO18">
        <f t="shared" si="98"/>
        <v>-6.1587731723840609E-5</v>
      </c>
      <c r="BP18">
        <f t="shared" si="98"/>
        <v>6.7746504896224673E-4</v>
      </c>
      <c r="BQ18">
        <f t="shared" si="98"/>
        <v>9.8540370758144974E-4</v>
      </c>
      <c r="BS18">
        <f>AVERAGE(Q2:Q15)</f>
        <v>1574.7142857142858</v>
      </c>
      <c r="BU18">
        <f t="shared" ref="BU18:BU30" si="105">BU3-BV3</f>
        <v>-895.93823430681459</v>
      </c>
      <c r="BW18">
        <f t="shared" ref="BW18:BX30" si="106">BW3-BX3</f>
        <v>10.95669687814703</v>
      </c>
      <c r="BX18">
        <f t="shared" si="106"/>
        <v>2.0543806646525677</v>
      </c>
      <c r="BY18">
        <f t="shared" ref="BY18:EI18" si="107">BY3-BZ3</f>
        <v>0</v>
      </c>
      <c r="BZ18">
        <f t="shared" si="107"/>
        <v>0</v>
      </c>
      <c r="CA18">
        <f t="shared" si="107"/>
        <v>-1.3695871097683787</v>
      </c>
      <c r="CB18">
        <f t="shared" si="107"/>
        <v>-5.0218194024840557</v>
      </c>
      <c r="CC18">
        <f t="shared" si="107"/>
        <v>4.5652903658945956</v>
      </c>
      <c r="CD18">
        <f t="shared" si="107"/>
        <v>-8.4457871769050037</v>
      </c>
      <c r="CE18">
        <f t="shared" si="107"/>
        <v>10.043638804968111</v>
      </c>
      <c r="CF18">
        <f t="shared" si="107"/>
        <v>0.22826451829472977</v>
      </c>
      <c r="CG18">
        <f t="shared" si="107"/>
        <v>-21.000335683115139</v>
      </c>
      <c r="CH18">
        <f t="shared" si="107"/>
        <v>20.77207116482041</v>
      </c>
      <c r="CI18">
        <f t="shared" si="107"/>
        <v>0</v>
      </c>
      <c r="CJ18">
        <f t="shared" si="107"/>
        <v>0.22826451829472977</v>
      </c>
      <c r="CK18">
        <f t="shared" si="107"/>
        <v>-0.91305807317891907</v>
      </c>
      <c r="CL18">
        <f t="shared" si="107"/>
        <v>-1.3695871097683789</v>
      </c>
      <c r="CM18">
        <f t="shared" si="107"/>
        <v>1.8261161463578384</v>
      </c>
      <c r="CN18">
        <f t="shared" si="107"/>
        <v>0.45652903658945954</v>
      </c>
      <c r="CO18">
        <f t="shared" si="107"/>
        <v>-0.91305807317891907</v>
      </c>
      <c r="CP18">
        <f t="shared" si="107"/>
        <v>-8.2175226586102728</v>
      </c>
      <c r="CQ18">
        <f t="shared" si="107"/>
        <v>7.0762000671366234</v>
      </c>
      <c r="CR18">
        <f t="shared" si="107"/>
        <v>-5.2500839207787848</v>
      </c>
      <c r="CS18">
        <f t="shared" si="107"/>
        <v>7.3044645854313535</v>
      </c>
      <c r="CT18">
        <f t="shared" si="107"/>
        <v>0</v>
      </c>
      <c r="CU18">
        <f t="shared" si="107"/>
        <v>-19.630748573346761</v>
      </c>
      <c r="CV18">
        <f t="shared" si="107"/>
        <v>14.608929170862705</v>
      </c>
      <c r="CW18">
        <f t="shared" si="107"/>
        <v>-33.554884189325278</v>
      </c>
      <c r="CX18">
        <f t="shared" si="107"/>
        <v>30.359180933199063</v>
      </c>
      <c r="CY18">
        <f t="shared" si="107"/>
        <v>8.2175226586102728</v>
      </c>
      <c r="CZ18">
        <f t="shared" si="107"/>
        <v>-60.49009734810339</v>
      </c>
      <c r="DA18">
        <f t="shared" si="107"/>
        <v>60.49009734810339</v>
      </c>
      <c r="DB18">
        <f t="shared" si="107"/>
        <v>-7.5327291037260826</v>
      </c>
      <c r="DC18">
        <f t="shared" si="107"/>
        <v>-4.3370258475998664</v>
      </c>
      <c r="DD18">
        <f t="shared" si="107"/>
        <v>11.869754951325948</v>
      </c>
      <c r="DE18">
        <f t="shared" si="107"/>
        <v>0</v>
      </c>
      <c r="DF18">
        <f t="shared" si="107"/>
        <v>0</v>
      </c>
      <c r="DG18">
        <f t="shared" si="107"/>
        <v>-0.22826451829472977</v>
      </c>
      <c r="DH18">
        <f t="shared" si="107"/>
        <v>-2.5109097012420278</v>
      </c>
      <c r="DI18">
        <f t="shared" si="107"/>
        <v>2.2826451829472982</v>
      </c>
      <c r="DJ18">
        <f t="shared" si="107"/>
        <v>-2.9674387378314875</v>
      </c>
      <c r="DK18">
        <f t="shared" si="107"/>
        <v>2.9674387378314875</v>
      </c>
      <c r="DL18">
        <f t="shared" si="107"/>
        <v>0.45652903658945954</v>
      </c>
      <c r="DM18">
        <f t="shared" si="107"/>
        <v>-9.1305807317891912</v>
      </c>
      <c r="DN18">
        <f t="shared" si="107"/>
        <v>8.4457871769050019</v>
      </c>
      <c r="DO18">
        <f t="shared" si="107"/>
        <v>0.22826451829472977</v>
      </c>
      <c r="DP18">
        <f t="shared" si="107"/>
        <v>0.45652903658945954</v>
      </c>
      <c r="DQ18">
        <f t="shared" si="107"/>
        <v>-0.45652903658945954</v>
      </c>
      <c r="DR18">
        <f t="shared" si="107"/>
        <v>-0.68479355488418925</v>
      </c>
      <c r="DS18">
        <f t="shared" si="107"/>
        <v>0.91305807317891907</v>
      </c>
      <c r="DT18">
        <f t="shared" si="107"/>
        <v>0.22826451829472977</v>
      </c>
      <c r="DU18">
        <f t="shared" si="107"/>
        <v>-0.45652903658945954</v>
      </c>
      <c r="DV18">
        <f t="shared" si="107"/>
        <v>-0.68479355488418925</v>
      </c>
      <c r="DW18">
        <f t="shared" si="107"/>
        <v>0.68479355488418925</v>
      </c>
      <c r="DX18">
        <f t="shared" si="107"/>
        <v>-0.45652903658945959</v>
      </c>
      <c r="DY18">
        <f t="shared" si="107"/>
        <v>0.91305807317891907</v>
      </c>
      <c r="DZ18">
        <f t="shared" si="107"/>
        <v>0</v>
      </c>
      <c r="EA18">
        <f t="shared" si="107"/>
        <v>-3.4239677744209467</v>
      </c>
      <c r="EB18">
        <f t="shared" si="107"/>
        <v>0.68479355488418925</v>
      </c>
      <c r="EC18">
        <f t="shared" si="107"/>
        <v>-8.217522658610271</v>
      </c>
      <c r="ED18">
        <f t="shared" si="107"/>
        <v>6.8479355488418925</v>
      </c>
      <c r="EE18">
        <f t="shared" si="107"/>
        <v>4.1087613293051364</v>
      </c>
      <c r="EF18">
        <f t="shared" si="107"/>
        <v>-17.119838872104733</v>
      </c>
      <c r="EG18">
        <f t="shared" si="107"/>
        <v>17.119838872104733</v>
      </c>
      <c r="EH18">
        <f t="shared" si="107"/>
        <v>-2.7391742195367574</v>
      </c>
      <c r="EI18">
        <f t="shared" si="107"/>
        <v>-1.1413225914736485</v>
      </c>
      <c r="EL18">
        <f t="shared" ref="EL18:FA30" si="108">EL3-EM3</f>
        <v>-0.48030911803270993</v>
      </c>
      <c r="EM18">
        <f t="shared" si="108"/>
        <v>1.9804953868769219</v>
      </c>
      <c r="EN18">
        <f t="shared" si="108"/>
        <v>5.5326127763836476E-3</v>
      </c>
      <c r="EO18">
        <f t="shared" si="108"/>
        <v>2.0402802321421318E-2</v>
      </c>
      <c r="EP18">
        <f t="shared" si="108"/>
        <v>6.6041596692520868E-2</v>
      </c>
      <c r="EQ18">
        <f t="shared" si="108"/>
        <v>0.78675184641763574</v>
      </c>
      <c r="ER18">
        <f t="shared" si="108"/>
        <v>-85.209623540892537</v>
      </c>
      <c r="ES18">
        <f t="shared" si="108"/>
        <v>69.211298977422288</v>
      </c>
      <c r="ET18">
        <f t="shared" si="108"/>
        <v>14.702468124179132</v>
      </c>
      <c r="EU18">
        <f t="shared" si="108"/>
        <v>-1.1625748777673734</v>
      </c>
      <c r="EV18">
        <f t="shared" si="108"/>
        <v>1.5861571737563085</v>
      </c>
      <c r="EW18">
        <f t="shared" si="108"/>
        <v>2.6742564611946285E-2</v>
      </c>
      <c r="EX18">
        <f t="shared" si="108"/>
        <v>-14.598399890472635</v>
      </c>
      <c r="EY18">
        <f t="shared" si="108"/>
        <v>14.571657325860688</v>
      </c>
      <c r="EZ18">
        <f t="shared" si="108"/>
        <v>0</v>
      </c>
      <c r="FA18">
        <f t="shared" si="108"/>
        <v>0.15522785231178624</v>
      </c>
      <c r="FB18">
        <f t="shared" si="100"/>
        <v>-0.3457386025612646</v>
      </c>
      <c r="FC18">
        <f t="shared" si="100"/>
        <v>-21.60879720822803</v>
      </c>
      <c r="FD18">
        <f t="shared" si="100"/>
        <v>21.487573378205855</v>
      </c>
      <c r="FE18">
        <f t="shared" si="100"/>
        <v>0.39840578685866618</v>
      </c>
      <c r="FF18">
        <f t="shared" si="100"/>
        <v>-0.27157105250380675</v>
      </c>
      <c r="FG18">
        <f t="shared" si="100"/>
        <v>-6.437295423943727</v>
      </c>
      <c r="FH18">
        <f t="shared" si="100"/>
        <v>5.4376368351698821</v>
      </c>
      <c r="FI18">
        <f t="shared" si="100"/>
        <v>0.97820326606423313</v>
      </c>
      <c r="FJ18">
        <f t="shared" si="100"/>
        <v>0.2354376173685909</v>
      </c>
      <c r="FK18">
        <f t="shared" si="100"/>
        <v>-1.833355818124556E-2</v>
      </c>
      <c r="FL18">
        <f t="shared" si="100"/>
        <v>-14.960497634279532</v>
      </c>
      <c r="FM18">
        <f t="shared" si="100"/>
        <v>-44.928051663613388</v>
      </c>
      <c r="FN18">
        <f t="shared" si="100"/>
        <v>52.640877330408905</v>
      </c>
      <c r="FO18">
        <f t="shared" si="100"/>
        <v>6.9160072223700011</v>
      </c>
      <c r="FP18">
        <f t="shared" si="100"/>
        <v>0.38231397752474472</v>
      </c>
      <c r="FQ18">
        <f t="shared" si="100"/>
        <v>-5.3432090295682162</v>
      </c>
      <c r="FR18">
        <f t="shared" si="100"/>
        <v>5.5342906180483054</v>
      </c>
      <c r="FS18">
        <f t="shared" si="100"/>
        <v>-0.35433331054417005</v>
      </c>
      <c r="FT18">
        <f t="shared" si="100"/>
        <v>-4.7444098910317996</v>
      </c>
      <c r="FU18">
        <f t="shared" si="100"/>
        <v>4.8674505720576837</v>
      </c>
      <c r="FV18">
        <f t="shared" si="100"/>
        <v>-3.4946770301489197E-3</v>
      </c>
      <c r="FW18">
        <f t="shared" si="100"/>
        <v>8.3655411280308076</v>
      </c>
      <c r="FX18">
        <f t="shared" si="100"/>
        <v>-8.3832335329341312</v>
      </c>
      <c r="FY18">
        <f t="shared" si="100"/>
        <v>-1184.6153846153845</v>
      </c>
      <c r="FZ18">
        <f t="shared" si="100"/>
        <v>1184.1232932269838</v>
      </c>
      <c r="GA18">
        <f t="shared" si="100"/>
        <v>-1.1635936935388138</v>
      </c>
      <c r="GB18">
        <f t="shared" si="100"/>
        <v>1.0002543703290301</v>
      </c>
      <c r="GC18">
        <f t="shared" si="100"/>
        <v>0.70361353099374668</v>
      </c>
      <c r="GD18">
        <f t="shared" si="100"/>
        <v>-39.556142298399173</v>
      </c>
      <c r="GE18">
        <f t="shared" si="100"/>
        <v>15.978547714310036</v>
      </c>
      <c r="GF18">
        <f t="shared" si="100"/>
        <v>23.469791630134718</v>
      </c>
      <c r="GG18">
        <f t="shared" si="100"/>
        <v>0.91851584009263321</v>
      </c>
      <c r="GH18">
        <f t="shared" si="100"/>
        <v>-1.1408127413652096</v>
      </c>
      <c r="GI18">
        <f t="shared" si="100"/>
        <v>-10.829194075267374</v>
      </c>
      <c r="GJ18">
        <f t="shared" si="100"/>
        <v>11.111111111111111</v>
      </c>
      <c r="GK18">
        <f t="shared" si="100"/>
        <v>0.47619047619047622</v>
      </c>
      <c r="GL18">
        <f t="shared" si="100"/>
        <v>-1.1157519197720203</v>
      </c>
      <c r="GM18">
        <f t="shared" si="100"/>
        <v>0.32737502369080929</v>
      </c>
      <c r="GN18">
        <f t="shared" si="100"/>
        <v>-2.7050549594196101</v>
      </c>
      <c r="GO18">
        <f t="shared" si="100"/>
        <v>2.8871379160800617</v>
      </c>
      <c r="GP18">
        <f t="shared" si="100"/>
        <v>0.33400675481199005</v>
      </c>
      <c r="GQ18">
        <f t="shared" si="100"/>
        <v>-0.14086862251371957</v>
      </c>
      <c r="GR18">
        <f t="shared" si="100"/>
        <v>-24.967736066780823</v>
      </c>
      <c r="GS18">
        <f t="shared" si="100"/>
        <v>-9.4702986022871656</v>
      </c>
      <c r="GT18">
        <f t="shared" si="100"/>
        <v>25.176062491262407</v>
      </c>
      <c r="GU18">
        <f t="shared" si="100"/>
        <v>7.9123119275936862</v>
      </c>
      <c r="GV18">
        <f t="shared" si="100"/>
        <v>1.6406974071428959</v>
      </c>
      <c r="GW18">
        <f t="shared" si="100"/>
        <v>-6.8089004864351264</v>
      </c>
      <c r="GX18">
        <f t="shared" si="100"/>
        <v>6.8663512941809941</v>
      </c>
      <c r="GY18">
        <f t="shared" si="101"/>
        <v>-0.64224807047514698</v>
      </c>
      <c r="GZ18">
        <f t="shared" si="101"/>
        <v>-4.98221382321851</v>
      </c>
    </row>
    <row r="19" spans="6:208">
      <c r="F19">
        <f t="shared" si="102"/>
        <v>2.4978699670486469E-4</v>
      </c>
      <c r="G19">
        <f t="shared" ref="G19:AK19" si="109">G4/$B4</f>
        <v>-3.4217396808885572E-6</v>
      </c>
      <c r="H19">
        <f t="shared" si="109"/>
        <v>3.5928266649329853E-4</v>
      </c>
      <c r="I19">
        <f t="shared" si="109"/>
        <v>2.5081351860913124E-3</v>
      </c>
      <c r="J19">
        <f t="shared" si="109"/>
        <v>2.8776830716272768E-3</v>
      </c>
      <c r="K19">
        <f t="shared" si="109"/>
        <v>4.4790572422831213E-3</v>
      </c>
      <c r="L19">
        <f t="shared" si="109"/>
        <v>3.7365397315303047E-3</v>
      </c>
      <c r="M19">
        <f t="shared" si="109"/>
        <v>1.9161742212975921E-3</v>
      </c>
      <c r="N19">
        <f t="shared" si="109"/>
        <v>1.9503916181064777E-4</v>
      </c>
      <c r="O19">
        <f t="shared" si="109"/>
        <v>1.7642489794661403E-2</v>
      </c>
      <c r="P19">
        <f t="shared" si="109"/>
        <v>3.1137831096085875E-4</v>
      </c>
      <c r="Q19">
        <f t="shared" si="109"/>
        <v>7.8700012660436815E-5</v>
      </c>
      <c r="R19">
        <f t="shared" si="109"/>
        <v>-3.4217396808885572E-6</v>
      </c>
      <c r="S19">
        <f t="shared" si="109"/>
        <v>-3.4217396808885572E-6</v>
      </c>
      <c r="T19">
        <f t="shared" si="109"/>
        <v>1.4268654469305284E-3</v>
      </c>
      <c r="U19">
        <f t="shared" si="109"/>
        <v>3.2882918333339037E-3</v>
      </c>
      <c r="V19">
        <f t="shared" si="109"/>
        <v>5.2694791085683781E-4</v>
      </c>
      <c r="W19">
        <f t="shared" si="109"/>
        <v>4.0376528234484975E-4</v>
      </c>
      <c r="X19">
        <f t="shared" si="109"/>
        <v>5.1733282235354096E-2</v>
      </c>
      <c r="Y19">
        <f t="shared" si="109"/>
        <v>1.5134354608570089E-2</v>
      </c>
      <c r="Z19">
        <f t="shared" si="109"/>
        <v>3.659892762678401E-2</v>
      </c>
      <c r="AA19">
        <f t="shared" si="109"/>
        <v>4.4482615851551246E-4</v>
      </c>
      <c r="AB19">
        <f t="shared" si="109"/>
        <v>1.916174221297592E-4</v>
      </c>
      <c r="AC19">
        <f t="shared" si="109"/>
        <v>2.9426961255641591E-4</v>
      </c>
      <c r="AD19">
        <f t="shared" si="109"/>
        <v>1.5740002532087363E-4</v>
      </c>
      <c r="AE19">
        <f t="shared" si="109"/>
        <v>-3.4217396808885572E-6</v>
      </c>
      <c r="AF19">
        <f t="shared" si="109"/>
        <v>3.3088222714192351E-3</v>
      </c>
      <c r="AG19">
        <f t="shared" si="109"/>
        <v>2.1899133957686766E-4</v>
      </c>
      <c r="AH19">
        <f t="shared" si="109"/>
        <v>4.3517685261540671E-2</v>
      </c>
      <c r="AI19">
        <f t="shared" si="109"/>
        <v>5.2352617117594924E-4</v>
      </c>
      <c r="AJ19">
        <f t="shared" si="109"/>
        <v>5.9948879209167525E-3</v>
      </c>
      <c r="AK19">
        <f t="shared" si="109"/>
        <v>1.0326810356921666E-2</v>
      </c>
      <c r="AL19">
        <f t="shared" si="104"/>
        <v>1.8253060429798731E-5</v>
      </c>
      <c r="AM19">
        <f t="shared" si="98"/>
        <v>-3.0421767382997882E-6</v>
      </c>
      <c r="AN19">
        <f t="shared" si="98"/>
        <v>0</v>
      </c>
      <c r="AO19">
        <f t="shared" si="98"/>
        <v>3.4680814816617588E-4</v>
      </c>
      <c r="AP19">
        <f t="shared" si="98"/>
        <v>8.7918907736863879E-4</v>
      </c>
      <c r="AQ19">
        <f t="shared" si="98"/>
        <v>6.9970064980895126E-4</v>
      </c>
      <c r="AR19">
        <f t="shared" si="98"/>
        <v>1.3598530020200053E-3</v>
      </c>
      <c r="AS19">
        <f t="shared" si="98"/>
        <v>2.5858502275548199E-4</v>
      </c>
      <c r="AT19">
        <f t="shared" si="98"/>
        <v>5.475918128939619E-5</v>
      </c>
      <c r="AU19">
        <f t="shared" si="98"/>
        <v>6.005256881403782E-3</v>
      </c>
      <c r="AV19">
        <f t="shared" si="98"/>
        <v>1.0039183236389302E-4</v>
      </c>
      <c r="AW19">
        <f t="shared" si="98"/>
        <v>8.8223125410693859E-5</v>
      </c>
      <c r="AX19">
        <f t="shared" si="98"/>
        <v>-3.0421767382997882E-6</v>
      </c>
      <c r="AY19">
        <f t="shared" si="98"/>
        <v>-3.0421767382997882E-6</v>
      </c>
      <c r="AZ19">
        <f t="shared" si="98"/>
        <v>4.8066392465136653E-4</v>
      </c>
      <c r="BA19">
        <f t="shared" si="98"/>
        <v>3.3463944121297671E-4</v>
      </c>
      <c r="BB19">
        <f t="shared" si="98"/>
        <v>1.8192216895032735E-3</v>
      </c>
      <c r="BC19">
        <f t="shared" si="98"/>
        <v>5.7801358027695975E-5</v>
      </c>
      <c r="BD19">
        <f t="shared" si="98"/>
        <v>6.9726690841831144E-3</v>
      </c>
      <c r="BE19">
        <f t="shared" si="98"/>
        <v>1.4572026576455987E-3</v>
      </c>
      <c r="BF19">
        <f t="shared" si="98"/>
        <v>5.5154664265375164E-3</v>
      </c>
      <c r="BG19">
        <f t="shared" si="98"/>
        <v>1.5210883691498942E-5</v>
      </c>
      <c r="BH19">
        <f t="shared" si="98"/>
        <v>1.0951836257879238E-4</v>
      </c>
      <c r="BI19">
        <f t="shared" si="98"/>
        <v>5.475918128939619E-5</v>
      </c>
      <c r="BJ19">
        <f t="shared" si="98"/>
        <v>3.9548297597897248E-5</v>
      </c>
      <c r="BK19">
        <f t="shared" si="98"/>
        <v>-3.0421767382997882E-6</v>
      </c>
      <c r="BL19">
        <f t="shared" si="98"/>
        <v>1.2168706953199152E-3</v>
      </c>
      <c r="BM19">
        <f t="shared" si="98"/>
        <v>9.1265302148993655E-6</v>
      </c>
      <c r="BN19">
        <f t="shared" si="98"/>
        <v>8.4663778626883103E-3</v>
      </c>
      <c r="BO19">
        <f t="shared" si="98"/>
        <v>6.0843534765995768E-5</v>
      </c>
      <c r="BP19">
        <f t="shared" si="98"/>
        <v>1.2442502859646134E-3</v>
      </c>
      <c r="BQ19">
        <f t="shared" si="98"/>
        <v>2.372897855873835E-3</v>
      </c>
      <c r="BS19">
        <f>AVERAGE(R2:R15)</f>
        <v>41.285714285714285</v>
      </c>
      <c r="BU19">
        <f t="shared" si="105"/>
        <v>-355.4882026475052</v>
      </c>
      <c r="BW19">
        <f t="shared" si="106"/>
        <v>16.466543462458798</v>
      </c>
      <c r="BX19">
        <f t="shared" si="106"/>
        <v>3.0222785514281982</v>
      </c>
      <c r="BY19">
        <f t="shared" ref="BY19:EI19" si="110">BY4-BZ4</f>
        <v>0.72144713808286032</v>
      </c>
      <c r="BZ19">
        <f t="shared" si="110"/>
        <v>-1.0334242788754484</v>
      </c>
      <c r="CA19">
        <f t="shared" si="110"/>
        <v>-6.1225513880545437</v>
      </c>
      <c r="CB19">
        <f t="shared" si="110"/>
        <v>-1.0529228501749852</v>
      </c>
      <c r="CC19">
        <f t="shared" si="110"/>
        <v>-4.5626656840916038</v>
      </c>
      <c r="CD19">
        <f t="shared" si="110"/>
        <v>2.1155949859997385</v>
      </c>
      <c r="CE19">
        <f t="shared" si="110"/>
        <v>5.1866199656767797</v>
      </c>
      <c r="CF19">
        <f t="shared" si="110"/>
        <v>4.9038906818334969</v>
      </c>
      <c r="CG19">
        <f t="shared" si="110"/>
        <v>-49.711607528168976</v>
      </c>
      <c r="CH19">
        <f t="shared" si="110"/>
        <v>49.380131816076855</v>
      </c>
      <c r="CI19">
        <f t="shared" si="110"/>
        <v>0.66295142418425002</v>
      </c>
      <c r="CJ19">
        <f t="shared" si="110"/>
        <v>0.23398285559444115</v>
      </c>
      <c r="CK19">
        <f t="shared" si="110"/>
        <v>0</v>
      </c>
      <c r="CL19">
        <f t="shared" si="110"/>
        <v>-4.0752014016031834</v>
      </c>
      <c r="CM19">
        <f t="shared" si="110"/>
        <v>-5.3036113934739992</v>
      </c>
      <c r="CN19">
        <f t="shared" si="110"/>
        <v>7.867673519363084</v>
      </c>
      <c r="CO19">
        <f t="shared" si="110"/>
        <v>0.35097428339166181</v>
      </c>
      <c r="CP19">
        <f t="shared" si="110"/>
        <v>-146.2490340321755</v>
      </c>
      <c r="CQ19">
        <f t="shared" si="110"/>
        <v>104.27835930992262</v>
      </c>
      <c r="CR19">
        <f t="shared" si="110"/>
        <v>-61.157268880997066</v>
      </c>
      <c r="CS19">
        <f t="shared" si="110"/>
        <v>103.01095217545273</v>
      </c>
      <c r="CT19">
        <f t="shared" si="110"/>
        <v>0.72144713808286021</v>
      </c>
      <c r="CU19">
        <f t="shared" si="110"/>
        <v>-0.2924785694930514</v>
      </c>
      <c r="CV19">
        <f t="shared" si="110"/>
        <v>0.38997142599073525</v>
      </c>
      <c r="CW19">
        <f t="shared" si="110"/>
        <v>0.45821642553911396</v>
      </c>
      <c r="CX19">
        <f t="shared" si="110"/>
        <v>-9.4373085089757929</v>
      </c>
      <c r="CY19">
        <f t="shared" si="110"/>
        <v>8.8036049417408488</v>
      </c>
      <c r="CZ19">
        <f t="shared" si="110"/>
        <v>-123.36746061216913</v>
      </c>
      <c r="DA19">
        <f t="shared" si="110"/>
        <v>122.49977418933973</v>
      </c>
      <c r="DB19">
        <f t="shared" si="110"/>
        <v>-15.589107753979645</v>
      </c>
      <c r="DC19">
        <f t="shared" si="110"/>
        <v>-12.342595632606773</v>
      </c>
      <c r="DD19">
        <f t="shared" si="110"/>
        <v>29.364848377102369</v>
      </c>
      <c r="DE19">
        <f t="shared" si="110"/>
        <v>6.8244999548378676E-2</v>
      </c>
      <c r="DF19">
        <f t="shared" si="110"/>
        <v>-9.7492856497683814E-3</v>
      </c>
      <c r="DG19">
        <f t="shared" si="110"/>
        <v>-1.1114185640735956</v>
      </c>
      <c r="DH19">
        <f t="shared" si="110"/>
        <v>-1.7061249887094669</v>
      </c>
      <c r="DI19">
        <f t="shared" si="110"/>
        <v>0.57520785333633473</v>
      </c>
      <c r="DJ19">
        <f t="shared" si="110"/>
        <v>-2.1155949859997394</v>
      </c>
      <c r="DK19">
        <f t="shared" si="110"/>
        <v>3.5292414052161547</v>
      </c>
      <c r="DL19">
        <f t="shared" si="110"/>
        <v>0.65320213853448161</v>
      </c>
      <c r="DM19">
        <f t="shared" si="110"/>
        <v>-19.069602730946954</v>
      </c>
      <c r="DN19">
        <f t="shared" si="110"/>
        <v>18.92336344620043</v>
      </c>
      <c r="DO19">
        <f t="shared" si="110"/>
        <v>3.8997142599073498E-2</v>
      </c>
      <c r="DP19">
        <f t="shared" si="110"/>
        <v>0.29247856949305151</v>
      </c>
      <c r="DQ19">
        <f t="shared" si="110"/>
        <v>0</v>
      </c>
      <c r="DR19">
        <f t="shared" si="110"/>
        <v>-1.5501364183131727</v>
      </c>
      <c r="DS19">
        <f t="shared" si="110"/>
        <v>0.46796571118888242</v>
      </c>
      <c r="DT19">
        <f t="shared" si="110"/>
        <v>-4.7576513970869705</v>
      </c>
      <c r="DU19">
        <f t="shared" si="110"/>
        <v>5.6448363912158932</v>
      </c>
      <c r="DV19">
        <f t="shared" si="110"/>
        <v>-22.160126281923532</v>
      </c>
      <c r="DW19">
        <f t="shared" si="110"/>
        <v>17.675454883030078</v>
      </c>
      <c r="DX19">
        <f t="shared" si="110"/>
        <v>-13.005547056791023</v>
      </c>
      <c r="DY19">
        <f t="shared" si="110"/>
        <v>17.626708454781237</v>
      </c>
      <c r="DZ19">
        <f t="shared" si="110"/>
        <v>-0.30222785514281986</v>
      </c>
      <c r="EA19">
        <f t="shared" si="110"/>
        <v>0.17548714169583088</v>
      </c>
      <c r="EB19">
        <f t="shared" si="110"/>
        <v>4.87464282488419E-2</v>
      </c>
      <c r="EC19">
        <f t="shared" si="110"/>
        <v>0.13648999909675735</v>
      </c>
      <c r="ED19">
        <f t="shared" si="110"/>
        <v>-3.9094635455571218</v>
      </c>
      <c r="EE19">
        <f t="shared" si="110"/>
        <v>3.8704664029580482</v>
      </c>
      <c r="EF19">
        <f t="shared" si="110"/>
        <v>-27.103014106356106</v>
      </c>
      <c r="EG19">
        <f t="shared" si="110"/>
        <v>26.937276250310042</v>
      </c>
      <c r="EH19">
        <f t="shared" si="110"/>
        <v>-3.792472117759901</v>
      </c>
      <c r="EI19">
        <f t="shared" si="110"/>
        <v>-3.6169849760640695</v>
      </c>
      <c r="EL19">
        <f t="shared" si="108"/>
        <v>-4.462041113586416</v>
      </c>
      <c r="EM19">
        <f t="shared" ref="EM19:GX22" si="111">EM4-EN4</f>
        <v>39.986238174414282</v>
      </c>
      <c r="EN19">
        <f t="shared" si="111"/>
        <v>0.19467881206899956</v>
      </c>
      <c r="EO19">
        <f t="shared" si="111"/>
        <v>-1.3779454745728605</v>
      </c>
      <c r="EP19">
        <f t="shared" si="111"/>
        <v>1.5076134109022998</v>
      </c>
      <c r="EQ19">
        <f t="shared" si="111"/>
        <v>-91.674307343613521</v>
      </c>
      <c r="ER19">
        <f t="shared" si="111"/>
        <v>-12272.266636640017</v>
      </c>
      <c r="ES19">
        <f t="shared" si="111"/>
        <v>11892.706962302993</v>
      </c>
      <c r="ET19">
        <f t="shared" si="111"/>
        <v>391.93857003382266</v>
      </c>
      <c r="EU19">
        <f t="shared" si="111"/>
        <v>39.844352219433361</v>
      </c>
      <c r="EV19">
        <f t="shared" si="111"/>
        <v>-5.2280582281283188</v>
      </c>
      <c r="EW19">
        <f t="shared" si="111"/>
        <v>43.06926917574485</v>
      </c>
      <c r="EX19">
        <f t="shared" si="111"/>
        <v>-824.09617021423674</v>
      </c>
      <c r="EY19">
        <f t="shared" si="111"/>
        <v>545.00375630901203</v>
      </c>
      <c r="EZ19">
        <f t="shared" si="111"/>
        <v>280.18848025940963</v>
      </c>
      <c r="FA19">
        <f t="shared" si="111"/>
        <v>0.58348768100785475</v>
      </c>
      <c r="FB19">
        <f t="shared" si="111"/>
        <v>-9.1724268895293448E-2</v>
      </c>
      <c r="FC19">
        <f t="shared" si="111"/>
        <v>-1010.098105659541</v>
      </c>
      <c r="FD19">
        <f t="shared" si="111"/>
        <v>710.45767043506464</v>
      </c>
      <c r="FE19">
        <f t="shared" si="111"/>
        <v>286.22956582666012</v>
      </c>
      <c r="FF19">
        <f t="shared" si="111"/>
        <v>6.0746385416725301</v>
      </c>
      <c r="FG19">
        <f t="shared" si="111"/>
        <v>-2559.9316390098679</v>
      </c>
      <c r="FH19">
        <f t="shared" si="111"/>
        <v>1912.2916217030079</v>
      </c>
      <c r="FI19">
        <f t="shared" si="111"/>
        <v>583.71355478513442</v>
      </c>
      <c r="FJ19">
        <f t="shared" si="111"/>
        <v>67.418471457969204</v>
      </c>
      <c r="FK19">
        <f t="shared" si="111"/>
        <v>3.178780465071374</v>
      </c>
      <c r="FL19">
        <f t="shared" si="111"/>
        <v>-14.52369026929096</v>
      </c>
      <c r="FM19">
        <f t="shared" si="111"/>
        <v>-116.03526798964275</v>
      </c>
      <c r="FN19">
        <f t="shared" si="111"/>
        <v>131.20397305342317</v>
      </c>
      <c r="FO19">
        <f t="shared" si="111"/>
        <v>-8.9095235331576106</v>
      </c>
      <c r="FP19">
        <f t="shared" si="111"/>
        <v>4.9369667398938617</v>
      </c>
      <c r="FQ19">
        <f t="shared" si="111"/>
        <v>-250.51775918320286</v>
      </c>
      <c r="FR19">
        <f t="shared" si="111"/>
        <v>215.81784320127068</v>
      </c>
      <c r="FS19">
        <f t="shared" si="111"/>
        <v>33.052911301809488</v>
      </c>
      <c r="FT19">
        <f t="shared" si="111"/>
        <v>-281.20828433586433</v>
      </c>
      <c r="FU19">
        <f t="shared" si="111"/>
        <v>286.65764639457302</v>
      </c>
      <c r="FV19">
        <f t="shared" si="111"/>
        <v>0.14481489650415899</v>
      </c>
      <c r="FW19">
        <f t="shared" si="111"/>
        <v>-1.7692404903323643E-2</v>
      </c>
      <c r="FX19">
        <f t="shared" si="111"/>
        <v>-8866.6666666666661</v>
      </c>
      <c r="FY19">
        <f t="shared" si="111"/>
        <v>-22256.410256410258</v>
      </c>
      <c r="FZ19">
        <f t="shared" si="111"/>
        <v>31009.89590374476</v>
      </c>
      <c r="GA19">
        <f t="shared" si="111"/>
        <v>60.317359930235696</v>
      </c>
      <c r="GB19">
        <f t="shared" si="111"/>
        <v>-2.8479510849653806</v>
      </c>
      <c r="GC19">
        <f t="shared" si="111"/>
        <v>54.844319737992706</v>
      </c>
      <c r="GD19">
        <f t="shared" si="111"/>
        <v>-1998.8432736505226</v>
      </c>
      <c r="GE19">
        <f t="shared" si="111"/>
        <v>1611.4752702817743</v>
      </c>
      <c r="GF19">
        <f t="shared" si="111"/>
        <v>386.50631021508343</v>
      </c>
      <c r="GG19">
        <f t="shared" si="111"/>
        <v>2.5878796080851378</v>
      </c>
      <c r="GH19">
        <f t="shared" si="111"/>
        <v>-0.57697866967773492</v>
      </c>
      <c r="GI19">
        <f t="shared" si="111"/>
        <v>-439.17080592473263</v>
      </c>
      <c r="GJ19">
        <f t="shared" si="111"/>
        <v>216.66666666666669</v>
      </c>
      <c r="GK19">
        <f t="shared" si="111"/>
        <v>-62.539682539682531</v>
      </c>
      <c r="GL19">
        <f t="shared" si="111"/>
        <v>272.61023733385542</v>
      </c>
      <c r="GM19">
        <f t="shared" si="111"/>
        <v>-166.73115116934167</v>
      </c>
      <c r="GN19">
        <f t="shared" si="111"/>
        <v>-1266.3758020922639</v>
      </c>
      <c r="GO19">
        <f t="shared" si="111"/>
        <v>1366.6327610774872</v>
      </c>
      <c r="GP19">
        <f t="shared" si="111"/>
        <v>77.60634315425925</v>
      </c>
      <c r="GQ19">
        <f t="shared" si="111"/>
        <v>-1.2497316285390119</v>
      </c>
      <c r="GR19">
        <f t="shared" si="111"/>
        <v>-29.751082282040379</v>
      </c>
      <c r="GS19">
        <f t="shared" si="111"/>
        <v>-8.6046696315120741</v>
      </c>
      <c r="GT19">
        <f t="shared" si="111"/>
        <v>40.820722074653993</v>
      </c>
      <c r="GU19">
        <f t="shared" si="111"/>
        <v>-30.469265160392993</v>
      </c>
      <c r="GV19">
        <f t="shared" si="111"/>
        <v>29.211327607742039</v>
      </c>
      <c r="GW19">
        <f t="shared" si="111"/>
        <v>-241.69167860299996</v>
      </c>
      <c r="GX19">
        <f t="shared" si="111"/>
        <v>234.52344140609981</v>
      </c>
      <c r="GY19">
        <f t="shared" si="101"/>
        <v>-0.34833856352915404</v>
      </c>
      <c r="GZ19">
        <f t="shared" si="101"/>
        <v>-245.55199768407778</v>
      </c>
    </row>
    <row r="20" spans="6:208">
      <c r="F20">
        <f t="shared" si="102"/>
        <v>7.4699335175916939E-5</v>
      </c>
      <c r="G20">
        <f t="shared" ref="G20:AK20" si="112">G5/$B5</f>
        <v>4.9799556783944622E-5</v>
      </c>
      <c r="H20">
        <f t="shared" si="112"/>
        <v>2.4899778391972311E-5</v>
      </c>
      <c r="I20">
        <f t="shared" si="112"/>
        <v>3.2369711909564005E-4</v>
      </c>
      <c r="J20">
        <f t="shared" si="112"/>
        <v>1.7678842658300341E-3</v>
      </c>
      <c r="K20">
        <f t="shared" si="112"/>
        <v>1.6682851522621448E-3</v>
      </c>
      <c r="L20">
        <f t="shared" si="112"/>
        <v>5.6024501381937699E-3</v>
      </c>
      <c r="M20">
        <f t="shared" si="112"/>
        <v>3.4859689748761234E-4</v>
      </c>
      <c r="N20">
        <f t="shared" si="112"/>
        <v>7.4699335175916939E-5</v>
      </c>
      <c r="O20">
        <f t="shared" si="112"/>
        <v>4.8056572296506558E-3</v>
      </c>
      <c r="P20">
        <f t="shared" si="112"/>
        <v>1.2449889195986156E-4</v>
      </c>
      <c r="Q20">
        <f t="shared" si="112"/>
        <v>1.4939867035183388E-4</v>
      </c>
      <c r="R20">
        <f t="shared" si="112"/>
        <v>-2.4899778391972311E-5</v>
      </c>
      <c r="S20">
        <f t="shared" si="112"/>
        <v>8.2169268693508624E-4</v>
      </c>
      <c r="T20">
        <f t="shared" si="112"/>
        <v>1.1453898060307262E-3</v>
      </c>
      <c r="U20">
        <f t="shared" si="112"/>
        <v>1.7429844874380617E-4</v>
      </c>
      <c r="V20">
        <f t="shared" si="112"/>
        <v>-2.4899778391972311E-5</v>
      </c>
      <c r="W20">
        <f t="shared" si="112"/>
        <v>7.9679290854311395E-4</v>
      </c>
      <c r="X20">
        <f t="shared" si="112"/>
        <v>7.1462363984960533E-3</v>
      </c>
      <c r="Y20">
        <f t="shared" si="112"/>
        <v>1.0457906924628371E-3</v>
      </c>
      <c r="Z20">
        <f t="shared" si="112"/>
        <v>6.1004457060332166E-3</v>
      </c>
      <c r="AA20">
        <f t="shared" si="112"/>
        <v>-2.4899778391972311E-5</v>
      </c>
      <c r="AB20">
        <f t="shared" si="112"/>
        <v>1.7429844874380617E-4</v>
      </c>
      <c r="AC20">
        <f t="shared" si="112"/>
        <v>3.610467866835985E-3</v>
      </c>
      <c r="AD20">
        <f t="shared" si="112"/>
        <v>5.5028510246258808E-3</v>
      </c>
      <c r="AE20">
        <f t="shared" si="112"/>
        <v>1.0408107367844427E-2</v>
      </c>
      <c r="AF20">
        <f t="shared" si="112"/>
        <v>5.7269490301536312E-4</v>
      </c>
      <c r="AG20">
        <f t="shared" si="112"/>
        <v>-2.4899778391972311E-5</v>
      </c>
      <c r="AH20">
        <f t="shared" si="112"/>
        <v>1.8575234680411345E-2</v>
      </c>
      <c r="AI20">
        <f t="shared" si="112"/>
        <v>2.4899778391972312E-4</v>
      </c>
      <c r="AJ20">
        <f t="shared" si="112"/>
        <v>2.1911804984935633E-3</v>
      </c>
      <c r="AK20">
        <f t="shared" si="112"/>
        <v>7.6940315231194441E-3</v>
      </c>
      <c r="AL20">
        <f t="shared" si="104"/>
        <v>4.6337055743478058E-5</v>
      </c>
      <c r="AM20">
        <f t="shared" si="98"/>
        <v>0</v>
      </c>
      <c r="AN20">
        <f t="shared" si="98"/>
        <v>0</v>
      </c>
      <c r="AO20">
        <f t="shared" si="98"/>
        <v>0</v>
      </c>
      <c r="AP20">
        <f t="shared" si="98"/>
        <v>3.7069644594782446E-4</v>
      </c>
      <c r="AQ20">
        <f t="shared" si="98"/>
        <v>2.7802233446086835E-4</v>
      </c>
      <c r="AR20">
        <f t="shared" si="98"/>
        <v>2.7802233446086837E-3</v>
      </c>
      <c r="AS20">
        <f t="shared" si="98"/>
        <v>4.1703350169130252E-4</v>
      </c>
      <c r="AT20">
        <f t="shared" si="98"/>
        <v>2.3168527871739029E-5</v>
      </c>
      <c r="AU20">
        <f t="shared" si="98"/>
        <v>1.6913025346369491E-3</v>
      </c>
      <c r="AV20">
        <f t="shared" si="98"/>
        <v>1.1584263935869514E-4</v>
      </c>
      <c r="AW20">
        <f t="shared" si="98"/>
        <v>4.6337055743478058E-5</v>
      </c>
      <c r="AX20">
        <f t="shared" si="98"/>
        <v>-2.3168527871739029E-5</v>
      </c>
      <c r="AY20">
        <f t="shared" si="98"/>
        <v>6.9505583615217086E-5</v>
      </c>
      <c r="AZ20">
        <f t="shared" si="98"/>
        <v>1.621796951021732E-4</v>
      </c>
      <c r="BA20">
        <f t="shared" si="98"/>
        <v>2.3168527871739029E-5</v>
      </c>
      <c r="BB20">
        <f t="shared" si="98"/>
        <v>-2.3168527871739029E-5</v>
      </c>
      <c r="BC20">
        <f t="shared" si="98"/>
        <v>4.6337055743478058E-5</v>
      </c>
      <c r="BD20">
        <f t="shared" si="98"/>
        <v>1.5059543116630368E-3</v>
      </c>
      <c r="BE20">
        <f t="shared" si="98"/>
        <v>2.0851675084565126E-4</v>
      </c>
      <c r="BF20">
        <f t="shared" si="98"/>
        <v>1.2974375608173856E-3</v>
      </c>
      <c r="BG20">
        <f t="shared" si="98"/>
        <v>-2.3168527871739029E-5</v>
      </c>
      <c r="BH20">
        <f t="shared" si="98"/>
        <v>3.243593902043464E-4</v>
      </c>
      <c r="BI20">
        <f t="shared" si="98"/>
        <v>1.4132802001760808E-3</v>
      </c>
      <c r="BJ20">
        <f t="shared" si="98"/>
        <v>2.2473472035586858E-3</v>
      </c>
      <c r="BK20">
        <f t="shared" si="98"/>
        <v>1.2047634493304296E-3</v>
      </c>
      <c r="BL20">
        <f t="shared" si="98"/>
        <v>2.7802233446086835E-4</v>
      </c>
      <c r="BM20">
        <f t="shared" si="98"/>
        <v>-2.3168527871739029E-5</v>
      </c>
      <c r="BN20">
        <f t="shared" si="98"/>
        <v>5.1665817153978034E-3</v>
      </c>
      <c r="BO20">
        <f t="shared" si="98"/>
        <v>2.0851675084565126E-4</v>
      </c>
      <c r="BP20">
        <f t="shared" si="98"/>
        <v>4.1703350169130252E-4</v>
      </c>
      <c r="BQ20">
        <f t="shared" si="98"/>
        <v>3.4984477086325936E-3</v>
      </c>
      <c r="BS20">
        <f>AVERAGE(S2:S15)</f>
        <v>320.78571428571428</v>
      </c>
      <c r="BU20">
        <f t="shared" si="105"/>
        <v>-232.52697667528855</v>
      </c>
      <c r="BW20">
        <f t="shared" si="106"/>
        <v>3.4867424026617746</v>
      </c>
      <c r="BX20">
        <f t="shared" si="106"/>
        <v>4.0291245541869394</v>
      </c>
      <c r="BY20">
        <f t="shared" ref="BY20:EI20" si="113">BY5-BZ5</f>
        <v>7.748316450359502E-2</v>
      </c>
      <c r="BZ20">
        <f t="shared" si="113"/>
        <v>7.7483164503594992E-2</v>
      </c>
      <c r="CA20">
        <f t="shared" si="113"/>
        <v>-0.92979797404314013</v>
      </c>
      <c r="CB20">
        <f t="shared" si="113"/>
        <v>-4.4940235412085103</v>
      </c>
      <c r="CC20">
        <f t="shared" si="113"/>
        <v>0.30993265801437975</v>
      </c>
      <c r="CD20">
        <f t="shared" si="113"/>
        <v>-12.242339991568009</v>
      </c>
      <c r="CE20">
        <f t="shared" si="113"/>
        <v>16.348947710258543</v>
      </c>
      <c r="CF20">
        <f t="shared" si="113"/>
        <v>0.85231480953954497</v>
      </c>
      <c r="CG20">
        <f t="shared" si="113"/>
        <v>-14.721801255683049</v>
      </c>
      <c r="CH20">
        <f t="shared" si="113"/>
        <v>14.56683492667586</v>
      </c>
      <c r="CI20">
        <f t="shared" si="113"/>
        <v>-7.7483164503595048E-2</v>
      </c>
      <c r="CJ20">
        <f t="shared" si="113"/>
        <v>0.542382151525165</v>
      </c>
      <c r="CK20">
        <f t="shared" si="113"/>
        <v>-2.6344275931222301</v>
      </c>
      <c r="CL20">
        <f t="shared" si="113"/>
        <v>-1.0072811385467348</v>
      </c>
      <c r="CM20">
        <f t="shared" si="113"/>
        <v>3.0218434156402045</v>
      </c>
      <c r="CN20">
        <f t="shared" si="113"/>
        <v>0.61986531602875994</v>
      </c>
      <c r="CO20">
        <f t="shared" si="113"/>
        <v>-2.5569444286186349</v>
      </c>
      <c r="CP20">
        <f t="shared" si="113"/>
        <v>-19.758206948416721</v>
      </c>
      <c r="CQ20">
        <f t="shared" si="113"/>
        <v>18.983375303380772</v>
      </c>
      <c r="CR20">
        <f t="shared" si="113"/>
        <v>-15.729082394229781</v>
      </c>
      <c r="CS20">
        <f t="shared" si="113"/>
        <v>19.060858467884366</v>
      </c>
      <c r="CT20">
        <f t="shared" si="113"/>
        <v>-0.61986531602875994</v>
      </c>
      <c r="CU20">
        <f t="shared" si="113"/>
        <v>-10.69267670149611</v>
      </c>
      <c r="CV20">
        <f t="shared" si="113"/>
        <v>-5.8887205022732196</v>
      </c>
      <c r="CW20">
        <f t="shared" si="113"/>
        <v>-15.264183407208215</v>
      </c>
      <c r="CX20">
        <f t="shared" si="113"/>
        <v>30.605849978920023</v>
      </c>
      <c r="CY20">
        <f t="shared" si="113"/>
        <v>1.8595959480862798</v>
      </c>
      <c r="CZ20">
        <f t="shared" si="113"/>
        <v>-57.879923884185466</v>
      </c>
      <c r="DA20">
        <f t="shared" si="113"/>
        <v>57.027609074645916</v>
      </c>
      <c r="DB20">
        <f t="shared" si="113"/>
        <v>-6.04368683128041</v>
      </c>
      <c r="DC20">
        <f t="shared" si="113"/>
        <v>-17.123779355294495</v>
      </c>
      <c r="DD20">
        <f t="shared" si="113"/>
        <v>23.787331502603664</v>
      </c>
      <c r="DE20">
        <f t="shared" si="113"/>
        <v>0.15496632900718998</v>
      </c>
      <c r="DF20">
        <f t="shared" si="113"/>
        <v>0</v>
      </c>
      <c r="DG20">
        <f t="shared" si="113"/>
        <v>0</v>
      </c>
      <c r="DH20">
        <f t="shared" si="113"/>
        <v>-1.2397306320575199</v>
      </c>
      <c r="DI20">
        <f t="shared" si="113"/>
        <v>0.30993265801437986</v>
      </c>
      <c r="DJ20">
        <f t="shared" si="113"/>
        <v>-8.3681817663882594</v>
      </c>
      <c r="DK20">
        <f t="shared" si="113"/>
        <v>7.9032827793666893</v>
      </c>
      <c r="DL20">
        <f t="shared" si="113"/>
        <v>1.317213796561115</v>
      </c>
      <c r="DM20">
        <f t="shared" si="113"/>
        <v>-5.5787878442588399</v>
      </c>
      <c r="DN20">
        <f t="shared" si="113"/>
        <v>5.2688551862444593</v>
      </c>
      <c r="DO20">
        <f t="shared" si="113"/>
        <v>0.23244949351078498</v>
      </c>
      <c r="DP20">
        <f t="shared" si="113"/>
        <v>0.23244949351078498</v>
      </c>
      <c r="DQ20">
        <f t="shared" si="113"/>
        <v>-0.30993265801437997</v>
      </c>
      <c r="DR20">
        <f t="shared" si="113"/>
        <v>-0.30993265801437997</v>
      </c>
      <c r="DS20">
        <f t="shared" si="113"/>
        <v>0.46489898702157001</v>
      </c>
      <c r="DT20">
        <f t="shared" si="113"/>
        <v>0.15496632900718998</v>
      </c>
      <c r="DU20">
        <f t="shared" si="113"/>
        <v>-0.23244949351078498</v>
      </c>
      <c r="DV20">
        <f t="shared" si="113"/>
        <v>-4.8814393637264839</v>
      </c>
      <c r="DW20">
        <f t="shared" si="113"/>
        <v>4.3390572122013191</v>
      </c>
      <c r="DX20">
        <f t="shared" si="113"/>
        <v>-3.6417087316689649</v>
      </c>
      <c r="DY20">
        <f t="shared" si="113"/>
        <v>4.4165403767049147</v>
      </c>
      <c r="DZ20">
        <f t="shared" si="113"/>
        <v>-1.1622474675539249</v>
      </c>
      <c r="EA20">
        <f t="shared" si="113"/>
        <v>-3.6417087316689645</v>
      </c>
      <c r="EB20">
        <f t="shared" si="113"/>
        <v>-2.7893939221294195</v>
      </c>
      <c r="EC20">
        <f t="shared" si="113"/>
        <v>3.4867424026617737</v>
      </c>
      <c r="ED20">
        <f t="shared" si="113"/>
        <v>3.0993265801438001</v>
      </c>
      <c r="EE20">
        <f t="shared" si="113"/>
        <v>1.0072811385467351</v>
      </c>
      <c r="EF20">
        <f t="shared" si="113"/>
        <v>-17.356228848805276</v>
      </c>
      <c r="EG20">
        <f t="shared" si="113"/>
        <v>16.581397203769328</v>
      </c>
      <c r="EH20">
        <f t="shared" si="113"/>
        <v>-0.69734848053235499</v>
      </c>
      <c r="EI20">
        <f t="shared" si="113"/>
        <v>-10.305260878978135</v>
      </c>
      <c r="EL20">
        <f t="shared" si="108"/>
        <v>-0.36723762120157044</v>
      </c>
      <c r="EM20">
        <f t="shared" si="111"/>
        <v>5.2702831889947177</v>
      </c>
      <c r="EN20">
        <f t="shared" si="111"/>
        <v>5.186824477859669E-3</v>
      </c>
      <c r="EO20">
        <f t="shared" si="111"/>
        <v>-5.2102648436465872E-2</v>
      </c>
      <c r="EP20">
        <f t="shared" si="111"/>
        <v>-0.11260249319301768</v>
      </c>
      <c r="EQ20">
        <f t="shared" si="111"/>
        <v>-0.70122954953309091</v>
      </c>
      <c r="ER20">
        <f t="shared" si="111"/>
        <v>-218.40483429043275</v>
      </c>
      <c r="ES20">
        <f t="shared" si="111"/>
        <v>179.50119806958926</v>
      </c>
      <c r="ET20">
        <f t="shared" si="111"/>
        <v>35.721622673965854</v>
      </c>
      <c r="EU20">
        <f t="shared" si="111"/>
        <v>-4.0567433119831344</v>
      </c>
      <c r="EV20">
        <f t="shared" si="111"/>
        <v>6.996191118197296</v>
      </c>
      <c r="EW20">
        <f t="shared" si="111"/>
        <v>1.034612190129806</v>
      </c>
      <c r="EX20">
        <f t="shared" si="111"/>
        <v>-30.824496085187381</v>
      </c>
      <c r="EY20">
        <f t="shared" si="111"/>
        <v>15.486221576380048</v>
      </c>
      <c r="EZ20">
        <f t="shared" si="111"/>
        <v>15.306782247331151</v>
      </c>
      <c r="FA20">
        <f t="shared" si="111"/>
        <v>0.2669478076238041</v>
      </c>
      <c r="FB20">
        <f t="shared" si="111"/>
        <v>-2.250846105056048</v>
      </c>
      <c r="FC20">
        <f t="shared" si="111"/>
        <v>-109.323066868363</v>
      </c>
      <c r="FD20">
        <f t="shared" si="111"/>
        <v>109.23654305920567</v>
      </c>
      <c r="FE20">
        <f t="shared" si="111"/>
        <v>2.2688132684885929</v>
      </c>
      <c r="FF20">
        <f t="shared" si="111"/>
        <v>-2.0589362296994924</v>
      </c>
      <c r="FG20">
        <f t="shared" si="111"/>
        <v>-46.760300167912384</v>
      </c>
      <c r="FH20">
        <f t="shared" si="111"/>
        <v>42.513633408899004</v>
      </c>
      <c r="FI20">
        <f t="shared" si="111"/>
        <v>4.588060288142966</v>
      </c>
      <c r="FJ20">
        <f t="shared" si="111"/>
        <v>1.6599539427250767</v>
      </c>
      <c r="FK20">
        <f t="shared" si="111"/>
        <v>-0.10432468266875382</v>
      </c>
      <c r="FL20">
        <f t="shared" si="111"/>
        <v>-25.427270328887502</v>
      </c>
      <c r="FM20">
        <f t="shared" si="111"/>
        <v>-604.64005362863202</v>
      </c>
      <c r="FN20">
        <f t="shared" si="111"/>
        <v>612.13641234529223</v>
      </c>
      <c r="FO20">
        <f t="shared" si="111"/>
        <v>17.795266284590394</v>
      </c>
      <c r="FP20">
        <f t="shared" si="111"/>
        <v>0.27228568453511881</v>
      </c>
      <c r="FQ20">
        <f t="shared" si="111"/>
        <v>-14.986515306005851</v>
      </c>
      <c r="FR20">
        <f t="shared" si="111"/>
        <v>12.400320068516599</v>
      </c>
      <c r="FS20">
        <f t="shared" si="111"/>
        <v>2.2446997170134511</v>
      </c>
      <c r="FT20">
        <f t="shared" si="111"/>
        <v>-29.082557866189617</v>
      </c>
      <c r="FU20">
        <f t="shared" si="111"/>
        <v>29.320281099826804</v>
      </c>
      <c r="FV20">
        <f t="shared" si="111"/>
        <v>4.2374163866945126E-2</v>
      </c>
      <c r="FW20">
        <f t="shared" si="111"/>
        <v>0</v>
      </c>
      <c r="FX20">
        <f t="shared" si="111"/>
        <v>0</v>
      </c>
      <c r="FY20">
        <f t="shared" si="111"/>
        <v>-1723.0769230769231</v>
      </c>
      <c r="FZ20">
        <f t="shared" si="111"/>
        <v>1717.1718264161148</v>
      </c>
      <c r="GA20">
        <f t="shared" si="111"/>
        <v>-8.2864897558159942</v>
      </c>
      <c r="GB20">
        <f t="shared" si="111"/>
        <v>2.393833607635667</v>
      </c>
      <c r="GC20">
        <f t="shared" si="111"/>
        <v>11.749569989605503</v>
      </c>
      <c r="GD20">
        <f t="shared" si="111"/>
        <v>-73.90261312851834</v>
      </c>
      <c r="GE20">
        <f t="shared" si="111"/>
        <v>15.127266536136887</v>
      </c>
      <c r="GF20">
        <f t="shared" si="111"/>
        <v>58.704289142622386</v>
      </c>
      <c r="GG20">
        <f t="shared" si="111"/>
        <v>0.97813597466379409</v>
      </c>
      <c r="GH20">
        <f t="shared" si="111"/>
        <v>-1.7046468130526846</v>
      </c>
      <c r="GI20">
        <f t="shared" si="111"/>
        <v>-18.598693336913236</v>
      </c>
      <c r="GJ20">
        <f t="shared" si="111"/>
        <v>17.424242424242426</v>
      </c>
      <c r="GK20">
        <f t="shared" si="111"/>
        <v>2.4963924963924966</v>
      </c>
      <c r="GL20">
        <f t="shared" si="111"/>
        <v>-1.7553133633535645</v>
      </c>
      <c r="GM20">
        <f t="shared" si="111"/>
        <v>-3.7939064360613521</v>
      </c>
      <c r="GN20">
        <f t="shared" si="111"/>
        <v>-22.08214309056866</v>
      </c>
      <c r="GO20">
        <f t="shared" si="111"/>
        <v>24.726574433494481</v>
      </c>
      <c r="GP20">
        <f t="shared" si="111"/>
        <v>2.6325012718803258</v>
      </c>
      <c r="GQ20">
        <f t="shared" si="111"/>
        <v>-1.0863886585335303</v>
      </c>
      <c r="GR20">
        <f t="shared" si="111"/>
        <v>-107.63085643736837</v>
      </c>
      <c r="GS20">
        <f t="shared" si="111"/>
        <v>-194.61165819567981</v>
      </c>
      <c r="GT20">
        <f t="shared" si="111"/>
        <v>292.94745211799244</v>
      </c>
      <c r="GU20">
        <f t="shared" si="111"/>
        <v>9.2693415894353794</v>
      </c>
      <c r="GV20">
        <f t="shared" si="111"/>
        <v>1.2622781185711585</v>
      </c>
      <c r="GW20">
        <f t="shared" si="111"/>
        <v>-19.80578522163762</v>
      </c>
      <c r="GX20">
        <f t="shared" si="111"/>
        <v>15.748009691934929</v>
      </c>
      <c r="GY20">
        <f t="shared" si="101"/>
        <v>3.3261529890541364</v>
      </c>
      <c r="GZ20">
        <f t="shared" si="101"/>
        <v>-48.819563551117248</v>
      </c>
    </row>
    <row r="21" spans="6:208">
      <c r="F21">
        <f t="shared" si="102"/>
        <v>8.5880377518293994E-5</v>
      </c>
      <c r="G21">
        <f t="shared" ref="G21:AK21" si="114">G6/$B6</f>
        <v>-2.9613923282170347E-6</v>
      </c>
      <c r="H21">
        <f t="shared" si="114"/>
        <v>1.3326265476976655E-4</v>
      </c>
      <c r="I21">
        <f t="shared" si="114"/>
        <v>1.4747733794520832E-3</v>
      </c>
      <c r="J21">
        <f t="shared" si="114"/>
        <v>3.4825973779832324E-3</v>
      </c>
      <c r="K21">
        <f t="shared" si="114"/>
        <v>2.5319904406255647E-3</v>
      </c>
      <c r="L21">
        <f t="shared" si="114"/>
        <v>1.2645145241486737E-3</v>
      </c>
      <c r="M21">
        <f t="shared" si="114"/>
        <v>1.4747733794520832E-3</v>
      </c>
      <c r="N21">
        <f t="shared" si="114"/>
        <v>1.0068733915937918E-4</v>
      </c>
      <c r="O21">
        <f t="shared" si="114"/>
        <v>5.0669422735793463E-3</v>
      </c>
      <c r="P21">
        <f t="shared" si="114"/>
        <v>1.1845569312868138E-4</v>
      </c>
      <c r="Q21">
        <f t="shared" si="114"/>
        <v>2.6356391721131609E-4</v>
      </c>
      <c r="R21">
        <f t="shared" si="114"/>
        <v>2.9613923282170347E-6</v>
      </c>
      <c r="S21">
        <f t="shared" si="114"/>
        <v>5.5378036537658546E-4</v>
      </c>
      <c r="T21">
        <f t="shared" si="114"/>
        <v>5.6266454236123659E-4</v>
      </c>
      <c r="U21">
        <f t="shared" si="114"/>
        <v>4.0985669822523755E-3</v>
      </c>
      <c r="V21">
        <f t="shared" si="114"/>
        <v>8.8841769846511032E-6</v>
      </c>
      <c r="W21">
        <f t="shared" si="114"/>
        <v>1.5695379339550282E-4</v>
      </c>
      <c r="X21">
        <f t="shared" si="114"/>
        <v>8.0520257404221168E-3</v>
      </c>
      <c r="Y21">
        <f t="shared" si="114"/>
        <v>1.7442600813198333E-3</v>
      </c>
      <c r="Z21">
        <f t="shared" si="114"/>
        <v>6.2988814821176324E-3</v>
      </c>
      <c r="AA21">
        <f t="shared" si="114"/>
        <v>5.9227846564340693E-6</v>
      </c>
      <c r="AB21">
        <f t="shared" si="114"/>
        <v>3.5536707938604413E-5</v>
      </c>
      <c r="AC21">
        <f t="shared" si="114"/>
        <v>1.8567929897920807E-3</v>
      </c>
      <c r="AD21">
        <f t="shared" si="114"/>
        <v>5.9227846564340693E-6</v>
      </c>
      <c r="AE21">
        <f t="shared" si="114"/>
        <v>8.8841769846511032E-6</v>
      </c>
      <c r="AF21">
        <f t="shared" si="114"/>
        <v>1.5103100873906875E-3</v>
      </c>
      <c r="AG21">
        <f t="shared" si="114"/>
        <v>7.9957592861859927E-5</v>
      </c>
      <c r="AH21">
        <f t="shared" si="114"/>
        <v>6.9030055170739074E-3</v>
      </c>
      <c r="AI21">
        <f t="shared" si="114"/>
        <v>7.9957592861859927E-5</v>
      </c>
      <c r="AJ21">
        <f t="shared" si="114"/>
        <v>5.1765137897233767E-3</v>
      </c>
      <c r="AK21">
        <f t="shared" si="114"/>
        <v>5.3719656833857007E-3</v>
      </c>
      <c r="AL21">
        <f t="shared" si="104"/>
        <v>1.0635525846986689E-5</v>
      </c>
      <c r="AM21">
        <f t="shared" si="98"/>
        <v>-2.6588814617466723E-6</v>
      </c>
      <c r="AN21">
        <f t="shared" si="98"/>
        <v>0</v>
      </c>
      <c r="AO21">
        <f t="shared" si="98"/>
        <v>1.3826183601082695E-4</v>
      </c>
      <c r="AP21">
        <f t="shared" si="98"/>
        <v>1.4889736185781366E-3</v>
      </c>
      <c r="AQ21">
        <f t="shared" si="98"/>
        <v>1.7548617647528039E-4</v>
      </c>
      <c r="AR21">
        <f t="shared" si="98"/>
        <v>2.1536939840148046E-4</v>
      </c>
      <c r="AS21">
        <f t="shared" si="98"/>
        <v>1.9143946524576041E-4</v>
      </c>
      <c r="AT21">
        <f t="shared" si="98"/>
        <v>1.0635525846986689E-5</v>
      </c>
      <c r="AU21">
        <f t="shared" si="98"/>
        <v>1.0582348217751756E-3</v>
      </c>
      <c r="AV21">
        <f t="shared" si="98"/>
        <v>3.4565459002706739E-5</v>
      </c>
      <c r="AW21">
        <f t="shared" si="98"/>
        <v>1.2230854724034693E-4</v>
      </c>
      <c r="AX21">
        <f t="shared" si="98"/>
        <v>1.3294407308733362E-5</v>
      </c>
      <c r="AY21">
        <f t="shared" si="98"/>
        <v>5.583651069668012E-5</v>
      </c>
      <c r="AZ21">
        <f t="shared" si="98"/>
        <v>1.54215124781307E-4</v>
      </c>
      <c r="BA21">
        <f t="shared" si="98"/>
        <v>1.8080393939877372E-4</v>
      </c>
      <c r="BB21">
        <f t="shared" si="98"/>
        <v>7.9766443852400165E-6</v>
      </c>
      <c r="BC21">
        <f t="shared" si="98"/>
        <v>0</v>
      </c>
      <c r="BD21">
        <f t="shared" si="98"/>
        <v>5.1316412211710775E-4</v>
      </c>
      <c r="BE21">
        <f t="shared" si="98"/>
        <v>1.249674287020936E-4</v>
      </c>
      <c r="BF21">
        <f t="shared" si="98"/>
        <v>3.8819669341501415E-4</v>
      </c>
      <c r="BG21">
        <f t="shared" si="98"/>
        <v>0</v>
      </c>
      <c r="BH21">
        <f t="shared" si="98"/>
        <v>1.3294407308733362E-5</v>
      </c>
      <c r="BI21">
        <f t="shared" si="98"/>
        <v>4.9986971480837439E-4</v>
      </c>
      <c r="BJ21">
        <f t="shared" si="98"/>
        <v>0</v>
      </c>
      <c r="BK21">
        <f t="shared" si="98"/>
        <v>2.6588814617466723E-6</v>
      </c>
      <c r="BL21">
        <f t="shared" si="98"/>
        <v>7.6841674244478833E-4</v>
      </c>
      <c r="BM21">
        <f t="shared" si="98"/>
        <v>1.5953288770480033E-5</v>
      </c>
      <c r="BN21">
        <f t="shared" si="98"/>
        <v>8.6679535652941521E-4</v>
      </c>
      <c r="BO21">
        <f t="shared" si="98"/>
        <v>2.3929933155720051E-5</v>
      </c>
      <c r="BP21">
        <f t="shared" si="98"/>
        <v>1.6378709804359501E-3</v>
      </c>
      <c r="BQ21">
        <f t="shared" si="98"/>
        <v>5.92930565969508E-4</v>
      </c>
      <c r="BS21">
        <f>AVERAGE(T2:T15)</f>
        <v>1153.7857142857142</v>
      </c>
      <c r="BU21">
        <f t="shared" si="105"/>
        <v>-352.99032702204977</v>
      </c>
      <c r="BW21">
        <f t="shared" si="106"/>
        <v>12.973329387936545</v>
      </c>
      <c r="BX21">
        <f t="shared" si="106"/>
        <v>7.3503282651198543</v>
      </c>
      <c r="BY21">
        <f t="shared" ref="BY21:EI21" si="115">BY6-BZ6</f>
        <v>0.27563730994199453</v>
      </c>
      <c r="BZ21">
        <f t="shared" si="115"/>
        <v>-0.42264387524439168</v>
      </c>
      <c r="CA21">
        <f t="shared" si="115"/>
        <v>-4.1621233801241173</v>
      </c>
      <c r="CB21">
        <f t="shared" si="115"/>
        <v>-6.2294032046890777</v>
      </c>
      <c r="CC21">
        <f t="shared" si="115"/>
        <v>2.949319216379342</v>
      </c>
      <c r="CD21">
        <f t="shared" si="115"/>
        <v>3.9324256218391227</v>
      </c>
      <c r="CE21">
        <f t="shared" si="115"/>
        <v>-0.65234163352938701</v>
      </c>
      <c r="CF21">
        <f t="shared" si="115"/>
        <v>4.2631903937695155</v>
      </c>
      <c r="CG21">
        <f t="shared" si="115"/>
        <v>-15.408125625757497</v>
      </c>
      <c r="CH21">
        <f t="shared" si="115"/>
        <v>15.352998163769097</v>
      </c>
      <c r="CI21">
        <f t="shared" si="115"/>
        <v>-0.45020760623859124</v>
      </c>
      <c r="CJ21">
        <f t="shared" si="115"/>
        <v>0.80853610916318408</v>
      </c>
      <c r="CK21">
        <f t="shared" si="115"/>
        <v>-1.7089513216403664</v>
      </c>
      <c r="CL21">
        <f t="shared" si="115"/>
        <v>-2.7563730994199398E-2</v>
      </c>
      <c r="CM21">
        <f t="shared" si="115"/>
        <v>-10.970364935691382</v>
      </c>
      <c r="CN21">
        <f t="shared" si="115"/>
        <v>12.688504167663149</v>
      </c>
      <c r="CO21">
        <f t="shared" si="115"/>
        <v>-0.45939551656999095</v>
      </c>
      <c r="CP21">
        <f t="shared" si="115"/>
        <v>-24.494968943511918</v>
      </c>
      <c r="CQ21">
        <f t="shared" si="115"/>
        <v>19.570249005881614</v>
      </c>
      <c r="CR21">
        <f t="shared" si="115"/>
        <v>-14.131006089692921</v>
      </c>
      <c r="CS21">
        <f t="shared" si="115"/>
        <v>19.524309454224614</v>
      </c>
      <c r="CT21">
        <f t="shared" si="115"/>
        <v>-9.1879103313998192E-2</v>
      </c>
      <c r="CU21">
        <f t="shared" si="115"/>
        <v>-5.6505648538108888</v>
      </c>
      <c r="CV21">
        <f t="shared" si="115"/>
        <v>5.7424439571248866</v>
      </c>
      <c r="CW21">
        <f t="shared" si="115"/>
        <v>-9.1879103313998178E-3</v>
      </c>
      <c r="CX21">
        <f t="shared" si="115"/>
        <v>-4.6582705380197087</v>
      </c>
      <c r="CY21">
        <f t="shared" si="115"/>
        <v>4.4377606900661126</v>
      </c>
      <c r="CZ21">
        <f t="shared" si="115"/>
        <v>-21.16894540354518</v>
      </c>
      <c r="DA21">
        <f t="shared" si="115"/>
        <v>21.16894540354518</v>
      </c>
      <c r="DB21">
        <f t="shared" si="115"/>
        <v>-15.81239368033909</v>
      </c>
      <c r="DC21">
        <f t="shared" si="115"/>
        <v>-0.60640208187238542</v>
      </c>
      <c r="DD21">
        <f t="shared" si="115"/>
        <v>16.630117699833672</v>
      </c>
      <c r="DE21">
        <f t="shared" si="115"/>
        <v>4.5939551656999096E-2</v>
      </c>
      <c r="DF21">
        <f t="shared" si="115"/>
        <v>-9.1879103313998196E-3</v>
      </c>
      <c r="DG21">
        <f t="shared" si="115"/>
        <v>-0.47777133723279058</v>
      </c>
      <c r="DH21">
        <f t="shared" si="115"/>
        <v>-4.6674584483511072</v>
      </c>
      <c r="DI21">
        <f t="shared" si="115"/>
        <v>4.5388277037115099</v>
      </c>
      <c r="DJ21">
        <f t="shared" si="115"/>
        <v>-0.13781865497099732</v>
      </c>
      <c r="DK21">
        <f t="shared" si="115"/>
        <v>8.2691192982598305E-2</v>
      </c>
      <c r="DL21">
        <f t="shared" si="115"/>
        <v>0.62477790253518772</v>
      </c>
      <c r="DM21">
        <f t="shared" si="115"/>
        <v>-3.6200366705715283</v>
      </c>
      <c r="DN21">
        <f t="shared" si="115"/>
        <v>3.5373454775889304</v>
      </c>
      <c r="DO21">
        <f t="shared" si="115"/>
        <v>-0.30320104093619404</v>
      </c>
      <c r="DP21">
        <f t="shared" si="115"/>
        <v>0.37670432358739259</v>
      </c>
      <c r="DQ21">
        <f t="shared" si="115"/>
        <v>-0.14700656530239709</v>
      </c>
      <c r="DR21">
        <f t="shared" si="115"/>
        <v>-0.33995268226179326</v>
      </c>
      <c r="DS21">
        <f t="shared" si="115"/>
        <v>-9.1879103313998289E-2</v>
      </c>
      <c r="DT21">
        <f t="shared" si="115"/>
        <v>0.59721417154098821</v>
      </c>
      <c r="DU21">
        <f t="shared" si="115"/>
        <v>2.7563730994199457E-2</v>
      </c>
      <c r="DV21">
        <f t="shared" si="115"/>
        <v>-1.7732666939601651</v>
      </c>
      <c r="DW21">
        <f t="shared" si="115"/>
        <v>1.3414349083843737</v>
      </c>
      <c r="DX21">
        <f t="shared" si="115"/>
        <v>-0.90960312280858213</v>
      </c>
      <c r="DY21">
        <f t="shared" si="115"/>
        <v>1.3414349083843735</v>
      </c>
      <c r="DZ21">
        <f t="shared" si="115"/>
        <v>-4.5939551656999089E-2</v>
      </c>
      <c r="EA21">
        <f t="shared" si="115"/>
        <v>-1.6813875906461666</v>
      </c>
      <c r="EB21">
        <f t="shared" si="115"/>
        <v>1.7273271423031658</v>
      </c>
      <c r="EC21">
        <f t="shared" si="115"/>
        <v>-9.1879103313998196E-3</v>
      </c>
      <c r="ED21">
        <f t="shared" si="115"/>
        <v>-2.6461181754431475</v>
      </c>
      <c r="EE21">
        <f t="shared" si="115"/>
        <v>2.6001786237861486</v>
      </c>
      <c r="EF21">
        <f t="shared" si="115"/>
        <v>-2.9401313060479422</v>
      </c>
      <c r="EG21">
        <f t="shared" si="115"/>
        <v>2.9125675750537425</v>
      </c>
      <c r="EH21">
        <f t="shared" si="115"/>
        <v>-5.5770615711596898</v>
      </c>
      <c r="EI21">
        <f t="shared" si="115"/>
        <v>3.6108487602401289</v>
      </c>
      <c r="EL21">
        <f t="shared" si="108"/>
        <v>-4.7014002562289647</v>
      </c>
      <c r="EM21">
        <f t="shared" si="111"/>
        <v>45.765466503771023</v>
      </c>
      <c r="EN21">
        <f t="shared" si="111"/>
        <v>0.16275102583861897</v>
      </c>
      <c r="EO21">
        <f t="shared" si="111"/>
        <v>-0.46938747240990464</v>
      </c>
      <c r="EP21">
        <f t="shared" si="111"/>
        <v>0.65046260245324217</v>
      </c>
      <c r="EQ21">
        <f t="shared" si="111"/>
        <v>-39.337858745482677</v>
      </c>
      <c r="ER21">
        <f t="shared" si="111"/>
        <v>-8360.7476635514013</v>
      </c>
      <c r="ES21">
        <f t="shared" si="111"/>
        <v>7741.1764705882351</v>
      </c>
      <c r="ET21">
        <f t="shared" si="111"/>
        <v>607.08597754454468</v>
      </c>
      <c r="EU21">
        <f t="shared" si="111"/>
        <v>36.344617476448462</v>
      </c>
      <c r="EV21">
        <f t="shared" si="111"/>
        <v>-24.263512910292203</v>
      </c>
      <c r="EW21">
        <f t="shared" si="111"/>
        <v>38.747200104257473</v>
      </c>
      <c r="EX21">
        <f t="shared" si="111"/>
        <v>-273.06993614987113</v>
      </c>
      <c r="EY21">
        <f t="shared" si="111"/>
        <v>150.63116572553196</v>
      </c>
      <c r="EZ21">
        <f t="shared" si="111"/>
        <v>121.69083828401709</v>
      </c>
      <c r="FA21">
        <f t="shared" si="111"/>
        <v>1.501951484816479</v>
      </c>
      <c r="FB21">
        <f t="shared" si="111"/>
        <v>-11.719942246572366</v>
      </c>
      <c r="FC21">
        <f t="shared" si="111"/>
        <v>-448.33244235786321</v>
      </c>
      <c r="FD21">
        <f t="shared" si="111"/>
        <v>28.766953360777677</v>
      </c>
      <c r="FE21">
        <f t="shared" si="111"/>
        <v>431.18064547620867</v>
      </c>
      <c r="FF21">
        <f t="shared" si="111"/>
        <v>-3.0065503247690106</v>
      </c>
      <c r="FG21">
        <f t="shared" si="111"/>
        <v>-458.41930627984834</v>
      </c>
      <c r="FH21">
        <f t="shared" si="111"/>
        <v>374.47275547028005</v>
      </c>
      <c r="FI21">
        <f t="shared" si="111"/>
        <v>73.054487538989733</v>
      </c>
      <c r="FJ21">
        <f t="shared" si="111"/>
        <v>14.100462317624254</v>
      </c>
      <c r="FK21">
        <f t="shared" si="111"/>
        <v>-7.0821789246894196E-2</v>
      </c>
      <c r="FL21">
        <f t="shared" si="111"/>
        <v>-110.14739522281647</v>
      </c>
      <c r="FM21">
        <f t="shared" si="111"/>
        <v>104.5737342517066</v>
      </c>
      <c r="FN21">
        <f t="shared" si="111"/>
        <v>5.573416888610371</v>
      </c>
      <c r="FO21">
        <f t="shared" si="111"/>
        <v>-4.5469716828283318</v>
      </c>
      <c r="FP21">
        <f t="shared" si="111"/>
        <v>3.0184531318240344</v>
      </c>
      <c r="FQ21">
        <f t="shared" si="111"/>
        <v>-44.978240161873082</v>
      </c>
      <c r="FR21">
        <f t="shared" si="111"/>
        <v>39.819037272910677</v>
      </c>
      <c r="FS21">
        <f t="shared" si="111"/>
        <v>1.2531993587744878</v>
      </c>
      <c r="FT21">
        <f t="shared" si="111"/>
        <v>-166.81118775909306</v>
      </c>
      <c r="FU21">
        <f t="shared" si="111"/>
        <v>172.29019228178217</v>
      </c>
      <c r="FV21">
        <f t="shared" si="111"/>
        <v>0.1024407326372139</v>
      </c>
      <c r="FW21">
        <f t="shared" si="111"/>
        <v>-1.7692404903323643E-2</v>
      </c>
      <c r="FX21">
        <f t="shared" si="111"/>
        <v>-4044.4444444444443</v>
      </c>
      <c r="FY21">
        <f t="shared" si="111"/>
        <v>-56263.247863247867</v>
      </c>
      <c r="FZ21">
        <f t="shared" si="111"/>
        <v>60275.214276057864</v>
      </c>
      <c r="GA21">
        <f t="shared" si="111"/>
        <v>22.898710803224908</v>
      </c>
      <c r="GB21">
        <f t="shared" si="111"/>
        <v>-37.611690404733565</v>
      </c>
      <c r="GC21">
        <f t="shared" si="111"/>
        <v>46.99827995842201</v>
      </c>
      <c r="GD21">
        <f t="shared" si="111"/>
        <v>-402.99106032883458</v>
      </c>
      <c r="GE21">
        <f t="shared" si="111"/>
        <v>250.24261513577937</v>
      </c>
      <c r="GF21">
        <f t="shared" si="111"/>
        <v>150.19865028031484</v>
      </c>
      <c r="GG21">
        <f t="shared" si="111"/>
        <v>-1.5519523373339612</v>
      </c>
      <c r="GH21">
        <f t="shared" si="111"/>
        <v>-1.625779225111124</v>
      </c>
      <c r="GI21">
        <f t="shared" si="111"/>
        <v>-155.19085335839262</v>
      </c>
      <c r="GJ21">
        <f t="shared" si="111"/>
        <v>23.737373737373758</v>
      </c>
      <c r="GK21">
        <f t="shared" si="111"/>
        <v>135.94516594516594</v>
      </c>
      <c r="GL21">
        <f t="shared" si="111"/>
        <v>1.4285714285714286</v>
      </c>
      <c r="GM21">
        <f t="shared" si="111"/>
        <v>-15.062994759727951</v>
      </c>
      <c r="GN21">
        <f t="shared" si="111"/>
        <v>-126.74735006785824</v>
      </c>
      <c r="GO21">
        <f t="shared" si="111"/>
        <v>135.47864295037908</v>
      </c>
      <c r="GP21">
        <f t="shared" si="111"/>
        <v>6.331701877207113</v>
      </c>
      <c r="GQ21">
        <f t="shared" si="111"/>
        <v>-0.31517334533993702</v>
      </c>
      <c r="GR21">
        <f t="shared" si="111"/>
        <v>-334.11938828108953</v>
      </c>
      <c r="GS21">
        <f t="shared" si="111"/>
        <v>334.43456162642946</v>
      </c>
      <c r="GT21">
        <f t="shared" si="111"/>
        <v>-0.19572207465399133</v>
      </c>
      <c r="GU21">
        <f t="shared" si="111"/>
        <v>-21.67691280479244</v>
      </c>
      <c r="GV21">
        <f t="shared" si="111"/>
        <v>19.7482039234525</v>
      </c>
      <c r="GW21">
        <f t="shared" si="111"/>
        <v>-26.311706115657159</v>
      </c>
      <c r="GX21">
        <f t="shared" si="111"/>
        <v>24.732433367947387</v>
      </c>
      <c r="GY21">
        <f t="shared" si="101"/>
        <v>-9.2169207531925892</v>
      </c>
      <c r="GZ21">
        <f t="shared" si="101"/>
        <v>-59.734716478640124</v>
      </c>
    </row>
    <row r="22" spans="6:208">
      <c r="F22">
        <f t="shared" si="102"/>
        <v>3.3619842931428026E-4</v>
      </c>
      <c r="G22">
        <f t="shared" ref="G22:AK22" si="116">G7/$B7</f>
        <v>1.6670996494922987E-5</v>
      </c>
      <c r="H22">
        <f t="shared" si="116"/>
        <v>4.4178140711545916E-4</v>
      </c>
      <c r="I22">
        <f t="shared" si="116"/>
        <v>3.710685969828275E-3</v>
      </c>
      <c r="J22">
        <f t="shared" si="116"/>
        <v>4.6025842823066545E-3</v>
      </c>
      <c r="K22">
        <f t="shared" si="116"/>
        <v>2.2047392864535651E-3</v>
      </c>
      <c r="L22">
        <f t="shared" si="116"/>
        <v>6.2821871791701456E-3</v>
      </c>
      <c r="M22">
        <f t="shared" si="116"/>
        <v>1.17252675347625E-3</v>
      </c>
      <c r="N22">
        <f t="shared" si="116"/>
        <v>8.7522731598345686E-5</v>
      </c>
      <c r="O22">
        <f t="shared" si="116"/>
        <v>5.4528051035477266E-3</v>
      </c>
      <c r="P22">
        <f t="shared" si="116"/>
        <v>1.3614647137520441E-4</v>
      </c>
      <c r="Q22">
        <f t="shared" si="116"/>
        <v>5.7514937907484308E-4</v>
      </c>
      <c r="R22">
        <f t="shared" si="116"/>
        <v>1.3753572108311465E-4</v>
      </c>
      <c r="S22">
        <f t="shared" si="116"/>
        <v>7.6408733935063688E-5</v>
      </c>
      <c r="T22">
        <f t="shared" si="116"/>
        <v>6.0015587381722756E-4</v>
      </c>
      <c r="U22">
        <f t="shared" si="116"/>
        <v>1.8588161091839131E-3</v>
      </c>
      <c r="V22">
        <f t="shared" si="116"/>
        <v>3.9593616675442093E-4</v>
      </c>
      <c r="W22">
        <f t="shared" si="116"/>
        <v>6.97403353370945E-4</v>
      </c>
      <c r="X22">
        <f t="shared" si="116"/>
        <v>2.1882072149294329E-2</v>
      </c>
      <c r="Y22">
        <f t="shared" si="116"/>
        <v>1.0477721297059097E-2</v>
      </c>
      <c r="Z22">
        <f t="shared" si="116"/>
        <v>1.1404350852235233E-2</v>
      </c>
      <c r="AA22">
        <f t="shared" si="116"/>
        <v>1.222539742961019E-4</v>
      </c>
      <c r="AB22">
        <f t="shared" si="116"/>
        <v>2.2227995326563982E-5</v>
      </c>
      <c r="AC22">
        <f t="shared" si="116"/>
        <v>5.3666716216572916E-3</v>
      </c>
      <c r="AD22">
        <f t="shared" si="116"/>
        <v>6.8351085629184247E-4</v>
      </c>
      <c r="AE22">
        <f t="shared" si="116"/>
        <v>4.1538566266516444E-4</v>
      </c>
      <c r="AF22">
        <f t="shared" si="116"/>
        <v>4.4761625588868219E-3</v>
      </c>
      <c r="AG22">
        <f t="shared" si="116"/>
        <v>5.4041813637708679E-4</v>
      </c>
      <c r="AH22">
        <f t="shared" si="116"/>
        <v>1.8199171173624261E-2</v>
      </c>
      <c r="AI22">
        <f t="shared" si="116"/>
        <v>1.6268114079629015E-2</v>
      </c>
      <c r="AJ22">
        <f t="shared" si="116"/>
        <v>9.0912500885646681E-3</v>
      </c>
      <c r="AK22">
        <f t="shared" si="116"/>
        <v>9.7469759506983063E-3</v>
      </c>
      <c r="AL22">
        <f t="shared" si="104"/>
        <v>1.9846364332114021E-5</v>
      </c>
      <c r="AM22">
        <f t="shared" si="98"/>
        <v>0</v>
      </c>
      <c r="AN22">
        <f t="shared" si="98"/>
        <v>0</v>
      </c>
      <c r="AO22">
        <f t="shared" si="98"/>
        <v>5.3089024588405011E-4</v>
      </c>
      <c r="AP22">
        <f t="shared" si="98"/>
        <v>1.8531542695111468E-3</v>
      </c>
      <c r="AQ22">
        <f t="shared" si="98"/>
        <v>2.2575239427779701E-4</v>
      </c>
      <c r="AR22">
        <f t="shared" si="98"/>
        <v>3.288294490277142E-3</v>
      </c>
      <c r="AS22">
        <f t="shared" si="98"/>
        <v>1.4636693694934091E-4</v>
      </c>
      <c r="AT22">
        <f t="shared" si="98"/>
        <v>3.5971535351956666E-5</v>
      </c>
      <c r="AU22">
        <f t="shared" si="98"/>
        <v>1.343350785729968E-3</v>
      </c>
      <c r="AV22">
        <f t="shared" si="98"/>
        <v>3.4731137581199542E-5</v>
      </c>
      <c r="AW22">
        <f t="shared" si="98"/>
        <v>2.5924313408823941E-4</v>
      </c>
      <c r="AX22">
        <f t="shared" si="98"/>
        <v>9.9231821660570108E-5</v>
      </c>
      <c r="AY22">
        <f t="shared" si="98"/>
        <v>1.4884773249085516E-5</v>
      </c>
      <c r="AZ22">
        <f t="shared" si="98"/>
        <v>1.1163579936814138E-4</v>
      </c>
      <c r="BA22">
        <f t="shared" si="98"/>
        <v>2.3195438313158265E-4</v>
      </c>
      <c r="BB22">
        <f t="shared" si="98"/>
        <v>1.2031858376344126E-3</v>
      </c>
      <c r="BC22">
        <f t="shared" si="98"/>
        <v>1.8605966561356894E-5</v>
      </c>
      <c r="BD22">
        <f t="shared" si="98"/>
        <v>2.658172422732522E-3</v>
      </c>
      <c r="BE22">
        <f t="shared" si="98"/>
        <v>1.0506169118312861E-3</v>
      </c>
      <c r="BF22">
        <f t="shared" si="98"/>
        <v>1.6075555109012359E-3</v>
      </c>
      <c r="BG22">
        <f t="shared" si="98"/>
        <v>1.9846364332114021E-5</v>
      </c>
      <c r="BH22">
        <f t="shared" si="98"/>
        <v>4.2173524205742295E-5</v>
      </c>
      <c r="BI22">
        <f t="shared" si="98"/>
        <v>1.0270493541869007E-3</v>
      </c>
      <c r="BJ22">
        <f t="shared" si="98"/>
        <v>1.5629011911539792E-4</v>
      </c>
      <c r="BK22">
        <f t="shared" si="98"/>
        <v>5.3337104142556437E-5</v>
      </c>
      <c r="BL22">
        <f t="shared" si="98"/>
        <v>1.2937348748996828E-3</v>
      </c>
      <c r="BM22">
        <f t="shared" si="98"/>
        <v>4.3413921976499425E-5</v>
      </c>
      <c r="BN22">
        <f t="shared" si="98"/>
        <v>2.9360215233821181E-3</v>
      </c>
      <c r="BO22">
        <f t="shared" si="98"/>
        <v>3.8067807584536207E-3</v>
      </c>
      <c r="BP22">
        <f t="shared" si="98"/>
        <v>2.4038908797273111E-3</v>
      </c>
      <c r="BQ22">
        <f t="shared" si="98"/>
        <v>3.6963853568562368E-3</v>
      </c>
      <c r="BS22">
        <f>AVERAGE(U2:U15)</f>
        <v>1622.5</v>
      </c>
      <c r="BU22">
        <f t="shared" si="105"/>
        <v>-354.70305340376808</v>
      </c>
      <c r="BW22">
        <f t="shared" si="106"/>
        <v>13.682224750420895</v>
      </c>
      <c r="BX22">
        <f t="shared" si="106"/>
        <v>5.8473853675268179</v>
      </c>
      <c r="BY22">
        <f t="shared" ref="BY22:EI22" si="117">BY7-BZ7</f>
        <v>0.94445128829435976</v>
      </c>
      <c r="BZ22">
        <f t="shared" si="117"/>
        <v>-1.2565308444264089</v>
      </c>
      <c r="CA22">
        <f t="shared" si="117"/>
        <v>-9.6621473102462083</v>
      </c>
      <c r="CB22">
        <f t="shared" si="117"/>
        <v>-2.6362509873259938</v>
      </c>
      <c r="CC22">
        <f t="shared" si="117"/>
        <v>7.087490972156802</v>
      </c>
      <c r="CD22">
        <f t="shared" si="117"/>
        <v>-12.052019700625848</v>
      </c>
      <c r="CE22">
        <f t="shared" si="117"/>
        <v>15.103007992811541</v>
      </c>
      <c r="CF22">
        <f t="shared" si="117"/>
        <v>3.2070280702517167</v>
      </c>
      <c r="CG22">
        <f t="shared" si="117"/>
        <v>-15.858569023447032</v>
      </c>
      <c r="CH22">
        <f t="shared" si="117"/>
        <v>15.714848175228324</v>
      </c>
      <c r="CI22">
        <f t="shared" si="117"/>
        <v>-1.2975939439174677</v>
      </c>
      <c r="CJ22">
        <f t="shared" si="117"/>
        <v>1.2934876339683619</v>
      </c>
      <c r="CK22">
        <f t="shared" si="117"/>
        <v>0.18067763776066006</v>
      </c>
      <c r="CL22">
        <f t="shared" si="117"/>
        <v>-1.5480788508129286</v>
      </c>
      <c r="CM22">
        <f t="shared" si="117"/>
        <v>-3.7203168138899554</v>
      </c>
      <c r="CN22">
        <f t="shared" si="117"/>
        <v>4.3239443764085248</v>
      </c>
      <c r="CO22">
        <f t="shared" si="117"/>
        <v>-0.89106925895598277</v>
      </c>
      <c r="CP22">
        <f t="shared" si="117"/>
        <v>-62.617120413916041</v>
      </c>
      <c r="CQ22">
        <f t="shared" si="117"/>
        <v>33.708698372210421</v>
      </c>
      <c r="CR22">
        <f t="shared" si="117"/>
        <v>-2.7389087360536415</v>
      </c>
      <c r="CS22">
        <f t="shared" si="117"/>
        <v>33.347343096689109</v>
      </c>
      <c r="CT22">
        <f t="shared" si="117"/>
        <v>0.29565431633562561</v>
      </c>
      <c r="CU22">
        <f t="shared" si="117"/>
        <v>-15.796974374210443</v>
      </c>
      <c r="CV22">
        <f t="shared" si="117"/>
        <v>13.842370838436029</v>
      </c>
      <c r="CW22">
        <f t="shared" si="117"/>
        <v>0.79251782017744077</v>
      </c>
      <c r="CX22">
        <f t="shared" si="117"/>
        <v>-12.002743981236579</v>
      </c>
      <c r="CY22">
        <f t="shared" si="117"/>
        <v>11.633176085817047</v>
      </c>
      <c r="CZ22">
        <f t="shared" si="117"/>
        <v>-52.195305763085237</v>
      </c>
      <c r="DA22">
        <f t="shared" si="117"/>
        <v>5.707770829257214</v>
      </c>
      <c r="DB22">
        <f t="shared" si="117"/>
        <v>21.213197197081136</v>
      </c>
      <c r="DC22">
        <f t="shared" si="117"/>
        <v>-1.9381782959779876</v>
      </c>
      <c r="DD22">
        <f t="shared" si="117"/>
        <v>28.74416964374138</v>
      </c>
      <c r="DE22">
        <f t="shared" si="117"/>
        <v>6.5700959185694574E-2</v>
      </c>
      <c r="DF22">
        <f t="shared" si="117"/>
        <v>0</v>
      </c>
      <c r="DG22">
        <f t="shared" si="117"/>
        <v>-1.75750065821733</v>
      </c>
      <c r="DH22">
        <f t="shared" si="117"/>
        <v>-4.3773264057469019</v>
      </c>
      <c r="DI22">
        <f t="shared" si="117"/>
        <v>5.3874786532269558</v>
      </c>
      <c r="DJ22">
        <f t="shared" si="117"/>
        <v>-10.138479264342495</v>
      </c>
      <c r="DK22">
        <f t="shared" si="117"/>
        <v>10.401283101085273</v>
      </c>
      <c r="DL22">
        <f t="shared" si="117"/>
        <v>0.36546158547042606</v>
      </c>
      <c r="DM22">
        <f t="shared" si="117"/>
        <v>-4.3280506863576313</v>
      </c>
      <c r="DN22">
        <f t="shared" si="117"/>
        <v>4.332156996306737</v>
      </c>
      <c r="DO22">
        <f t="shared" si="117"/>
        <v>-0.74324210078816999</v>
      </c>
      <c r="DP22">
        <f t="shared" si="117"/>
        <v>0.52971398343466258</v>
      </c>
      <c r="DQ22">
        <f t="shared" si="117"/>
        <v>0.27922907653920198</v>
      </c>
      <c r="DR22">
        <f t="shared" si="117"/>
        <v>-0.32029217603026111</v>
      </c>
      <c r="DS22">
        <f t="shared" si="117"/>
        <v>-0.39831206506327332</v>
      </c>
      <c r="DT22">
        <f t="shared" si="117"/>
        <v>-3.2152406901499289</v>
      </c>
      <c r="DU22">
        <f t="shared" si="117"/>
        <v>3.9215260013961455</v>
      </c>
      <c r="DV22">
        <f t="shared" si="117"/>
        <v>-8.7382275716973794</v>
      </c>
      <c r="DW22">
        <f t="shared" si="117"/>
        <v>5.3217776940412618</v>
      </c>
      <c r="DX22">
        <f t="shared" si="117"/>
        <v>-1.843733167148554</v>
      </c>
      <c r="DY22">
        <f t="shared" si="117"/>
        <v>5.2560767348555659</v>
      </c>
      <c r="DZ22">
        <f t="shared" si="117"/>
        <v>-7.3913579083906389E-2</v>
      </c>
      <c r="EA22">
        <f t="shared" si="117"/>
        <v>-3.2604100995900933</v>
      </c>
      <c r="EB22">
        <f t="shared" si="117"/>
        <v>2.8826295842723493</v>
      </c>
      <c r="EC22">
        <f t="shared" si="117"/>
        <v>0.34082372577579068</v>
      </c>
      <c r="ED22">
        <f t="shared" si="117"/>
        <v>-4.1063099491059116</v>
      </c>
      <c r="EE22">
        <f t="shared" si="117"/>
        <v>4.1391604286987587</v>
      </c>
      <c r="EF22">
        <f t="shared" si="117"/>
        <v>-9.5759148013149868</v>
      </c>
      <c r="EG22">
        <f t="shared" si="117"/>
        <v>-2.8826295842723493</v>
      </c>
      <c r="EH22">
        <f t="shared" si="117"/>
        <v>4.6442365524387865</v>
      </c>
      <c r="EI22">
        <f t="shared" si="117"/>
        <v>-4.2787749669683608</v>
      </c>
      <c r="EL22">
        <f t="shared" si="108"/>
        <v>-10.570471749214121</v>
      </c>
      <c r="EM22">
        <f t="shared" si="111"/>
        <v>98.079164795078</v>
      </c>
      <c r="EN22">
        <f t="shared" si="111"/>
        <v>0.38405553689396477</v>
      </c>
      <c r="EO22">
        <f t="shared" si="111"/>
        <v>-4.5223016780228367</v>
      </c>
      <c r="EP22">
        <f t="shared" si="111"/>
        <v>3.6880618838552799</v>
      </c>
      <c r="EQ22">
        <f t="shared" si="111"/>
        <v>-276.35691000747892</v>
      </c>
      <c r="ER22">
        <f t="shared" si="111"/>
        <v>-44775.62887062267</v>
      </c>
      <c r="ES22">
        <f t="shared" si="111"/>
        <v>43196.989639229178</v>
      </c>
      <c r="ET22">
        <f t="shared" si="111"/>
        <v>1759.990251287237</v>
      </c>
      <c r="EU22">
        <f t="shared" si="111"/>
        <v>-66.981540953788453</v>
      </c>
      <c r="EV22">
        <f t="shared" si="111"/>
        <v>95.804779911065253</v>
      </c>
      <c r="EW22">
        <f t="shared" si="111"/>
        <v>65.524137148519117</v>
      </c>
      <c r="EX22">
        <f t="shared" si="111"/>
        <v>-626.81802067124079</v>
      </c>
      <c r="EY22">
        <f t="shared" si="111"/>
        <v>326.30015906998727</v>
      </c>
      <c r="EZ22">
        <f t="shared" si="111"/>
        <v>294.49396625527697</v>
      </c>
      <c r="FA22">
        <f t="shared" si="111"/>
        <v>-7.6588804623376063</v>
      </c>
      <c r="FB22">
        <f t="shared" si="111"/>
        <v>11.874860290959736</v>
      </c>
      <c r="FC22">
        <f t="shared" si="111"/>
        <v>-1042.8740849190133</v>
      </c>
      <c r="FD22">
        <f t="shared" si="111"/>
        <v>629.26591360344673</v>
      </c>
      <c r="FE22">
        <f t="shared" si="111"/>
        <v>392.39957452617529</v>
      </c>
      <c r="FF22">
        <f t="shared" si="111"/>
        <v>-6.2386136727787012</v>
      </c>
      <c r="FG22">
        <f t="shared" si="111"/>
        <v>-2643.5779820800021</v>
      </c>
      <c r="FH22">
        <f t="shared" si="111"/>
        <v>1557.7754253254784</v>
      </c>
      <c r="FI22">
        <f t="shared" si="111"/>
        <v>1062.0982843286595</v>
      </c>
      <c r="FJ22">
        <f t="shared" si="111"/>
        <v>52.084924486628879</v>
      </c>
      <c r="FK22">
        <f t="shared" si="111"/>
        <v>2.3872732403371835</v>
      </c>
      <c r="FL22">
        <f t="shared" si="111"/>
        <v>-679.25012830378876</v>
      </c>
      <c r="FM22">
        <f t="shared" si="111"/>
        <v>-723.42921327615682</v>
      </c>
      <c r="FN22">
        <f t="shared" si="111"/>
        <v>1389.9713238289205</v>
      </c>
      <c r="FO22">
        <f t="shared" si="111"/>
        <v>-16.662596667714556</v>
      </c>
      <c r="FP22">
        <f t="shared" si="111"/>
        <v>5.6587268317352581</v>
      </c>
      <c r="FQ22">
        <f t="shared" si="111"/>
        <v>-238.20598954437969</v>
      </c>
      <c r="FR22">
        <f t="shared" si="111"/>
        <v>-2694.4475617197313</v>
      </c>
      <c r="FS22">
        <f t="shared" si="111"/>
        <v>2935.7083600856922</v>
      </c>
      <c r="FT22">
        <f t="shared" si="111"/>
        <v>-645.86475558778739</v>
      </c>
      <c r="FU22">
        <f t="shared" si="111"/>
        <v>666.35482329125011</v>
      </c>
      <c r="FV22">
        <f t="shared" si="111"/>
        <v>0.33899331093556101</v>
      </c>
      <c r="FW22">
        <f t="shared" si="111"/>
        <v>0</v>
      </c>
      <c r="FX22">
        <f t="shared" si="111"/>
        <v>-33288.888888888883</v>
      </c>
      <c r="FY22">
        <f t="shared" si="111"/>
        <v>-127603.41880341881</v>
      </c>
      <c r="FZ22">
        <f t="shared" si="111"/>
        <v>160802.74705961876</v>
      </c>
      <c r="GA22">
        <f t="shared" si="111"/>
        <v>-223.95516389833344</v>
      </c>
      <c r="GB22">
        <f t="shared" si="111"/>
        <v>236.17497261722394</v>
      </c>
      <c r="GC22">
        <f t="shared" si="111"/>
        <v>75.943522207922911</v>
      </c>
      <c r="GD22">
        <f t="shared" si="111"/>
        <v>-1095.7083422320968</v>
      </c>
      <c r="GE22">
        <f t="shared" si="111"/>
        <v>767.69387928832896</v>
      </c>
      <c r="GF22">
        <f t="shared" si="111"/>
        <v>316.95115658050969</v>
      </c>
      <c r="GG22">
        <f t="shared" si="111"/>
        <v>-56.251048316345162</v>
      </c>
      <c r="GH22">
        <f t="shared" si="111"/>
        <v>65.328652011592951</v>
      </c>
      <c r="GI22">
        <f t="shared" si="111"/>
        <v>-246.61699556987514</v>
      </c>
      <c r="GJ22">
        <f t="shared" si="111"/>
        <v>-127.77777777777777</v>
      </c>
      <c r="GK22">
        <f t="shared" si="111"/>
        <v>-84.126984126984098</v>
      </c>
      <c r="GL22">
        <f t="shared" si="111"/>
        <v>452.3113402510387</v>
      </c>
      <c r="GM22">
        <f t="shared" si="111"/>
        <v>-157.66045280273798</v>
      </c>
      <c r="GN22">
        <f t="shared" si="111"/>
        <v>-2388.3495738194006</v>
      </c>
      <c r="GO22">
        <f t="shared" si="111"/>
        <v>2499.3987521603794</v>
      </c>
      <c r="GP22">
        <f t="shared" si="111"/>
        <v>52.942243450175013</v>
      </c>
      <c r="GQ22">
        <f t="shared" si="111"/>
        <v>1.1192739169957395</v>
      </c>
      <c r="GR22">
        <f t="shared" si="111"/>
        <v>-1470.7920182021332</v>
      </c>
      <c r="GS22">
        <f t="shared" si="111"/>
        <v>1079.1851969504448</v>
      </c>
      <c r="GT22">
        <f t="shared" si="111"/>
        <v>385.33395078987837</v>
      </c>
      <c r="GU22">
        <f t="shared" si="111"/>
        <v>-70.522214385942817</v>
      </c>
      <c r="GV22">
        <f t="shared" si="111"/>
        <v>66.545749686099853</v>
      </c>
      <c r="GW22">
        <f t="shared" si="111"/>
        <v>-194.07477580966162</v>
      </c>
      <c r="GX22">
        <f t="shared" ref="GX22:GZ25" si="118">GX7-GY7</f>
        <v>-1056.4956732433368</v>
      </c>
      <c r="GY22">
        <f t="shared" si="118"/>
        <v>1222.3133360190263</v>
      </c>
      <c r="GZ22">
        <f t="shared" si="118"/>
        <v>-930.26031022152745</v>
      </c>
    </row>
    <row r="23" spans="6:208">
      <c r="F23">
        <f t="shared" si="102"/>
        <v>2.1787791497715722E-4</v>
      </c>
      <c r="G23">
        <f t="shared" ref="G23:AK23" si="119">G8/$B8</f>
        <v>9.1738069464066204E-6</v>
      </c>
      <c r="H23">
        <f t="shared" si="119"/>
        <v>2.8515249925080579E-4</v>
      </c>
      <c r="I23">
        <f t="shared" si="119"/>
        <v>1.6940963494364225E-3</v>
      </c>
      <c r="J23">
        <f t="shared" si="119"/>
        <v>2.0381141099266708E-3</v>
      </c>
      <c r="K23">
        <f t="shared" si="119"/>
        <v>1.5541957935037215E-3</v>
      </c>
      <c r="L23">
        <f t="shared" si="119"/>
        <v>6.965212924059226E-3</v>
      </c>
      <c r="M23">
        <f t="shared" si="119"/>
        <v>1.5733078913087353E-3</v>
      </c>
      <c r="N23">
        <f t="shared" si="119"/>
        <v>2.4463485190417655E-5</v>
      </c>
      <c r="O23">
        <f t="shared" si="119"/>
        <v>1.0018561669388229E-2</v>
      </c>
      <c r="P23">
        <f t="shared" si="119"/>
        <v>7.2625971659052402E-5</v>
      </c>
      <c r="Q23">
        <f t="shared" si="119"/>
        <v>1.1085016726907999E-4</v>
      </c>
      <c r="R23">
        <f t="shared" si="119"/>
        <v>7.644839122005517E-7</v>
      </c>
      <c r="S23">
        <f t="shared" si="119"/>
        <v>5.3513873854038615E-6</v>
      </c>
      <c r="T23">
        <f t="shared" si="119"/>
        <v>2.0664000146780911E-3</v>
      </c>
      <c r="U23">
        <f t="shared" si="119"/>
        <v>2.8668146707520686E-3</v>
      </c>
      <c r="V23">
        <f t="shared" si="119"/>
        <v>3.6542331003186371E-4</v>
      </c>
      <c r="W23">
        <f t="shared" si="119"/>
        <v>3.9523818260768523E-4</v>
      </c>
      <c r="X23">
        <f t="shared" si="119"/>
        <v>2.4387801283109797E-2</v>
      </c>
      <c r="Y23">
        <f t="shared" si="119"/>
        <v>-7.644839122005517E-7</v>
      </c>
      <c r="Z23">
        <f t="shared" si="119"/>
        <v>-7.644839122005517E-7</v>
      </c>
      <c r="AA23">
        <f t="shared" si="119"/>
        <v>1.8722211009791509E-3</v>
      </c>
      <c r="AB23">
        <f t="shared" si="119"/>
        <v>7.1097003834651306E-5</v>
      </c>
      <c r="AC23">
        <f t="shared" si="119"/>
        <v>2.3507880300166965E-3</v>
      </c>
      <c r="AD23">
        <f t="shared" si="119"/>
        <v>2.828590475142041E-4</v>
      </c>
      <c r="AE23">
        <f t="shared" si="119"/>
        <v>-7.644839122005517E-7</v>
      </c>
      <c r="AF23">
        <f t="shared" si="119"/>
        <v>6.9996147001082512E-3</v>
      </c>
      <c r="AG23">
        <f t="shared" si="119"/>
        <v>-7.644839122005517E-7</v>
      </c>
      <c r="AH23">
        <f t="shared" si="119"/>
        <v>9.5040639964772584E-3</v>
      </c>
      <c r="AI23">
        <f t="shared" si="119"/>
        <v>-7.644839122005517E-7</v>
      </c>
      <c r="AJ23">
        <f t="shared" si="119"/>
        <v>4.2352408735910558E-3</v>
      </c>
      <c r="AK23">
        <f t="shared" si="119"/>
        <v>1.01171800940621E-2</v>
      </c>
      <c r="AL23">
        <f t="shared" si="104"/>
        <v>1.8738387604989025E-5</v>
      </c>
      <c r="AM23">
        <f t="shared" si="98"/>
        <v>2.1621216467295029E-6</v>
      </c>
      <c r="AN23">
        <f t="shared" si="98"/>
        <v>0</v>
      </c>
      <c r="AO23">
        <f t="shared" si="98"/>
        <v>1.3044800601934666E-4</v>
      </c>
      <c r="AP23">
        <f t="shared" si="98"/>
        <v>4.2089301389667654E-4</v>
      </c>
      <c r="AQ23">
        <f t="shared" si="98"/>
        <v>7.4953550419956099E-5</v>
      </c>
      <c r="AR23">
        <f t="shared" si="98"/>
        <v>2.5397722276915891E-3</v>
      </c>
      <c r="AS23">
        <f t="shared" si="98"/>
        <v>2.327884306312098E-4</v>
      </c>
      <c r="AT23">
        <f t="shared" si="98"/>
        <v>6.4863649401885086E-6</v>
      </c>
      <c r="AU23">
        <f t="shared" si="98"/>
        <v>2.8893152272461923E-3</v>
      </c>
      <c r="AV23">
        <f t="shared" si="98"/>
        <v>4.1080311287860553E-5</v>
      </c>
      <c r="AW23">
        <f t="shared" si="98"/>
        <v>2.8828288623060035E-5</v>
      </c>
      <c r="AX23">
        <f t="shared" si="98"/>
        <v>0</v>
      </c>
      <c r="AY23">
        <f t="shared" si="98"/>
        <v>4.3242432934590057E-6</v>
      </c>
      <c r="AZ23">
        <f t="shared" si="98"/>
        <v>4.093616984474525E-4</v>
      </c>
      <c r="BA23">
        <f t="shared" si="98"/>
        <v>1.2252022664800515E-4</v>
      </c>
      <c r="BB23">
        <f t="shared" si="98"/>
        <v>1.1776355902520024E-3</v>
      </c>
      <c r="BC23">
        <f t="shared" si="98"/>
        <v>1.7296973173836023E-5</v>
      </c>
      <c r="BD23">
        <f t="shared" si="98"/>
        <v>2.3041009681980733E-3</v>
      </c>
      <c r="BE23">
        <f t="shared" si="98"/>
        <v>-7.2070721557650096E-7</v>
      </c>
      <c r="BF23">
        <f t="shared" si="98"/>
        <v>-7.2070721557650096E-7</v>
      </c>
      <c r="BG23">
        <f t="shared" si="98"/>
        <v>1.2252022664800516E-5</v>
      </c>
      <c r="BH23">
        <f t="shared" si="98"/>
        <v>9.0088401947062611E-5</v>
      </c>
      <c r="BI23">
        <f t="shared" si="98"/>
        <v>3.7116421602189796E-4</v>
      </c>
      <c r="BJ23">
        <f t="shared" si="98"/>
        <v>2.0179802036142027E-5</v>
      </c>
      <c r="BK23">
        <f t="shared" si="98"/>
        <v>-7.2070721557650096E-7</v>
      </c>
      <c r="BL23">
        <f t="shared" si="98"/>
        <v>7.329592382413014E-4</v>
      </c>
      <c r="BM23">
        <f t="shared" si="98"/>
        <v>-7.2070721557650096E-7</v>
      </c>
      <c r="BN23">
        <f t="shared" si="98"/>
        <v>1.1343931573174124E-3</v>
      </c>
      <c r="BO23">
        <f t="shared" si="98"/>
        <v>-7.2070721557650096E-7</v>
      </c>
      <c r="BP23">
        <f t="shared" si="98"/>
        <v>5.7007940752101219E-4</v>
      </c>
      <c r="BQ23">
        <f t="shared" si="98"/>
        <v>2.8540005736829438E-3</v>
      </c>
      <c r="BS23">
        <f>AVERAGE(V2:V15)</f>
        <v>588.92857142857144</v>
      </c>
      <c r="BU23">
        <f t="shared" si="105"/>
        <v>-189.61597205844373</v>
      </c>
      <c r="BW23">
        <f t="shared" si="106"/>
        <v>17.352150084790495</v>
      </c>
      <c r="BX23">
        <f t="shared" si="106"/>
        <v>6.710802645912648</v>
      </c>
      <c r="BY23">
        <f t="shared" ref="BY23:EI23" si="120">BY8-BZ8</f>
        <v>0.65151106768639866</v>
      </c>
      <c r="BZ23">
        <f t="shared" si="120"/>
        <v>-0.86152196129959679</v>
      </c>
      <c r="CA23">
        <f t="shared" si="120"/>
        <v>-4.3982963287400469</v>
      </c>
      <c r="CB23">
        <f t="shared" si="120"/>
        <v>-1.0739193423402176</v>
      </c>
      <c r="CC23">
        <f t="shared" si="120"/>
        <v>1.5106465415585726</v>
      </c>
      <c r="CD23">
        <f t="shared" si="120"/>
        <v>-16.89155801129791</v>
      </c>
      <c r="CE23">
        <f t="shared" si="120"/>
        <v>16.831895825612342</v>
      </c>
      <c r="CF23">
        <f t="shared" si="120"/>
        <v>4.835023527958402</v>
      </c>
      <c r="CG23">
        <f t="shared" si="120"/>
        <v>-31.19855013869703</v>
      </c>
      <c r="CH23">
        <f t="shared" si="120"/>
        <v>31.048201430769399</v>
      </c>
      <c r="CI23">
        <f t="shared" si="120"/>
        <v>-0.11932437137113533</v>
      </c>
      <c r="CJ23">
        <f t="shared" si="120"/>
        <v>0.34365418954886967</v>
      </c>
      <c r="CK23">
        <f t="shared" si="120"/>
        <v>-1.4318924564536232E-2</v>
      </c>
      <c r="CL23">
        <f t="shared" si="120"/>
        <v>-6.4339701043316158</v>
      </c>
      <c r="CM23">
        <f t="shared" si="120"/>
        <v>-2.4986523365115723</v>
      </c>
      <c r="CN23">
        <f t="shared" si="120"/>
        <v>7.8085868625270933</v>
      </c>
      <c r="CO23">
        <f t="shared" si="120"/>
        <v>-9.3073009669485396E-2</v>
      </c>
      <c r="CP23">
        <f t="shared" si="120"/>
        <v>-74.897521422234206</v>
      </c>
      <c r="CQ23">
        <f t="shared" si="120"/>
        <v>76.133721909639178</v>
      </c>
      <c r="CR23">
        <f t="shared" si="120"/>
        <v>0</v>
      </c>
      <c r="CS23">
        <f t="shared" si="120"/>
        <v>-5.8468941971856285</v>
      </c>
      <c r="CT23">
        <f t="shared" si="120"/>
        <v>5.6225643790078941</v>
      </c>
      <c r="CU23">
        <f t="shared" si="120"/>
        <v>-7.1165055085745088</v>
      </c>
      <c r="CV23">
        <f t="shared" si="120"/>
        <v>6.4554484911784193</v>
      </c>
      <c r="CW23">
        <f t="shared" si="120"/>
        <v>0.88538683557382403</v>
      </c>
      <c r="CX23">
        <f t="shared" si="120"/>
        <v>-21.853065372909718</v>
      </c>
      <c r="CY23">
        <f t="shared" si="120"/>
        <v>21.853065372909718</v>
      </c>
      <c r="CZ23">
        <f t="shared" si="120"/>
        <v>-29.671198185146501</v>
      </c>
      <c r="DA23">
        <f t="shared" si="120"/>
        <v>29.671198185146501</v>
      </c>
      <c r="DB23">
        <f t="shared" si="120"/>
        <v>-13.223526835349212</v>
      </c>
      <c r="DC23">
        <f t="shared" si="120"/>
        <v>-18.361634266590301</v>
      </c>
      <c r="DD23">
        <f t="shared" si="120"/>
        <v>31.5207259413991</v>
      </c>
      <c r="DE23">
        <f t="shared" si="120"/>
        <v>5.4889210830722235E-2</v>
      </c>
      <c r="DF23">
        <f t="shared" si="120"/>
        <v>7.159462282268117E-3</v>
      </c>
      <c r="DG23">
        <f t="shared" si="120"/>
        <v>-0.43195422436350972</v>
      </c>
      <c r="DH23">
        <f t="shared" si="120"/>
        <v>-0.96175443325135057</v>
      </c>
      <c r="DI23">
        <f t="shared" si="120"/>
        <v>1.1455139651628989</v>
      </c>
      <c r="DJ23">
        <f t="shared" si="120"/>
        <v>-8.1617870017856529</v>
      </c>
      <c r="DK23">
        <f t="shared" si="120"/>
        <v>7.6391462551800808</v>
      </c>
      <c r="DL23">
        <f t="shared" si="120"/>
        <v>0.74935705221072968</v>
      </c>
      <c r="DM23">
        <f t="shared" si="120"/>
        <v>-9.5459497096908237</v>
      </c>
      <c r="DN23">
        <f t="shared" si="120"/>
        <v>9.4313983131745331</v>
      </c>
      <c r="DO23">
        <f t="shared" si="120"/>
        <v>4.0570286266186015E-2</v>
      </c>
      <c r="DP23">
        <f t="shared" si="120"/>
        <v>9.5459497096908222E-2</v>
      </c>
      <c r="DQ23">
        <f t="shared" si="120"/>
        <v>-1.4318924564536234E-2</v>
      </c>
      <c r="DR23">
        <f t="shared" si="120"/>
        <v>-1.3412059342115605</v>
      </c>
      <c r="DS23">
        <f t="shared" si="120"/>
        <v>0.9498219961142369</v>
      </c>
      <c r="DT23">
        <f t="shared" si="120"/>
        <v>-3.4938175937468414</v>
      </c>
      <c r="DU23">
        <f t="shared" si="120"/>
        <v>3.8422447581505565</v>
      </c>
      <c r="DV23">
        <f t="shared" si="120"/>
        <v>-7.5723246072122459</v>
      </c>
      <c r="DW23">
        <f t="shared" si="120"/>
        <v>7.6319867928978136</v>
      </c>
      <c r="DX23">
        <f t="shared" si="120"/>
        <v>0</v>
      </c>
      <c r="DY23">
        <f t="shared" si="120"/>
        <v>-4.2956773693608709E-2</v>
      </c>
      <c r="DZ23">
        <f t="shared" si="120"/>
        <v>-0.25774064216165227</v>
      </c>
      <c r="EA23">
        <f t="shared" si="120"/>
        <v>-0.93073009669485529</v>
      </c>
      <c r="EB23">
        <f t="shared" si="120"/>
        <v>1.1622193771548577</v>
      </c>
      <c r="EC23">
        <f t="shared" si="120"/>
        <v>6.9208135395258455E-2</v>
      </c>
      <c r="ED23">
        <f t="shared" si="120"/>
        <v>-2.4294442011163149</v>
      </c>
      <c r="EE23">
        <f t="shared" si="120"/>
        <v>2.4294442011163149</v>
      </c>
      <c r="EF23">
        <f t="shared" si="120"/>
        <v>-3.758717698190762</v>
      </c>
      <c r="EG23">
        <f t="shared" si="120"/>
        <v>3.758717698190762</v>
      </c>
      <c r="EH23">
        <f t="shared" si="120"/>
        <v>-1.890098042518783</v>
      </c>
      <c r="EI23">
        <f t="shared" si="120"/>
        <v>-7.5627786575025535</v>
      </c>
      <c r="EL23">
        <f t="shared" si="108"/>
        <v>-9.7229250099798321</v>
      </c>
      <c r="EM23">
        <f t="shared" ref="EM23:GX26" si="121">EM8-EN8</f>
        <v>168.59894017723198</v>
      </c>
      <c r="EN23">
        <f t="shared" si="121"/>
        <v>0.83807557285594791</v>
      </c>
      <c r="EO23">
        <f t="shared" si="121"/>
        <v>-5.1950307678839325</v>
      </c>
      <c r="EP23">
        <f t="shared" si="121"/>
        <v>4.5257319921123136</v>
      </c>
      <c r="EQ23">
        <f t="shared" si="121"/>
        <v>-324.33198788909891</v>
      </c>
      <c r="ER23">
        <f t="shared" si="121"/>
        <v>-37052.95499756033</v>
      </c>
      <c r="ES23">
        <f t="shared" si="121"/>
        <v>35884.755830042857</v>
      </c>
      <c r="ET23">
        <f t="shared" si="121"/>
        <v>1370.537021862687</v>
      </c>
      <c r="EU23">
        <f t="shared" si="121"/>
        <v>-205.42228094108401</v>
      </c>
      <c r="EV23">
        <f t="shared" si="121"/>
        <v>164.56121910463492</v>
      </c>
      <c r="EW23">
        <f t="shared" si="121"/>
        <v>163.02570087536751</v>
      </c>
      <c r="EX23">
        <f t="shared" si="121"/>
        <v>-2097.6230209588384</v>
      </c>
      <c r="EY23">
        <f t="shared" si="121"/>
        <v>1805.5272411762005</v>
      </c>
      <c r="EZ23">
        <f t="shared" si="121"/>
        <v>290.25164293017986</v>
      </c>
      <c r="FA23">
        <f t="shared" si="121"/>
        <v>2.5446710677286459</v>
      </c>
      <c r="FB23">
        <f t="shared" si="121"/>
        <v>-0.28929723160366327</v>
      </c>
      <c r="FC23">
        <f t="shared" si="121"/>
        <v>-6546.6142984454964</v>
      </c>
      <c r="FD23">
        <f t="shared" si="121"/>
        <v>5378.0541475107075</v>
      </c>
      <c r="FE23">
        <f t="shared" si="121"/>
        <v>1127.5758392701125</v>
      </c>
      <c r="FF23">
        <f t="shared" si="121"/>
        <v>9.5644299689305861</v>
      </c>
      <c r="FG23">
        <f t="shared" si="121"/>
        <v>-5384.921524087531</v>
      </c>
      <c r="FH23">
        <f t="shared" si="121"/>
        <v>5416.9340006715283</v>
      </c>
      <c r="FI23">
        <f t="shared" si="121"/>
        <v>-0.14141318599354266</v>
      </c>
      <c r="FJ23">
        <f t="shared" si="121"/>
        <v>-71.229573587951634</v>
      </c>
      <c r="FK23">
        <f t="shared" si="121"/>
        <v>70.223270147441568</v>
      </c>
      <c r="FL23">
        <f t="shared" si="121"/>
        <v>-539.82949890647592</v>
      </c>
      <c r="FM23">
        <f t="shared" si="121"/>
        <v>-514.16067097196787</v>
      </c>
      <c r="FN23">
        <f t="shared" si="121"/>
        <v>1055.0328936236881</v>
      </c>
      <c r="FO23">
        <f t="shared" si="121"/>
        <v>-83.994664474161496</v>
      </c>
      <c r="FP23">
        <f t="shared" si="121"/>
        <v>84.012985674056239</v>
      </c>
      <c r="FQ23">
        <f t="shared" si="121"/>
        <v>-248.78667536088182</v>
      </c>
      <c r="FR23">
        <f t="shared" si="121"/>
        <v>248.97775694936192</v>
      </c>
      <c r="FS23">
        <f t="shared" si="121"/>
        <v>-17.88588405432553</v>
      </c>
      <c r="FT23">
        <f t="shared" si="121"/>
        <v>-1239.9244589572011</v>
      </c>
      <c r="FU23">
        <f t="shared" si="121"/>
        <v>1257.0069991698044</v>
      </c>
      <c r="FV23">
        <f t="shared" si="121"/>
        <v>0.49778691556031562</v>
      </c>
      <c r="FW23">
        <f t="shared" si="121"/>
        <v>5.3077214709970934E-2</v>
      </c>
      <c r="FX23">
        <f t="shared" si="121"/>
        <v>-14077.777777777777</v>
      </c>
      <c r="FY23">
        <f t="shared" si="121"/>
        <v>-48814.529914529907</v>
      </c>
      <c r="FZ23">
        <f t="shared" si="121"/>
        <v>62841.130187914016</v>
      </c>
      <c r="GA23">
        <f t="shared" si="121"/>
        <v>-365.58208337453101</v>
      </c>
      <c r="GB23">
        <f t="shared" si="121"/>
        <v>205.05546791801689</v>
      </c>
      <c r="GC23">
        <f t="shared" si="121"/>
        <v>211.27047447573793</v>
      </c>
      <c r="GD23">
        <f t="shared" si="121"/>
        <v>-4060.7819841479823</v>
      </c>
      <c r="GE23">
        <f t="shared" si="121"/>
        <v>3390.6273942283142</v>
      </c>
      <c r="GF23">
        <f t="shared" si="121"/>
        <v>668.2034299112712</v>
      </c>
      <c r="GG23">
        <f t="shared" si="121"/>
        <v>2.3848053828464355</v>
      </c>
      <c r="GH23">
        <f t="shared" si="121"/>
        <v>-1.6915022150624244</v>
      </c>
      <c r="GI23">
        <f t="shared" si="121"/>
        <v>-1576.0862755627154</v>
      </c>
      <c r="GJ23">
        <f t="shared" si="121"/>
        <v>1234.3434343434344</v>
      </c>
      <c r="GK23">
        <f t="shared" si="121"/>
        <v>-434.66089466089466</v>
      </c>
      <c r="GL23">
        <f t="shared" si="121"/>
        <v>762.74576344928107</v>
      </c>
      <c r="GM23">
        <f t="shared" si="121"/>
        <v>-234.16552145171272</v>
      </c>
      <c r="GN23">
        <f t="shared" si="121"/>
        <v>252.53223747698013</v>
      </c>
      <c r="GO23">
        <f t="shared" si="121"/>
        <v>-2.9738735582335836</v>
      </c>
      <c r="GP23">
        <f t="shared" si="121"/>
        <v>-3.5097237779657795</v>
      </c>
      <c r="GQ23">
        <f t="shared" si="121"/>
        <v>-4.4129776766094064</v>
      </c>
      <c r="GR23">
        <f t="shared" si="121"/>
        <v>-908.2578963537951</v>
      </c>
      <c r="GS23">
        <f t="shared" si="121"/>
        <v>828.63722998729349</v>
      </c>
      <c r="GT23">
        <f t="shared" si="121"/>
        <v>87.695722074653986</v>
      </c>
      <c r="GU23">
        <f t="shared" si="121"/>
        <v>-77.166205370145391</v>
      </c>
      <c r="GV23">
        <f t="shared" si="121"/>
        <v>77.324555121490391</v>
      </c>
      <c r="GW23">
        <f t="shared" si="121"/>
        <v>-137.65002198176225</v>
      </c>
      <c r="GX23">
        <f t="shared" si="121"/>
        <v>137.7074727895081</v>
      </c>
      <c r="GY23">
        <f t="shared" si="118"/>
        <v>-17.00277903862305</v>
      </c>
      <c r="GZ23">
        <f t="shared" si="118"/>
        <v>-1273.6112104324502</v>
      </c>
    </row>
    <row r="24" spans="6:208">
      <c r="F24">
        <f t="shared" si="102"/>
        <v>7.67575900022445E-5</v>
      </c>
      <c r="G24">
        <f t="shared" ref="G24:AK24" si="122">G9/$B9</f>
        <v>4.2349015173652137E-6</v>
      </c>
      <c r="H24">
        <f t="shared" si="122"/>
        <v>1.0481381255478904E-4</v>
      </c>
      <c r="I24">
        <f t="shared" si="122"/>
        <v>1.0671951823760339E-3</v>
      </c>
      <c r="J24">
        <f t="shared" si="122"/>
        <v>3.641485942244413E-3</v>
      </c>
      <c r="K24">
        <f t="shared" si="122"/>
        <v>1.1047799333426501E-3</v>
      </c>
      <c r="L24">
        <f t="shared" si="122"/>
        <v>2.4308334709676328E-3</v>
      </c>
      <c r="M24">
        <f t="shared" si="122"/>
        <v>3.7320069621780944E-4</v>
      </c>
      <c r="N24">
        <f t="shared" si="122"/>
        <v>2.0115782207484765E-5</v>
      </c>
      <c r="O24">
        <f t="shared" si="122"/>
        <v>1.7723062850173419E-3</v>
      </c>
      <c r="P24">
        <f t="shared" si="122"/>
        <v>2.4880046414520629E-4</v>
      </c>
      <c r="Q24">
        <f t="shared" si="122"/>
        <v>1.545739053838303E-4</v>
      </c>
      <c r="R24">
        <f t="shared" si="122"/>
        <v>2.2762595655838025E-5</v>
      </c>
      <c r="S24">
        <f t="shared" si="122"/>
        <v>3.1814697649206169E-4</v>
      </c>
      <c r="T24">
        <f t="shared" si="122"/>
        <v>8.9515230823307207E-4</v>
      </c>
      <c r="U24">
        <f t="shared" si="122"/>
        <v>1.191595414448637E-3</v>
      </c>
      <c r="V24">
        <f t="shared" si="122"/>
        <v>9.5232347871750242E-4</v>
      </c>
      <c r="W24">
        <f t="shared" si="122"/>
        <v>6.061202796728962E-4</v>
      </c>
      <c r="X24">
        <f t="shared" si="122"/>
        <v>4.9834203605595151E-3</v>
      </c>
      <c r="Y24">
        <f t="shared" si="122"/>
        <v>1.2148873727941456E-3</v>
      </c>
      <c r="Z24">
        <f t="shared" si="122"/>
        <v>3.7685329877653697E-3</v>
      </c>
      <c r="AA24">
        <f t="shared" si="122"/>
        <v>1.1751851710688468E-4</v>
      </c>
      <c r="AB24">
        <f t="shared" si="122"/>
        <v>0</v>
      </c>
      <c r="AC24">
        <f t="shared" si="122"/>
        <v>3.4128012603066916E-3</v>
      </c>
      <c r="AD24">
        <f t="shared" si="122"/>
        <v>2.0068139565414408E-3</v>
      </c>
      <c r="AE24">
        <f t="shared" si="122"/>
        <v>3.1761761380239103E-6</v>
      </c>
      <c r="AF24">
        <f t="shared" si="122"/>
        <v>7.4640139243561888E-5</v>
      </c>
      <c r="AG24">
        <f t="shared" si="122"/>
        <v>8.893293186466949E-5</v>
      </c>
      <c r="AH24">
        <f t="shared" si="122"/>
        <v>1.6145032672265205E-2</v>
      </c>
      <c r="AI24">
        <f t="shared" si="122"/>
        <v>6.7917233084744614E-4</v>
      </c>
      <c r="AJ24">
        <f t="shared" si="122"/>
        <v>4.8902525271774808E-3</v>
      </c>
      <c r="AK24">
        <f t="shared" si="122"/>
        <v>3.9289298827355768E-3</v>
      </c>
      <c r="AL24">
        <f t="shared" si="104"/>
        <v>1.523463705053224E-5</v>
      </c>
      <c r="AM24">
        <f t="shared" si="98"/>
        <v>2.6266615604365931E-6</v>
      </c>
      <c r="AN24">
        <f t="shared" si="98"/>
        <v>5.2533231208731859E-7</v>
      </c>
      <c r="AO24">
        <f t="shared" si="98"/>
        <v>1.7441032761298978E-4</v>
      </c>
      <c r="AP24">
        <f t="shared" si="98"/>
        <v>9.3036352470664133E-4</v>
      </c>
      <c r="AQ24">
        <f t="shared" si="98"/>
        <v>2.2694355882172166E-4</v>
      </c>
      <c r="AR24">
        <f t="shared" si="98"/>
        <v>1.7330712975760641E-3</v>
      </c>
      <c r="AS24">
        <f t="shared" si="98"/>
        <v>1.3185841033391699E-4</v>
      </c>
      <c r="AT24">
        <f t="shared" si="98"/>
        <v>5.2533231208731861E-6</v>
      </c>
      <c r="AU24">
        <f t="shared" si="98"/>
        <v>5.1955365665435813E-4</v>
      </c>
      <c r="AV24">
        <f t="shared" si="98"/>
        <v>6.8818532883438741E-5</v>
      </c>
      <c r="AW24">
        <f t="shared" si="98"/>
        <v>5.5159892769168459E-5</v>
      </c>
      <c r="AX24">
        <f t="shared" si="98"/>
        <v>2.0487960171405426E-5</v>
      </c>
      <c r="AY24">
        <f t="shared" si="98"/>
        <v>5.0431901960382588E-5</v>
      </c>
      <c r="AZ24">
        <f t="shared" si="98"/>
        <v>1.2975708108556772E-4</v>
      </c>
      <c r="BA24">
        <f t="shared" si="98"/>
        <v>9.350915155154272E-5</v>
      </c>
      <c r="BB24">
        <f t="shared" si="98"/>
        <v>1.3028241339765503E-3</v>
      </c>
      <c r="BC24">
        <f t="shared" si="98"/>
        <v>5.7261222017517732E-5</v>
      </c>
      <c r="BD24">
        <f t="shared" si="98"/>
        <v>1.1399711172294814E-3</v>
      </c>
      <c r="BE24">
        <f t="shared" si="98"/>
        <v>1.9542362009648253E-4</v>
      </c>
      <c r="BF24">
        <f t="shared" si="98"/>
        <v>9.4454749713299895E-4</v>
      </c>
      <c r="BG24">
        <f t="shared" si="98"/>
        <v>1.0506646241746372E-5</v>
      </c>
      <c r="BH24">
        <f t="shared" si="98"/>
        <v>2.1013292483492744E-6</v>
      </c>
      <c r="BI24">
        <f t="shared" si="98"/>
        <v>7.7696648957714426E-4</v>
      </c>
      <c r="BJ24">
        <f t="shared" si="98"/>
        <v>4.974896995466907E-4</v>
      </c>
      <c r="BK24">
        <f t="shared" si="98"/>
        <v>5.2533231208731859E-7</v>
      </c>
      <c r="BL24">
        <f t="shared" si="98"/>
        <v>2.0487960171405426E-5</v>
      </c>
      <c r="BM24">
        <f t="shared" si="98"/>
        <v>3.2570603349413753E-5</v>
      </c>
      <c r="BN24">
        <f t="shared" si="98"/>
        <v>2.7101893980584768E-3</v>
      </c>
      <c r="BO24">
        <f t="shared" si="98"/>
        <v>2.6109015910739735E-4</v>
      </c>
      <c r="BP24">
        <f t="shared" si="98"/>
        <v>1.1205338216822506E-3</v>
      </c>
      <c r="BQ24">
        <f t="shared" si="98"/>
        <v>2.097126589852576E-3</v>
      </c>
      <c r="BS24">
        <f>AVERAGE($W$2:$W$15)</f>
        <v>675.35714285714289</v>
      </c>
      <c r="BU24">
        <f t="shared" si="105"/>
        <v>-25.029091960053847</v>
      </c>
      <c r="BW24">
        <f t="shared" si="106"/>
        <v>10.025107212317215</v>
      </c>
      <c r="BX24">
        <f t="shared" si="106"/>
        <v>2.8218820301337342</v>
      </c>
      <c r="BY24">
        <f t="shared" ref="BY24:EI24" si="123">BY9-BZ9</f>
        <v>0.23659598416665945</v>
      </c>
      <c r="BZ24">
        <f t="shared" si="123"/>
        <v>-0.32812581745741093</v>
      </c>
      <c r="CA24">
        <f t="shared" si="123"/>
        <v>-3.1396459796714371</v>
      </c>
      <c r="CB24">
        <f t="shared" si="123"/>
        <v>-8.3982939489231008</v>
      </c>
      <c r="CC24">
        <f t="shared" si="123"/>
        <v>8.2756785118732257</v>
      </c>
      <c r="CD24">
        <f t="shared" si="123"/>
        <v>-4.3260798564779703</v>
      </c>
      <c r="CE24">
        <f t="shared" si="123"/>
        <v>6.7127634339839801</v>
      </c>
      <c r="CF24">
        <f t="shared" si="123"/>
        <v>1.1518943170741742</v>
      </c>
      <c r="CG24">
        <f t="shared" si="123"/>
        <v>-5.716297135705422</v>
      </c>
      <c r="CH24">
        <f t="shared" si="123"/>
        <v>4.9702426454864668</v>
      </c>
      <c r="CI24">
        <f t="shared" si="123"/>
        <v>0.30740208161799554</v>
      </c>
      <c r="CJ24">
        <f t="shared" si="123"/>
        <v>0.43001751866787014</v>
      </c>
      <c r="CK24">
        <f t="shared" si="123"/>
        <v>-0.96365371653281728</v>
      </c>
      <c r="CL24">
        <f t="shared" si="123"/>
        <v>-1.8824060054135681</v>
      </c>
      <c r="CM24">
        <f t="shared" si="123"/>
        <v>-0.96710767250605345</v>
      </c>
      <c r="CN24">
        <f t="shared" si="123"/>
        <v>0.78059404995131487</v>
      </c>
      <c r="CO24">
        <f t="shared" si="123"/>
        <v>1.1294436032481407</v>
      </c>
      <c r="CP24">
        <f t="shared" si="123"/>
        <v>-14.280380971343851</v>
      </c>
      <c r="CQ24">
        <f t="shared" si="123"/>
        <v>12.294356286733205</v>
      </c>
      <c r="CR24">
        <f t="shared" si="123"/>
        <v>-8.3309418074450008</v>
      </c>
      <c r="CS24">
        <f t="shared" si="123"/>
        <v>11.910967173704016</v>
      </c>
      <c r="CT24">
        <f t="shared" si="123"/>
        <v>0.38338911302918538</v>
      </c>
      <c r="CU24">
        <f t="shared" si="123"/>
        <v>-11.133827079725938</v>
      </c>
      <c r="CV24">
        <f t="shared" si="123"/>
        <v>4.5868535324572806</v>
      </c>
      <c r="CW24">
        <f t="shared" si="123"/>
        <v>6.5366116793489502</v>
      </c>
      <c r="CX24">
        <f t="shared" si="123"/>
        <v>-0.23314202819342353</v>
      </c>
      <c r="CY24">
        <f t="shared" si="123"/>
        <v>-4.6628405638684728E-2</v>
      </c>
      <c r="CZ24">
        <f t="shared" si="123"/>
        <v>-52.380969312109109</v>
      </c>
      <c r="DA24">
        <f t="shared" si="123"/>
        <v>50.455388857030094</v>
      </c>
      <c r="DB24">
        <f t="shared" si="123"/>
        <v>-13.738109883545812</v>
      </c>
      <c r="DC24">
        <f t="shared" si="123"/>
        <v>3.1361920236982037</v>
      </c>
      <c r="DD24">
        <f t="shared" si="123"/>
        <v>12.76754825506652</v>
      </c>
      <c r="DE24">
        <f t="shared" si="123"/>
        <v>4.1447471678830852E-2</v>
      </c>
      <c r="DF24">
        <f t="shared" si="123"/>
        <v>6.907911946471809E-3</v>
      </c>
      <c r="DG24">
        <f t="shared" si="123"/>
        <v>-0.57162971357054226</v>
      </c>
      <c r="DH24">
        <f t="shared" si="123"/>
        <v>-2.4851213227432334</v>
      </c>
      <c r="DI24">
        <f t="shared" si="123"/>
        <v>2.3124235240814381</v>
      </c>
      <c r="DJ24">
        <f t="shared" si="123"/>
        <v>-4.9512458876336689</v>
      </c>
      <c r="DK24">
        <f t="shared" si="123"/>
        <v>5.2638289032115182</v>
      </c>
      <c r="DL24">
        <f t="shared" si="123"/>
        <v>0.41620169477492652</v>
      </c>
      <c r="DM24">
        <f t="shared" si="123"/>
        <v>-1.6907114488989752</v>
      </c>
      <c r="DN24">
        <f t="shared" si="123"/>
        <v>1.4817471125182031</v>
      </c>
      <c r="DO24">
        <f t="shared" si="123"/>
        <v>4.4901427652066755E-2</v>
      </c>
      <c r="DP24">
        <f t="shared" si="123"/>
        <v>0.11398054711678486</v>
      </c>
      <c r="DQ24">
        <f t="shared" si="123"/>
        <v>-9.8437745237223304E-2</v>
      </c>
      <c r="DR24">
        <f t="shared" si="123"/>
        <v>-0.26077367597931078</v>
      </c>
      <c r="DS24">
        <f t="shared" si="123"/>
        <v>0.11916148107663876</v>
      </c>
      <c r="DT24">
        <f t="shared" si="123"/>
        <v>-3.9755033251945262</v>
      </c>
      <c r="DU24">
        <f t="shared" si="123"/>
        <v>4.0946648062711652</v>
      </c>
      <c r="DV24">
        <f t="shared" si="123"/>
        <v>-3.5593016304195997</v>
      </c>
      <c r="DW24">
        <f t="shared" si="123"/>
        <v>3.1051064199390779</v>
      </c>
      <c r="DX24">
        <f t="shared" si="123"/>
        <v>-2.4626706089171999</v>
      </c>
      <c r="DY24">
        <f t="shared" si="123"/>
        <v>3.0705668602067191</v>
      </c>
      <c r="DZ24">
        <f t="shared" si="123"/>
        <v>2.7631647785887236E-2</v>
      </c>
      <c r="EA24">
        <f t="shared" si="123"/>
        <v>-2.5472925302614797</v>
      </c>
      <c r="EB24">
        <f t="shared" si="123"/>
        <v>0.91875228888075067</v>
      </c>
      <c r="EC24">
        <f t="shared" si="123"/>
        <v>1.6337211753405827</v>
      </c>
      <c r="ED24">
        <f t="shared" si="123"/>
        <v>-6.5625163491482175E-2</v>
      </c>
      <c r="EE24">
        <f t="shared" si="123"/>
        <v>-3.9720493692212921E-2</v>
      </c>
      <c r="EF24">
        <f t="shared" si="123"/>
        <v>-8.8024067977917024</v>
      </c>
      <c r="EG24">
        <f t="shared" si="123"/>
        <v>8.0511713736128936</v>
      </c>
      <c r="EH24">
        <f t="shared" si="123"/>
        <v>-2.8253359861069702</v>
      </c>
      <c r="EI24">
        <f t="shared" si="123"/>
        <v>-3.210452077122774</v>
      </c>
      <c r="EL24">
        <f t="shared" si="108"/>
        <v>-1.7735337701014373</v>
      </c>
      <c r="EM24">
        <f t="shared" si="121"/>
        <v>232.06744814820806</v>
      </c>
      <c r="EN24">
        <f t="shared" si="121"/>
        <v>0.6691003576438973</v>
      </c>
      <c r="EO24">
        <f t="shared" si="121"/>
        <v>-2.6196490668187673</v>
      </c>
      <c r="EP24">
        <f t="shared" si="121"/>
        <v>2.1405231527671269</v>
      </c>
      <c r="EQ24">
        <f t="shared" si="121"/>
        <v>-172.02610199875542</v>
      </c>
      <c r="ER24">
        <f t="shared" si="121"/>
        <v>-33832.108996734598</v>
      </c>
      <c r="ES24">
        <f t="shared" si="121"/>
        <v>30151.037764503388</v>
      </c>
      <c r="ET24">
        <f t="shared" si="121"/>
        <v>3727.4934766437696</v>
      </c>
      <c r="EU24">
        <f t="shared" si="121"/>
        <v>-39.249094536204097</v>
      </c>
      <c r="EV24">
        <f t="shared" si="121"/>
        <v>109.39697919777802</v>
      </c>
      <c r="EW24">
        <f t="shared" si="121"/>
        <v>55.123933844444579</v>
      </c>
      <c r="EX24">
        <f t="shared" si="121"/>
        <v>-535.09266965443385</v>
      </c>
      <c r="EY24">
        <f t="shared" si="121"/>
        <v>-913.23031993877032</v>
      </c>
      <c r="EZ24">
        <f t="shared" si="121"/>
        <v>1443.9021692232732</v>
      </c>
      <c r="FA24">
        <f t="shared" si="121"/>
        <v>-1.2377598242219383</v>
      </c>
      <c r="FB24">
        <f t="shared" si="121"/>
        <v>-31.490855983905352</v>
      </c>
      <c r="FC24">
        <f t="shared" si="121"/>
        <v>-4057.6820972317396</v>
      </c>
      <c r="FD24">
        <f t="shared" si="121"/>
        <v>3394.1332106735576</v>
      </c>
      <c r="FE24">
        <f t="shared" si="121"/>
        <v>545.79303954146008</v>
      </c>
      <c r="FF24">
        <f t="shared" si="121"/>
        <v>85.351392791790616</v>
      </c>
      <c r="FG24">
        <f t="shared" si="121"/>
        <v>-1527.9259503588578</v>
      </c>
      <c r="FH24">
        <f t="shared" si="121"/>
        <v>1258.6758572652241</v>
      </c>
      <c r="FI24">
        <f t="shared" si="121"/>
        <v>292.43173496957434</v>
      </c>
      <c r="FJ24">
        <f t="shared" si="121"/>
        <v>40.932162361538033</v>
      </c>
      <c r="FK24">
        <f t="shared" si="121"/>
        <v>6.4563036207648681</v>
      </c>
      <c r="FL24">
        <f t="shared" si="121"/>
        <v>-1133.8944723618092</v>
      </c>
      <c r="FM24">
        <f t="shared" si="121"/>
        <v>-9675.4741630760727</v>
      </c>
      <c r="FN24">
        <f t="shared" si="121"/>
        <v>10809.11017389942</v>
      </c>
      <c r="FO24">
        <f t="shared" si="121"/>
        <v>-1.0343709041665661</v>
      </c>
      <c r="FP24">
        <f t="shared" si="121"/>
        <v>-9.0220522166123125</v>
      </c>
      <c r="FQ24">
        <f t="shared" si="121"/>
        <v>-599.87432306912353</v>
      </c>
      <c r="FR24">
        <f t="shared" si="121"/>
        <v>286.25773793575797</v>
      </c>
      <c r="FS24">
        <f t="shared" si="121"/>
        <v>294.52760890461536</v>
      </c>
      <c r="FT24">
        <f t="shared" si="121"/>
        <v>-675.87001408655624</v>
      </c>
      <c r="FU24">
        <f t="shared" si="121"/>
        <v>704.65944959847616</v>
      </c>
      <c r="FV24">
        <f t="shared" si="121"/>
        <v>0.52596335155408613</v>
      </c>
      <c r="FW24">
        <f t="shared" si="121"/>
        <v>-8.2947715084175133</v>
      </c>
      <c r="FX24">
        <f t="shared" si="121"/>
        <v>-25813.838988689287</v>
      </c>
      <c r="FY24">
        <f t="shared" si="121"/>
        <v>-164900.85470085469</v>
      </c>
      <c r="FZ24">
        <f t="shared" si="121"/>
        <v>190510.49344328779</v>
      </c>
      <c r="GA24">
        <f t="shared" si="121"/>
        <v>-177.56688344792957</v>
      </c>
      <c r="GB24">
        <f t="shared" si="121"/>
        <v>225.63725462280107</v>
      </c>
      <c r="GC24">
        <f t="shared" si="121"/>
        <v>164.03128042039961</v>
      </c>
      <c r="GD24">
        <f t="shared" si="121"/>
        <v>-1001.3995032099301</v>
      </c>
      <c r="GE24">
        <f t="shared" si="121"/>
        <v>-539.29513918447265</v>
      </c>
      <c r="GF24">
        <f t="shared" si="121"/>
        <v>1534.9163564582634</v>
      </c>
      <c r="GG24">
        <f t="shared" si="121"/>
        <v>-27.236818385365535</v>
      </c>
      <c r="GH24">
        <f t="shared" si="121"/>
        <v>6.4328970743386371</v>
      </c>
      <c r="GI24">
        <f t="shared" si="121"/>
        <v>-659.04707567011235</v>
      </c>
      <c r="GJ24">
        <f t="shared" si="121"/>
        <v>326.5151515151515</v>
      </c>
      <c r="GK24">
        <f t="shared" si="121"/>
        <v>-821.35642135642138</v>
      </c>
      <c r="GL24">
        <f t="shared" si="121"/>
        <v>1111.2401836019926</v>
      </c>
      <c r="GM24">
        <f t="shared" si="121"/>
        <v>-99.648935440335308</v>
      </c>
      <c r="GN24">
        <f t="shared" si="121"/>
        <v>-953.05266031272458</v>
      </c>
      <c r="GO24">
        <f t="shared" si="121"/>
        <v>1044.4384508074318</v>
      </c>
      <c r="GP24">
        <f t="shared" si="121"/>
        <v>73.89727646438223</v>
      </c>
      <c r="GQ24">
        <f t="shared" si="121"/>
        <v>3.8259271553621894</v>
      </c>
      <c r="GR24">
        <f t="shared" si="121"/>
        <v>-2630.7516732678196</v>
      </c>
      <c r="GS24">
        <f t="shared" si="121"/>
        <v>-328.37118805590853</v>
      </c>
      <c r="GT24">
        <f t="shared" si="121"/>
        <v>2959.179277925346</v>
      </c>
      <c r="GU24">
        <f t="shared" si="121"/>
        <v>-2.755948376205561</v>
      </c>
      <c r="GV24">
        <f t="shared" si="121"/>
        <v>-19.000782761077726</v>
      </c>
      <c r="GW24">
        <f t="shared" si="121"/>
        <v>-428.05377731765782</v>
      </c>
      <c r="GX24">
        <f t="shared" si="121"/>
        <v>245.47948155840169</v>
      </c>
      <c r="GY24">
        <f t="shared" si="118"/>
        <v>159.7869892852197</v>
      </c>
      <c r="GZ24">
        <f t="shared" si="118"/>
        <v>-1255.8885856712523</v>
      </c>
    </row>
    <row r="25" spans="6:208">
      <c r="F25">
        <f t="shared" si="102"/>
        <v>1.9217051713411873E-4</v>
      </c>
      <c r="G25">
        <f t="shared" ref="G25:AK25" si="124">G10/$B10</f>
        <v>1.6285637045264299E-5</v>
      </c>
      <c r="H25">
        <f t="shared" si="124"/>
        <v>3.2896986831433886E-4</v>
      </c>
      <c r="I25">
        <f t="shared" si="124"/>
        <v>2.1887896188835217E-3</v>
      </c>
      <c r="J25">
        <f t="shared" si="124"/>
        <v>3.8466674700914274E-3</v>
      </c>
      <c r="K25">
        <f t="shared" si="124"/>
        <v>4.3612936007217792E-3</v>
      </c>
      <c r="L25">
        <f t="shared" si="124"/>
        <v>9.198127803165276E-3</v>
      </c>
      <c r="M25">
        <f t="shared" si="124"/>
        <v>6.6119686403773054E-4</v>
      </c>
      <c r="N25">
        <f t="shared" si="124"/>
        <v>1.2377084154400868E-4</v>
      </c>
      <c r="O25">
        <f t="shared" si="124"/>
        <v>1.4956729062370732E-2</v>
      </c>
      <c r="P25">
        <f t="shared" si="124"/>
        <v>6.3513984476530768E-4</v>
      </c>
      <c r="Q25">
        <f t="shared" si="124"/>
        <v>7.9148196039984496E-4</v>
      </c>
      <c r="R25">
        <f t="shared" si="124"/>
        <v>1.2702796895306155E-4</v>
      </c>
      <c r="S25">
        <f t="shared" si="124"/>
        <v>4.2994081799497749E-4</v>
      </c>
      <c r="T25">
        <f t="shared" si="124"/>
        <v>1.3582221295750426E-3</v>
      </c>
      <c r="U25">
        <f t="shared" si="124"/>
        <v>3.0128428533738954E-3</v>
      </c>
      <c r="V25">
        <f t="shared" si="124"/>
        <v>1.6220494497083242E-3</v>
      </c>
      <c r="W25">
        <f t="shared" si="124"/>
        <v>4.5599783726740041E-4</v>
      </c>
      <c r="X25">
        <f t="shared" si="124"/>
        <v>1.7660144811884607E-2</v>
      </c>
      <c r="Y25">
        <f t="shared" si="124"/>
        <v>5.4328885183001704E-3</v>
      </c>
      <c r="Z25">
        <f t="shared" si="124"/>
        <v>1.2132799598721903E-2</v>
      </c>
      <c r="AA25">
        <f t="shared" si="124"/>
        <v>3.908552890863432E-4</v>
      </c>
      <c r="AB25">
        <f t="shared" si="124"/>
        <v>1.6285637045264299E-5</v>
      </c>
      <c r="AC25">
        <f t="shared" si="124"/>
        <v>3.283184428325283E-3</v>
      </c>
      <c r="AD25">
        <f t="shared" si="124"/>
        <v>5.0094619551232988E-3</v>
      </c>
      <c r="AE25">
        <f t="shared" si="124"/>
        <v>4.2342656317687181E-3</v>
      </c>
      <c r="AF25">
        <f t="shared" si="124"/>
        <v>1.1849429514134304E-2</v>
      </c>
      <c r="AG25">
        <f t="shared" si="124"/>
        <v>1.3028509636211439E-5</v>
      </c>
      <c r="AH25">
        <f t="shared" si="124"/>
        <v>3.2454017503802696E-2</v>
      </c>
      <c r="AI25">
        <f t="shared" si="124"/>
        <v>8.9245291008048359E-4</v>
      </c>
      <c r="AJ25">
        <f t="shared" si="124"/>
        <v>6.5565974744234068E-3</v>
      </c>
      <c r="AK25">
        <f t="shared" si="124"/>
        <v>1.4344389109468796E-2</v>
      </c>
      <c r="AL25">
        <f t="shared" si="104"/>
        <v>1.4711507341042164E-5</v>
      </c>
      <c r="AM25">
        <f t="shared" si="98"/>
        <v>2.9423014682084328E-6</v>
      </c>
      <c r="AN25">
        <f t="shared" si="98"/>
        <v>5.8846029364168656E-6</v>
      </c>
      <c r="AO25">
        <f t="shared" si="98"/>
        <v>1.7359578662429751E-4</v>
      </c>
      <c r="AP25">
        <f t="shared" si="98"/>
        <v>1.3475740724394622E-3</v>
      </c>
      <c r="AQ25">
        <f t="shared" si="98"/>
        <v>3.0894165416188544E-4</v>
      </c>
      <c r="AR25">
        <f t="shared" si="98"/>
        <v>6.3171212522435049E-3</v>
      </c>
      <c r="AS25">
        <f t="shared" si="98"/>
        <v>1.5005737487863005E-4</v>
      </c>
      <c r="AT25">
        <f t="shared" si="98"/>
        <v>2.9423014682084327E-5</v>
      </c>
      <c r="AU25">
        <f t="shared" si="98"/>
        <v>6.5848706858504724E-3</v>
      </c>
      <c r="AV25">
        <f t="shared" si="98"/>
        <v>2.8834554388442639E-4</v>
      </c>
      <c r="AW25">
        <f t="shared" si="98"/>
        <v>2.9717244828905172E-4</v>
      </c>
      <c r="AX25">
        <f t="shared" si="98"/>
        <v>1.0592285285550358E-4</v>
      </c>
      <c r="AY25">
        <f t="shared" si="98"/>
        <v>1.0298055138729514E-4</v>
      </c>
      <c r="AZ25">
        <f t="shared" si="98"/>
        <v>4.6488363197693235E-4</v>
      </c>
      <c r="BA25">
        <f t="shared" si="98"/>
        <v>2.1478800717921557E-4</v>
      </c>
      <c r="BB25">
        <f t="shared" si="98"/>
        <v>1.1798628887515815E-3</v>
      </c>
      <c r="BC25">
        <f t="shared" si="98"/>
        <v>2.6480713213875895E-5</v>
      </c>
      <c r="BD25">
        <f t="shared" si="98"/>
        <v>2.203783799688116E-3</v>
      </c>
      <c r="BE25">
        <f t="shared" si="98"/>
        <v>7.4145996998852502E-4</v>
      </c>
      <c r="BF25">
        <f t="shared" si="98"/>
        <v>1.4446700208903404E-3</v>
      </c>
      <c r="BG25">
        <f t="shared" si="98"/>
        <v>5.8846029364168656E-6</v>
      </c>
      <c r="BH25">
        <f t="shared" si="98"/>
        <v>8.8269044046252971E-6</v>
      </c>
      <c r="BI25">
        <f t="shared" ref="AM25:BQ30" si="125">BI10/$C10</f>
        <v>6.7378703621973112E-4</v>
      </c>
      <c r="BJ25">
        <f t="shared" si="125"/>
        <v>6.7967163915614789E-4</v>
      </c>
      <c r="BK25">
        <f t="shared" si="125"/>
        <v>7.2969076411569125E-4</v>
      </c>
      <c r="BL25">
        <f t="shared" si="125"/>
        <v>3.9456262688675079E-3</v>
      </c>
      <c r="BM25">
        <f t="shared" si="125"/>
        <v>5.8846029364168656E-6</v>
      </c>
      <c r="BN25">
        <f t="shared" si="125"/>
        <v>7.9618677729720189E-3</v>
      </c>
      <c r="BO25">
        <f t="shared" si="125"/>
        <v>4.2663371289022276E-4</v>
      </c>
      <c r="BP25">
        <f t="shared" si="125"/>
        <v>1.5417659693412187E-3</v>
      </c>
      <c r="BQ25">
        <f t="shared" si="125"/>
        <v>6.8055432959661048E-3</v>
      </c>
      <c r="BS25">
        <f>AVERAGE($X$2:$X$15)</f>
        <v>15022.642857142857</v>
      </c>
      <c r="BU25">
        <f t="shared" si="105"/>
        <v>-313.38018882482493</v>
      </c>
      <c r="BW25">
        <f t="shared" si="106"/>
        <v>12.019696140734817</v>
      </c>
      <c r="BX25">
        <f t="shared" si="106"/>
        <v>3.1193973317621309</v>
      </c>
      <c r="BY25">
        <f t="shared" ref="BY25:EI25" si="126">BY10-BZ10</f>
        <v>0.51512983460292072</v>
      </c>
      <c r="BZ25">
        <f t="shared" si="126"/>
        <v>-0.91578637262741469</v>
      </c>
      <c r="CA25">
        <f t="shared" si="126"/>
        <v>-5.4470210288568097</v>
      </c>
      <c r="CB25">
        <f t="shared" si="126"/>
        <v>-4.8555756632016047</v>
      </c>
      <c r="CC25">
        <f t="shared" si="126"/>
        <v>-1.5072317382826181</v>
      </c>
      <c r="CD25">
        <f t="shared" si="126"/>
        <v>-14.166070451580321</v>
      </c>
      <c r="CE25">
        <f t="shared" si="126"/>
        <v>25.002875861004725</v>
      </c>
      <c r="CF25">
        <f t="shared" si="126"/>
        <v>1.5740078279533689</v>
      </c>
      <c r="CG25">
        <f t="shared" si="126"/>
        <v>-43.442616051512985</v>
      </c>
      <c r="CH25">
        <f t="shared" si="126"/>
        <v>41.944923754611899</v>
      </c>
      <c r="CI25">
        <f t="shared" si="126"/>
        <v>-0.45789318631370723</v>
      </c>
      <c r="CJ25">
        <f t="shared" si="126"/>
        <v>1.9460460418332557</v>
      </c>
      <c r="CK25">
        <f t="shared" si="126"/>
        <v>-0.88716804848280795</v>
      </c>
      <c r="CL25">
        <f t="shared" si="126"/>
        <v>-2.7187407937376369</v>
      </c>
      <c r="CM25">
        <f t="shared" si="126"/>
        <v>-4.8460362218200697</v>
      </c>
      <c r="CN25">
        <f t="shared" si="126"/>
        <v>4.0733414699156887</v>
      </c>
      <c r="CO25">
        <f t="shared" si="126"/>
        <v>3.4151200145897329</v>
      </c>
      <c r="CP25">
        <f t="shared" si="126"/>
        <v>-50.387329377270881</v>
      </c>
      <c r="CQ25">
        <f t="shared" si="126"/>
        <v>35.81106294628453</v>
      </c>
      <c r="CR25">
        <f t="shared" si="126"/>
        <v>-19.622630921818661</v>
      </c>
      <c r="CS25">
        <f t="shared" si="126"/>
        <v>34.389686180435717</v>
      </c>
      <c r="CT25">
        <f t="shared" si="126"/>
        <v>1.0970357588765904</v>
      </c>
      <c r="CU25">
        <f t="shared" si="126"/>
        <v>-9.5680597056801755</v>
      </c>
      <c r="CV25">
        <f t="shared" si="126"/>
        <v>-5.0559039322138499</v>
      </c>
      <c r="CW25">
        <f t="shared" si="126"/>
        <v>2.270387048805464</v>
      </c>
      <c r="CX25">
        <f t="shared" si="126"/>
        <v>-22.303213950030162</v>
      </c>
      <c r="CY25">
        <f t="shared" si="126"/>
        <v>34.666329980500258</v>
      </c>
      <c r="CZ25">
        <f t="shared" si="126"/>
        <v>-95.012836160094267</v>
      </c>
      <c r="DA25">
        <f t="shared" si="126"/>
        <v>92.437186987079656</v>
      </c>
      <c r="DB25">
        <f t="shared" si="126"/>
        <v>-16.589088562490353</v>
      </c>
      <c r="DC25">
        <f t="shared" si="126"/>
        <v>-22.808804343251545</v>
      </c>
      <c r="DD25">
        <f t="shared" si="126"/>
        <v>41.964002637374968</v>
      </c>
      <c r="DE25">
        <f t="shared" si="126"/>
        <v>3.8157765526142279E-2</v>
      </c>
      <c r="DF25">
        <f t="shared" si="126"/>
        <v>-9.5394413815355697E-3</v>
      </c>
      <c r="DG25">
        <f t="shared" si="126"/>
        <v>-0.54374815874752747</v>
      </c>
      <c r="DH25">
        <f t="shared" si="126"/>
        <v>-3.8062371112326923</v>
      </c>
      <c r="DI25">
        <f t="shared" si="126"/>
        <v>3.3674228076820558</v>
      </c>
      <c r="DJ25">
        <f t="shared" si="126"/>
        <v>-19.479539301095631</v>
      </c>
      <c r="DK25">
        <f t="shared" si="126"/>
        <v>19.994669135698551</v>
      </c>
      <c r="DL25">
        <f t="shared" si="126"/>
        <v>0.39111709664295835</v>
      </c>
      <c r="DM25">
        <f t="shared" si="126"/>
        <v>-21.253875398061247</v>
      </c>
      <c r="DN25">
        <f t="shared" si="126"/>
        <v>20.414404556486119</v>
      </c>
      <c r="DO25">
        <f t="shared" si="126"/>
        <v>-2.8618324144606855E-2</v>
      </c>
      <c r="DP25">
        <f t="shared" si="126"/>
        <v>0.62006368979981208</v>
      </c>
      <c r="DQ25">
        <f t="shared" si="126"/>
        <v>9.5394413815355628E-3</v>
      </c>
      <c r="DR25">
        <f t="shared" si="126"/>
        <v>-1.1733512899288749</v>
      </c>
      <c r="DS25">
        <f t="shared" si="126"/>
        <v>0.81085251743052345</v>
      </c>
      <c r="DT25">
        <f t="shared" si="126"/>
        <v>-3.1289367731436668</v>
      </c>
      <c r="DU25">
        <f t="shared" si="126"/>
        <v>3.7394610215619433</v>
      </c>
      <c r="DV25">
        <f t="shared" si="126"/>
        <v>-7.0591866223363207</v>
      </c>
      <c r="DW25">
        <f t="shared" si="126"/>
        <v>4.7411023666231777</v>
      </c>
      <c r="DX25">
        <f t="shared" si="126"/>
        <v>-2.2799264901870004</v>
      </c>
      <c r="DY25">
        <f t="shared" si="126"/>
        <v>4.6647868355708928</v>
      </c>
      <c r="DZ25">
        <f t="shared" si="126"/>
        <v>-9.5394413815355662E-3</v>
      </c>
      <c r="EA25">
        <f t="shared" si="126"/>
        <v>-2.1559137522270388</v>
      </c>
      <c r="EB25">
        <f t="shared" si="126"/>
        <v>-1.9078882763071014E-2</v>
      </c>
      <c r="EC25">
        <f t="shared" si="126"/>
        <v>-0.16217050348610451</v>
      </c>
      <c r="ED25">
        <f t="shared" si="126"/>
        <v>-10.426609430018377</v>
      </c>
      <c r="EE25">
        <f t="shared" si="126"/>
        <v>12.773312009876125</v>
      </c>
      <c r="EF25">
        <f t="shared" si="126"/>
        <v>-25.794649495672175</v>
      </c>
      <c r="EG25">
        <f t="shared" si="126"/>
        <v>24.430509378112589</v>
      </c>
      <c r="EH25">
        <f t="shared" si="126"/>
        <v>-3.6154482836019812</v>
      </c>
      <c r="EI25">
        <f t="shared" si="126"/>
        <v>-17.066060631567133</v>
      </c>
      <c r="EL25">
        <f t="shared" si="108"/>
        <v>-4.0200343532465084</v>
      </c>
      <c r="EM25">
        <f t="shared" si="121"/>
        <v>41.400764097265565</v>
      </c>
      <c r="EN25">
        <f t="shared" si="121"/>
        <v>0.14523108538007073</v>
      </c>
      <c r="EO25">
        <f t="shared" si="121"/>
        <v>-1.104869883586</v>
      </c>
      <c r="EP25">
        <f t="shared" si="121"/>
        <v>0.72174982690669398</v>
      </c>
      <c r="EQ25">
        <f t="shared" si="121"/>
        <v>-87.672076989097533</v>
      </c>
      <c r="ER25">
        <f t="shared" si="121"/>
        <v>-11246.840070562625</v>
      </c>
      <c r="ES25">
        <f t="shared" si="121"/>
        <v>10673.315109176201</v>
      </c>
      <c r="ET25">
        <f t="shared" si="121"/>
        <v>580.59940781291766</v>
      </c>
      <c r="EU25">
        <f t="shared" si="121"/>
        <v>-20.777209286787709</v>
      </c>
      <c r="EV25">
        <f t="shared" si="121"/>
        <v>85.637273016312122</v>
      </c>
      <c r="EW25">
        <f t="shared" si="121"/>
        <v>15.14896086224789</v>
      </c>
      <c r="EX25">
        <f t="shared" si="121"/>
        <v>-734.29202914202392</v>
      </c>
      <c r="EY25">
        <f t="shared" si="121"/>
        <v>133.98666069419426</v>
      </c>
      <c r="EZ25">
        <f t="shared" si="121"/>
        <v>596.79692771294685</v>
      </c>
      <c r="FA25">
        <f t="shared" si="121"/>
        <v>-1.5292280500229403</v>
      </c>
      <c r="FB25">
        <f t="shared" si="121"/>
        <v>-2.3285867708173837</v>
      </c>
      <c r="FC25">
        <f t="shared" si="121"/>
        <v>-1001.6521290651475</v>
      </c>
      <c r="FD25">
        <f t="shared" si="121"/>
        <v>721.68011532484422</v>
      </c>
      <c r="FE25">
        <f t="shared" si="121"/>
        <v>245.1922258709485</v>
      </c>
      <c r="FF25">
        <f t="shared" si="121"/>
        <v>34.533601404214721</v>
      </c>
      <c r="FG25">
        <f t="shared" si="121"/>
        <v>-912.02628291320968</v>
      </c>
      <c r="FH25">
        <f t="shared" si="121"/>
        <v>673.67450875632835</v>
      </c>
      <c r="FI25">
        <f t="shared" si="121"/>
        <v>222.18453030611568</v>
      </c>
      <c r="FJ25">
        <f t="shared" si="121"/>
        <v>21.306009477820663</v>
      </c>
      <c r="FK25">
        <f t="shared" si="121"/>
        <v>3.4361493962573979</v>
      </c>
      <c r="FL25">
        <f t="shared" si="121"/>
        <v>-177.23268770799933</v>
      </c>
      <c r="FM25">
        <f t="shared" si="121"/>
        <v>-4208.0496167190331</v>
      </c>
      <c r="FN25">
        <f t="shared" si="121"/>
        <v>4329.3360488798371</v>
      </c>
      <c r="FO25">
        <f t="shared" si="121"/>
        <v>22.643089175311736</v>
      </c>
      <c r="FP25">
        <f t="shared" si="121"/>
        <v>33.111318332801581</v>
      </c>
      <c r="FQ25">
        <f t="shared" si="121"/>
        <v>-199.10275551314359</v>
      </c>
      <c r="FR25">
        <f t="shared" si="121"/>
        <v>130.16890706724848</v>
      </c>
      <c r="FS25">
        <f t="shared" si="121"/>
        <v>62.772212969874772</v>
      </c>
      <c r="FT25">
        <f t="shared" si="121"/>
        <v>-412.081878120466</v>
      </c>
      <c r="FU25">
        <f t="shared" si="121"/>
        <v>418.38317067870565</v>
      </c>
      <c r="FV25">
        <f t="shared" si="121"/>
        <v>8.8243004764039165E-2</v>
      </c>
      <c r="FW25">
        <f t="shared" si="121"/>
        <v>-16.748774660964937</v>
      </c>
      <c r="FX25">
        <f t="shared" si="121"/>
        <v>-4572.12242182302</v>
      </c>
      <c r="FY25">
        <f t="shared" si="121"/>
        <v>-44734.188034188031</v>
      </c>
      <c r="FZ25">
        <f t="shared" si="121"/>
        <v>49271.407327294852</v>
      </c>
      <c r="GA25">
        <f t="shared" si="121"/>
        <v>-202.24153785536495</v>
      </c>
      <c r="GB25">
        <f t="shared" si="121"/>
        <v>220.48416734530392</v>
      </c>
      <c r="GC25">
        <f t="shared" si="121"/>
        <v>32.94513809830223</v>
      </c>
      <c r="GD25">
        <f t="shared" si="121"/>
        <v>-2266.6672311404654</v>
      </c>
      <c r="GE25">
        <f t="shared" si="121"/>
        <v>1114.20788286371</v>
      </c>
      <c r="GF25">
        <f t="shared" si="121"/>
        <v>1146.919542878901</v>
      </c>
      <c r="GG25">
        <f t="shared" si="121"/>
        <v>-24.898611807085757</v>
      </c>
      <c r="GH25">
        <f t="shared" si="121"/>
        <v>21.053149144242198</v>
      </c>
      <c r="GI25">
        <f t="shared" si="121"/>
        <v>-429.02179263435812</v>
      </c>
      <c r="GJ25">
        <f t="shared" si="121"/>
        <v>291.41414141414145</v>
      </c>
      <c r="GK25">
        <f t="shared" si="121"/>
        <v>-43.477633477633503</v>
      </c>
      <c r="GL25">
        <f t="shared" si="121"/>
        <v>185.19632796014707</v>
      </c>
      <c r="GM25">
        <f t="shared" si="121"/>
        <v>-52.700854132306183</v>
      </c>
      <c r="GN25">
        <f t="shared" si="121"/>
        <v>-701.88792046166679</v>
      </c>
      <c r="GO25">
        <f t="shared" si="121"/>
        <v>739.05122743751724</v>
      </c>
      <c r="GP25">
        <f t="shared" si="121"/>
        <v>20.88579356552626</v>
      </c>
      <c r="GQ25">
        <f t="shared" si="121"/>
        <v>0.21870257595945169</v>
      </c>
      <c r="GR25">
        <f t="shared" si="121"/>
        <v>-407.18065456967025</v>
      </c>
      <c r="GS25">
        <f t="shared" si="121"/>
        <v>-314.50524142312577</v>
      </c>
      <c r="GT25">
        <f t="shared" si="121"/>
        <v>673.33592548581009</v>
      </c>
      <c r="GU25">
        <f t="shared" si="121"/>
        <v>-52.952978680750135</v>
      </c>
      <c r="GV25">
        <f t="shared" si="121"/>
        <v>100.78390954294201</v>
      </c>
      <c r="GW25">
        <f t="shared" si="121"/>
        <v>-235.32923952557215</v>
      </c>
      <c r="GX25">
        <f t="shared" si="121"/>
        <v>176.366601284566</v>
      </c>
      <c r="GY25">
        <f t="shared" si="118"/>
        <v>48.679861088761157</v>
      </c>
      <c r="GZ25">
        <f t="shared" si="118"/>
        <v>-742.60461096210565</v>
      </c>
    </row>
    <row r="26" spans="6:208">
      <c r="F26">
        <f t="shared" si="102"/>
        <v>1.4781669082207711E-4</v>
      </c>
      <c r="G26">
        <f t="shared" ref="G26:AK26" si="127">G11/$B11</f>
        <v>3.0902444074301838E-6</v>
      </c>
      <c r="H26">
        <f t="shared" si="127"/>
        <v>2.366612175356949E-4</v>
      </c>
      <c r="I26">
        <f t="shared" si="127"/>
        <v>2.8922112449873659E-3</v>
      </c>
      <c r="J26">
        <f t="shared" si="127"/>
        <v>3.9591181266526373E-3</v>
      </c>
      <c r="K26">
        <f t="shared" si="127"/>
        <v>1.1918042597989075E-3</v>
      </c>
      <c r="L26">
        <f t="shared" si="127"/>
        <v>3.9016910847478928E-3</v>
      </c>
      <c r="M26">
        <f t="shared" si="127"/>
        <v>8.1814220686714115E-4</v>
      </c>
      <c r="N26">
        <f t="shared" si="127"/>
        <v>3.6310371787304661E-5</v>
      </c>
      <c r="O26">
        <f t="shared" si="127"/>
        <v>5.9505231268741042E-3</v>
      </c>
      <c r="P26">
        <f t="shared" si="127"/>
        <v>1.7866763082292178E-3</v>
      </c>
      <c r="Q26">
        <f t="shared" si="127"/>
        <v>4.7739125687450623E-3</v>
      </c>
      <c r="R26">
        <f t="shared" si="127"/>
        <v>6.1804888148603673E-5</v>
      </c>
      <c r="S26">
        <f t="shared" si="127"/>
        <v>6.0723302606003108E-4</v>
      </c>
      <c r="T26">
        <f t="shared" si="127"/>
        <v>1.9607600765144517E-3</v>
      </c>
      <c r="U26">
        <f t="shared" si="127"/>
        <v>2.2296113399608774E-3</v>
      </c>
      <c r="V26">
        <f t="shared" si="127"/>
        <v>8.3050318449686181E-4</v>
      </c>
      <c r="W26">
        <f t="shared" si="127"/>
        <v>1.3615101818402818E-3</v>
      </c>
      <c r="X26">
        <f t="shared" si="127"/>
        <v>2.5931270904215816E-2</v>
      </c>
      <c r="Y26">
        <f t="shared" si="127"/>
        <v>6.9530499167179136E-3</v>
      </c>
      <c r="Z26">
        <f t="shared" si="127"/>
        <v>1.89782209874979E-2</v>
      </c>
      <c r="AA26">
        <f t="shared" si="127"/>
        <v>1.2518065053765102E-3</v>
      </c>
      <c r="AB26">
        <f t="shared" si="127"/>
        <v>9.0132128550047028E-6</v>
      </c>
      <c r="AC26">
        <f t="shared" si="127"/>
        <v>1.0648467187269841E-3</v>
      </c>
      <c r="AD26">
        <f t="shared" si="127"/>
        <v>3.6291572800492791E-2</v>
      </c>
      <c r="AE26">
        <f t="shared" si="127"/>
        <v>-2.5752036728584863E-7</v>
      </c>
      <c r="AF26">
        <f t="shared" si="127"/>
        <v>1.2118135923370179E-2</v>
      </c>
      <c r="AG26">
        <f t="shared" si="127"/>
        <v>8.4466680469758352E-4</v>
      </c>
      <c r="AH26">
        <f t="shared" si="127"/>
        <v>7.7182201840343551E-2</v>
      </c>
      <c r="AI26">
        <f t="shared" si="127"/>
        <v>-2.5752036728584863E-7</v>
      </c>
      <c r="AJ26">
        <f t="shared" si="127"/>
        <v>7.2358072799977753E-3</v>
      </c>
      <c r="AK26">
        <f t="shared" si="127"/>
        <v>5.9479479232012458E-3</v>
      </c>
      <c r="AL26">
        <f t="shared" si="104"/>
        <v>1.095074610695151E-5</v>
      </c>
      <c r="AM26">
        <f t="shared" si="125"/>
        <v>6.9898379406073467E-7</v>
      </c>
      <c r="AN26">
        <f t="shared" si="125"/>
        <v>2.5629405782226939E-6</v>
      </c>
      <c r="AO26">
        <f t="shared" si="125"/>
        <v>2.8495239337875952E-4</v>
      </c>
      <c r="AP26">
        <f t="shared" si="125"/>
        <v>9.778783278909678E-4</v>
      </c>
      <c r="AQ26">
        <f t="shared" si="125"/>
        <v>1.0554655290317094E-4</v>
      </c>
      <c r="AR26">
        <f t="shared" si="125"/>
        <v>1.7810107072667521E-3</v>
      </c>
      <c r="AS26">
        <f t="shared" si="125"/>
        <v>7.2927309180336649E-5</v>
      </c>
      <c r="AT26">
        <f t="shared" si="125"/>
        <v>6.7568433425871024E-6</v>
      </c>
      <c r="AU26">
        <f t="shared" si="125"/>
        <v>1.4273249074720203E-3</v>
      </c>
      <c r="AV26">
        <f t="shared" si="125"/>
        <v>1.5610638067356408E-4</v>
      </c>
      <c r="AW26">
        <f t="shared" si="125"/>
        <v>8.755936993600803E-4</v>
      </c>
      <c r="AX26">
        <f t="shared" si="125"/>
        <v>4.4967957417907268E-5</v>
      </c>
      <c r="AY26">
        <f t="shared" si="125"/>
        <v>6.9432390210032982E-5</v>
      </c>
      <c r="AZ26">
        <f t="shared" si="125"/>
        <v>2.3975144136283201E-4</v>
      </c>
      <c r="BA26">
        <f t="shared" si="125"/>
        <v>2.7237068508566628E-4</v>
      </c>
      <c r="BB26">
        <f t="shared" si="125"/>
        <v>1.2001551744022815E-3</v>
      </c>
      <c r="BC26">
        <f t="shared" si="125"/>
        <v>3.2153254526793795E-5</v>
      </c>
      <c r="BD26">
        <f t="shared" si="125"/>
        <v>3.6691989296228169E-3</v>
      </c>
      <c r="BE26">
        <f t="shared" si="125"/>
        <v>9.5923876004934828E-4</v>
      </c>
      <c r="BF26">
        <f t="shared" si="125"/>
        <v>2.7099601695734685E-3</v>
      </c>
      <c r="BG26">
        <f t="shared" si="125"/>
        <v>1.6868808896665732E-4</v>
      </c>
      <c r="BH26">
        <f t="shared" si="125"/>
        <v>6.5238487445668572E-6</v>
      </c>
      <c r="BI26">
        <f t="shared" si="125"/>
        <v>5.6617687318919508E-5</v>
      </c>
      <c r="BJ26">
        <f t="shared" si="125"/>
        <v>3.7372333522447281E-3</v>
      </c>
      <c r="BK26">
        <f t="shared" si="125"/>
        <v>-2.3299459802024491E-7</v>
      </c>
      <c r="BL26">
        <f t="shared" si="125"/>
        <v>2.4159209868719195E-3</v>
      </c>
      <c r="BM26">
        <f t="shared" si="125"/>
        <v>6.7451936126860894E-4</v>
      </c>
      <c r="BN26">
        <f t="shared" si="125"/>
        <v>7.5846731493530327E-3</v>
      </c>
      <c r="BO26">
        <f t="shared" si="125"/>
        <v>-2.3299459802024491E-7</v>
      </c>
      <c r="BP26">
        <f t="shared" si="125"/>
        <v>1.2763444079549016E-3</v>
      </c>
      <c r="BQ26">
        <f t="shared" si="125"/>
        <v>1.9662414126928466E-3</v>
      </c>
      <c r="BS26">
        <f>AVERAGE($Y$2:$Y$15)</f>
        <v>3438.5</v>
      </c>
      <c r="BU26">
        <f t="shared" si="105"/>
        <v>-301.08419868508781</v>
      </c>
      <c r="BW26">
        <f t="shared" si="106"/>
        <v>17.589645350660405</v>
      </c>
      <c r="BX26">
        <f t="shared" si="106"/>
        <v>4.1079335058891582</v>
      </c>
      <c r="BY26">
        <f t="shared" ref="BY26:EI26" si="128">BY11-BZ11</f>
        <v>0.41396066528773651</v>
      </c>
      <c r="BZ26">
        <f t="shared" si="128"/>
        <v>-0.66808242600707657</v>
      </c>
      <c r="CA26">
        <f t="shared" si="128"/>
        <v>-7.5956625986603896</v>
      </c>
      <c r="CB26">
        <f t="shared" si="128"/>
        <v>-3.0516708830731183</v>
      </c>
      <c r="CC26">
        <f t="shared" si="128"/>
        <v>7.9153404077971832</v>
      </c>
      <c r="CD26">
        <f t="shared" si="128"/>
        <v>-7.7510819943467109</v>
      </c>
      <c r="CE26">
        <f t="shared" si="128"/>
        <v>8.8198665589952974</v>
      </c>
      <c r="CF26">
        <f t="shared" si="128"/>
        <v>2.2362714943301922</v>
      </c>
      <c r="CG26">
        <f t="shared" si="128"/>
        <v>-16.916406830957577</v>
      </c>
      <c r="CH26">
        <f t="shared" si="128"/>
        <v>11.909839852379736</v>
      </c>
      <c r="CI26">
        <f t="shared" si="128"/>
        <v>-8.5443838386792592</v>
      </c>
      <c r="CJ26">
        <f t="shared" si="128"/>
        <v>13.478028920702851</v>
      </c>
      <c r="CK26">
        <f t="shared" si="128"/>
        <v>-1.5600866353726439</v>
      </c>
      <c r="CL26">
        <f t="shared" si="128"/>
        <v>-3.871489780698119</v>
      </c>
      <c r="CM26">
        <f t="shared" si="128"/>
        <v>-0.76899454548113333</v>
      </c>
      <c r="CN26">
        <f t="shared" si="128"/>
        <v>4.0018652927193461</v>
      </c>
      <c r="CO26">
        <f t="shared" si="128"/>
        <v>-1.5188378858066058</v>
      </c>
      <c r="CP26">
        <f t="shared" si="128"/>
        <v>-70.276820488323224</v>
      </c>
      <c r="CQ26">
        <f t="shared" si="128"/>
        <v>54.283354428905746</v>
      </c>
      <c r="CR26">
        <f t="shared" si="128"/>
        <v>-34.395564459566096</v>
      </c>
      <c r="CS26">
        <f t="shared" si="128"/>
        <v>50.702815649610933</v>
      </c>
      <c r="CT26">
        <f t="shared" si="128"/>
        <v>3.5547583108160437</v>
      </c>
      <c r="CU26">
        <f t="shared" si="128"/>
        <v>-3.0199977360849104</v>
      </c>
      <c r="CV26">
        <f t="shared" si="128"/>
        <v>-100.75890983281148</v>
      </c>
      <c r="CW26">
        <f t="shared" si="128"/>
        <v>103.80542462218885</v>
      </c>
      <c r="CX26">
        <f t="shared" si="128"/>
        <v>-34.662208162117985</v>
      </c>
      <c r="CY26">
        <f t="shared" si="128"/>
        <v>32.245473388436373</v>
      </c>
      <c r="CZ26">
        <f t="shared" si="128"/>
        <v>-218.34804607338009</v>
      </c>
      <c r="DA26">
        <f t="shared" si="128"/>
        <v>220.76478084706167</v>
      </c>
      <c r="DB26">
        <f t="shared" si="128"/>
        <v>-20.697296679573146</v>
      </c>
      <c r="DC26">
        <f t="shared" si="128"/>
        <v>3.683660653209909</v>
      </c>
      <c r="DD26">
        <f t="shared" si="128"/>
        <v>16.978279955306633</v>
      </c>
      <c r="DE26">
        <f t="shared" si="128"/>
        <v>3.2409731801886839E-2</v>
      </c>
      <c r="DF26">
        <f t="shared" si="128"/>
        <v>-5.8926785094339726E-3</v>
      </c>
      <c r="DG26">
        <f t="shared" si="128"/>
        <v>-0.89274079417924668</v>
      </c>
      <c r="DH26">
        <f t="shared" si="128"/>
        <v>-2.1906032358820786</v>
      </c>
      <c r="DI26">
        <f t="shared" si="128"/>
        <v>2.7577735424150984</v>
      </c>
      <c r="DJ26">
        <f t="shared" si="128"/>
        <v>-5.2967813951674616</v>
      </c>
      <c r="DK26">
        <f t="shared" si="128"/>
        <v>5.3999032690825555</v>
      </c>
      <c r="DL26">
        <f t="shared" si="128"/>
        <v>0.209190087084906</v>
      </c>
      <c r="DM26">
        <f t="shared" si="128"/>
        <v>-4.4909576090023666</v>
      </c>
      <c r="DN26">
        <f t="shared" si="128"/>
        <v>4.0188067434339692</v>
      </c>
      <c r="DO26">
        <f t="shared" si="128"/>
        <v>-2.274573904641513</v>
      </c>
      <c r="DP26">
        <f t="shared" si="128"/>
        <v>2.6259248607665135</v>
      </c>
      <c r="DQ26">
        <f t="shared" si="128"/>
        <v>-7.734140543632087E-2</v>
      </c>
      <c r="DR26">
        <f t="shared" si="128"/>
        <v>-0.53844349879952913</v>
      </c>
      <c r="DS26">
        <f t="shared" si="128"/>
        <v>-0.10312187391509464</v>
      </c>
      <c r="DT26">
        <f t="shared" si="128"/>
        <v>-2.9330807280707596</v>
      </c>
      <c r="DU26">
        <f t="shared" si="128"/>
        <v>3.6924996709740627</v>
      </c>
      <c r="DV26">
        <f t="shared" si="128"/>
        <v>-11.498088941533037</v>
      </c>
      <c r="DW26">
        <f t="shared" si="128"/>
        <v>8.567217967903316</v>
      </c>
      <c r="DX26">
        <f t="shared" si="128"/>
        <v>-5.5346982899858581</v>
      </c>
      <c r="DY26">
        <f t="shared" si="128"/>
        <v>8.0339305627995419</v>
      </c>
      <c r="DZ26">
        <f t="shared" si="128"/>
        <v>0.51266303032075555</v>
      </c>
      <c r="EA26">
        <f t="shared" si="128"/>
        <v>-0.15836573494103798</v>
      </c>
      <c r="EB26">
        <f t="shared" si="128"/>
        <v>-11.635830301691058</v>
      </c>
      <c r="EC26">
        <f t="shared" si="128"/>
        <v>11.815556996228795</v>
      </c>
      <c r="ED26">
        <f t="shared" si="128"/>
        <v>-7.6383845178537859</v>
      </c>
      <c r="EE26">
        <f t="shared" si="128"/>
        <v>5.5052348974386884</v>
      </c>
      <c r="EF26">
        <f t="shared" si="128"/>
        <v>-21.845632404099089</v>
      </c>
      <c r="EG26">
        <f t="shared" si="128"/>
        <v>23.978782024514189</v>
      </c>
      <c r="EH26">
        <f t="shared" si="128"/>
        <v>-4.0357481941485913</v>
      </c>
      <c r="EI26">
        <f t="shared" si="128"/>
        <v>-2.1810276333042493</v>
      </c>
      <c r="EL26">
        <f t="shared" si="108"/>
        <v>-50.020309340050005</v>
      </c>
      <c r="EM26">
        <f t="shared" si="121"/>
        <v>521.75136363840966</v>
      </c>
      <c r="EN26">
        <f t="shared" si="121"/>
        <v>2.7524748562508643</v>
      </c>
      <c r="EO26">
        <f t="shared" si="121"/>
        <v>-10.472940635481471</v>
      </c>
      <c r="EP26">
        <f t="shared" si="121"/>
        <v>10.155654347607262</v>
      </c>
      <c r="EQ26">
        <f t="shared" si="121"/>
        <v>-800.59367013208953</v>
      </c>
      <c r="ER26">
        <f t="shared" si="121"/>
        <v>-188636.93427917277</v>
      </c>
      <c r="ES26">
        <f t="shared" si="121"/>
        <v>180825.66906280583</v>
      </c>
      <c r="ET26">
        <f t="shared" si="121"/>
        <v>8332.8367446563698</v>
      </c>
      <c r="EU26">
        <f t="shared" si="121"/>
        <v>-266.13039376705848</v>
      </c>
      <c r="EV26">
        <f t="shared" si="121"/>
        <v>293.18978093239627</v>
      </c>
      <c r="EW26">
        <f t="shared" si="121"/>
        <v>249.21832062963369</v>
      </c>
      <c r="EX26">
        <f t="shared" si="121"/>
        <v>-3696.3093624409562</v>
      </c>
      <c r="EY26">
        <f t="shared" si="121"/>
        <v>-17694.633592336424</v>
      </c>
      <c r="EZ26">
        <f t="shared" si="121"/>
        <v>21049.536234458632</v>
      </c>
      <c r="FA26">
        <f t="shared" si="121"/>
        <v>307.92273737420254</v>
      </c>
      <c r="FB26">
        <f t="shared" si="121"/>
        <v>-112.48676514126127</v>
      </c>
      <c r="FC26">
        <f t="shared" si="121"/>
        <v>-18292.473083175882</v>
      </c>
      <c r="FD26">
        <f t="shared" si="121"/>
        <v>15743.216536879987</v>
      </c>
      <c r="FE26">
        <f t="shared" si="121"/>
        <v>2419.4833547488711</v>
      </c>
      <c r="FF26">
        <f t="shared" si="121"/>
        <v>-46.340520544252399</v>
      </c>
      <c r="FG26">
        <f t="shared" si="121"/>
        <v>-16772.313425235072</v>
      </c>
      <c r="FH26">
        <f t="shared" si="121"/>
        <v>13100.283869941526</v>
      </c>
      <c r="FI26">
        <f t="shared" si="121"/>
        <v>3507.3185716908556</v>
      </c>
      <c r="FJ26">
        <f t="shared" si="121"/>
        <v>349.1963620542972</v>
      </c>
      <c r="FK26">
        <f t="shared" si="121"/>
        <v>140.99357216612401</v>
      </c>
      <c r="FL26">
        <f t="shared" si="121"/>
        <v>-726.88509536303059</v>
      </c>
      <c r="FM26">
        <f t="shared" si="121"/>
        <v>-401101.25193175656</v>
      </c>
      <c r="FN26">
        <f t="shared" si="121"/>
        <v>401828.55631521228</v>
      </c>
      <c r="FO26">
        <f t="shared" si="121"/>
        <v>-431.50985885747912</v>
      </c>
      <c r="FP26">
        <f t="shared" si="121"/>
        <v>230.08093858732741</v>
      </c>
      <c r="FQ26">
        <f t="shared" si="121"/>
        <v>-5794.930036383118</v>
      </c>
      <c r="FR26">
        <f t="shared" si="121"/>
        <v>5996.568359441645</v>
      </c>
      <c r="FS26">
        <f t="shared" si="121"/>
        <v>-89.686305564532489</v>
      </c>
      <c r="FT26">
        <f t="shared" si="121"/>
        <v>-2105.3533865272898</v>
      </c>
      <c r="FU26">
        <f t="shared" si="121"/>
        <v>2193.791419529497</v>
      </c>
      <c r="FV26">
        <f t="shared" si="121"/>
        <v>0.9427156361632395</v>
      </c>
      <c r="FW26">
        <f t="shared" si="121"/>
        <v>-92.162491647565474</v>
      </c>
      <c r="FX26">
        <f t="shared" si="121"/>
        <v>-95030.006653359946</v>
      </c>
      <c r="FY26">
        <f t="shared" si="121"/>
        <v>-356862.39316239313</v>
      </c>
      <c r="FZ26">
        <f t="shared" si="121"/>
        <v>451761.69798566977</v>
      </c>
      <c r="GA26">
        <f t="shared" si="121"/>
        <v>-681.08665579345768</v>
      </c>
      <c r="GB26">
        <f t="shared" si="121"/>
        <v>698.85424200489376</v>
      </c>
      <c r="GC26">
        <f t="shared" si="121"/>
        <v>203.75251097196781</v>
      </c>
      <c r="GD26">
        <f t="shared" si="121"/>
        <v>-6204.3914102494637</v>
      </c>
      <c r="GE26">
        <f t="shared" si="121"/>
        <v>-1676.5642291648928</v>
      </c>
      <c r="GF26">
        <f t="shared" si="121"/>
        <v>7658.3004754580488</v>
      </c>
      <c r="GG26">
        <f t="shared" si="121"/>
        <v>58.285594552778463</v>
      </c>
      <c r="GH26">
        <f t="shared" si="121"/>
        <v>81.755594484210434</v>
      </c>
      <c r="GI26">
        <f t="shared" si="121"/>
        <v>-2774.3220566518994</v>
      </c>
      <c r="GJ26">
        <f t="shared" si="121"/>
        <v>496.71717171717137</v>
      </c>
      <c r="GK26">
        <f t="shared" si="121"/>
        <v>-91.240981240981</v>
      </c>
      <c r="GL26">
        <f t="shared" si="121"/>
        <v>2364.5976636428895</v>
      </c>
      <c r="GM26">
        <f t="shared" si="121"/>
        <v>-1140.8184558955697</v>
      </c>
      <c r="GN26">
        <f t="shared" si="121"/>
        <v>-11192.904823510866</v>
      </c>
      <c r="GO26">
        <f t="shared" si="121"/>
        <v>11917.571631676881</v>
      </c>
      <c r="GP26">
        <f t="shared" si="121"/>
        <v>356.78514383865189</v>
      </c>
      <c r="GQ26">
        <f t="shared" si="121"/>
        <v>145.8610123712522</v>
      </c>
      <c r="GR26">
        <f t="shared" si="121"/>
        <v>-430.50948924068337</v>
      </c>
      <c r="GS26">
        <f t="shared" si="121"/>
        <v>-49692.725540025414</v>
      </c>
      <c r="GT26">
        <f t="shared" si="121"/>
        <v>50125.195722074655</v>
      </c>
      <c r="GU26">
        <f t="shared" si="121"/>
        <v>-784.96164271472321</v>
      </c>
      <c r="GV26">
        <f t="shared" si="121"/>
        <v>-240.27201562700202</v>
      </c>
      <c r="GW26">
        <f t="shared" si="121"/>
        <v>-1814.4760824245175</v>
      </c>
      <c r="GX26">
        <f t="shared" ref="GX26:GZ29" si="129">GX11-GY11</f>
        <v>2839.9255413253336</v>
      </c>
      <c r="GY26">
        <f t="shared" si="129"/>
        <v>-115.31279012542976</v>
      </c>
      <c r="GZ26">
        <f t="shared" si="129"/>
        <v>-2634.5983834275607</v>
      </c>
    </row>
    <row r="27" spans="6:208">
      <c r="F27">
        <f t="shared" si="102"/>
        <v>1.168688497767805E-5</v>
      </c>
      <c r="G27">
        <f t="shared" ref="G27:AK27" si="130">G12/$B12</f>
        <v>1.66955499681115E-5</v>
      </c>
      <c r="H27">
        <f t="shared" si="130"/>
        <v>1.535990597066258E-4</v>
      </c>
      <c r="I27">
        <f t="shared" si="130"/>
        <v>5.6264003392535753E-4</v>
      </c>
      <c r="J27">
        <f t="shared" si="130"/>
        <v>1.5393297070598804E-3</v>
      </c>
      <c r="K27">
        <f t="shared" si="130"/>
        <v>1.1169322928666593E-3</v>
      </c>
      <c r="L27">
        <f t="shared" si="130"/>
        <v>4.2773999018301664E-3</v>
      </c>
      <c r="M27">
        <f t="shared" si="130"/>
        <v>3.5394565932396379E-4</v>
      </c>
      <c r="N27">
        <f t="shared" si="130"/>
        <v>1.66955499681115E-6</v>
      </c>
      <c r="O27">
        <f t="shared" si="130"/>
        <v>5.9970415485456506E-3</v>
      </c>
      <c r="P27">
        <f t="shared" si="130"/>
        <v>3.8065853927294219E-4</v>
      </c>
      <c r="Q27">
        <f t="shared" si="130"/>
        <v>1.970074896237157E-4</v>
      </c>
      <c r="R27">
        <f t="shared" si="130"/>
        <v>1.66955499681115E-6</v>
      </c>
      <c r="S27">
        <f t="shared" si="130"/>
        <v>2.6712879948978399E-5</v>
      </c>
      <c r="T27">
        <f t="shared" si="130"/>
        <v>3.0218945442281813E-4</v>
      </c>
      <c r="U27">
        <f t="shared" si="130"/>
        <v>1.2705313525732851E-3</v>
      </c>
      <c r="V27">
        <f t="shared" si="130"/>
        <v>6.8284799369576032E-4</v>
      </c>
      <c r="W27">
        <f t="shared" si="130"/>
        <v>3.1220678440368506E-4</v>
      </c>
      <c r="X27">
        <f t="shared" si="130"/>
        <v>8.2275670242853462E-3</v>
      </c>
      <c r="Y27">
        <f t="shared" si="130"/>
        <v>9.1658569324932137E-4</v>
      </c>
      <c r="Z27">
        <f t="shared" si="130"/>
        <v>7.3109813310360252E-3</v>
      </c>
      <c r="AA27">
        <f t="shared" si="130"/>
        <v>5.0086649904334499E-6</v>
      </c>
      <c r="AB27">
        <f t="shared" si="130"/>
        <v>1.435817297257589E-4</v>
      </c>
      <c r="AC27">
        <f t="shared" si="130"/>
        <v>2.5427322601433815E-3</v>
      </c>
      <c r="AD27">
        <f t="shared" si="130"/>
        <v>2.33737699553561E-5</v>
      </c>
      <c r="AE27">
        <f t="shared" si="130"/>
        <v>1.3865654248516601E-2</v>
      </c>
      <c r="AF27">
        <f t="shared" si="130"/>
        <v>8.8152503831628718E-4</v>
      </c>
      <c r="AG27">
        <f t="shared" si="130"/>
        <v>-1.66955499681115E-6</v>
      </c>
      <c r="AH27">
        <f t="shared" si="130"/>
        <v>1.8784163269122248E-2</v>
      </c>
      <c r="AI27">
        <f t="shared" si="130"/>
        <v>1.168688497767805E-5</v>
      </c>
      <c r="AJ27">
        <f t="shared" si="130"/>
        <v>2.2672556856695417E-3</v>
      </c>
      <c r="AK27">
        <f t="shared" si="130"/>
        <v>5.7499474090176002E-3</v>
      </c>
      <c r="AL27">
        <f t="shared" si="104"/>
        <v>6.6794243672080338E-6</v>
      </c>
      <c r="AM27">
        <f t="shared" si="125"/>
        <v>0</v>
      </c>
      <c r="AN27">
        <f t="shared" si="125"/>
        <v>0</v>
      </c>
      <c r="AO27">
        <f t="shared" si="125"/>
        <v>7.3473668039288376E-5</v>
      </c>
      <c r="AP27">
        <f t="shared" si="125"/>
        <v>6.1617689787494114E-4</v>
      </c>
      <c r="AQ27">
        <f t="shared" si="125"/>
        <v>1.0353107769172452E-4</v>
      </c>
      <c r="AR27">
        <f t="shared" si="125"/>
        <v>2.7586022636569181E-3</v>
      </c>
      <c r="AS27">
        <f t="shared" si="125"/>
        <v>6.846409976388235E-5</v>
      </c>
      <c r="AT27">
        <f t="shared" si="125"/>
        <v>1.6698560918020084E-6</v>
      </c>
      <c r="AU27">
        <f t="shared" si="125"/>
        <v>1.5613154458348779E-3</v>
      </c>
      <c r="AV27">
        <f t="shared" si="125"/>
        <v>1.6197604090479483E-4</v>
      </c>
      <c r="AW27">
        <f t="shared" si="125"/>
        <v>7.1803811947486368E-5</v>
      </c>
      <c r="AX27">
        <f t="shared" si="125"/>
        <v>0</v>
      </c>
      <c r="AY27">
        <f t="shared" si="125"/>
        <v>1.6698560918020084E-6</v>
      </c>
      <c r="AZ27">
        <f t="shared" si="125"/>
        <v>8.1822948498298421E-5</v>
      </c>
      <c r="BA27">
        <f t="shared" si="125"/>
        <v>9.8521509416318496E-5</v>
      </c>
      <c r="BB27">
        <f t="shared" si="125"/>
        <v>2.1340760853229669E-3</v>
      </c>
      <c r="BC27">
        <f t="shared" si="125"/>
        <v>1.8368417009822094E-5</v>
      </c>
      <c r="BD27">
        <f t="shared" si="125"/>
        <v>1.6782053722610186E-3</v>
      </c>
      <c r="BE27">
        <f t="shared" si="125"/>
        <v>1.369281995277647E-4</v>
      </c>
      <c r="BF27">
        <f t="shared" si="125"/>
        <v>1.5412771727332539E-3</v>
      </c>
      <c r="BG27">
        <f t="shared" si="125"/>
        <v>0</v>
      </c>
      <c r="BH27">
        <f t="shared" si="125"/>
        <v>6.846409976388235E-5</v>
      </c>
      <c r="BI27">
        <f t="shared" si="125"/>
        <v>5.3602380546844471E-4</v>
      </c>
      <c r="BJ27">
        <f t="shared" si="125"/>
        <v>5.0095682754060257E-6</v>
      </c>
      <c r="BK27">
        <f t="shared" si="125"/>
        <v>2.3294492480638021E-3</v>
      </c>
      <c r="BL27">
        <f t="shared" si="125"/>
        <v>1.185597825179426E-4</v>
      </c>
      <c r="BM27">
        <f t="shared" si="125"/>
        <v>-1.6698560918020084E-6</v>
      </c>
      <c r="BN27">
        <f t="shared" si="125"/>
        <v>5.8094293433791876E-3</v>
      </c>
      <c r="BO27">
        <f t="shared" si="125"/>
        <v>0</v>
      </c>
      <c r="BP27">
        <f t="shared" si="125"/>
        <v>6.9632999028143756E-4</v>
      </c>
      <c r="BQ27">
        <f t="shared" si="125"/>
        <v>2.9322672972043268E-3</v>
      </c>
      <c r="BS27">
        <f>AVERAGE($Z$2:$Z$15)</f>
        <v>9303.2857142857138</v>
      </c>
      <c r="BU27">
        <f t="shared" si="105"/>
        <v>0.58205658407905503</v>
      </c>
      <c r="BW27">
        <f t="shared" si="106"/>
        <v>11.026738620611493</v>
      </c>
      <c r="BX27">
        <f t="shared" si="106"/>
        <v>2.8024946640850326</v>
      </c>
      <c r="BY27">
        <f t="shared" ref="BY27:EI27" si="131">BY12-BZ12</f>
        <v>-1.6168238446644417E-2</v>
      </c>
      <c r="BZ27">
        <f t="shared" si="131"/>
        <v>-0.44193185087494746</v>
      </c>
      <c r="CA27">
        <f t="shared" si="131"/>
        <v>-1.3204061398092941</v>
      </c>
      <c r="CB27">
        <f t="shared" si="131"/>
        <v>-3.1528064970956615</v>
      </c>
      <c r="CC27">
        <f t="shared" si="131"/>
        <v>1.3635214423336799</v>
      </c>
      <c r="CD27">
        <f t="shared" si="131"/>
        <v>-10.202158459832628</v>
      </c>
      <c r="CE27">
        <f t="shared" si="131"/>
        <v>12.665120116538127</v>
      </c>
      <c r="CF27">
        <f t="shared" si="131"/>
        <v>1.1371661040806573</v>
      </c>
      <c r="CG27">
        <f t="shared" si="131"/>
        <v>-19.353381420633365</v>
      </c>
      <c r="CH27">
        <f t="shared" si="131"/>
        <v>18.129984711503941</v>
      </c>
      <c r="CI27">
        <f t="shared" si="131"/>
        <v>0.59283540971029547</v>
      </c>
      <c r="CJ27">
        <f t="shared" si="131"/>
        <v>0.63056129941913219</v>
      </c>
      <c r="CK27">
        <f t="shared" si="131"/>
        <v>-8.0841192233222087E-2</v>
      </c>
      <c r="CL27">
        <f t="shared" si="131"/>
        <v>-0.88925311456544298</v>
      </c>
      <c r="CM27">
        <f t="shared" si="131"/>
        <v>-3.1258594330179212</v>
      </c>
      <c r="CN27">
        <f t="shared" si="131"/>
        <v>1.8970733110729454</v>
      </c>
      <c r="CO27">
        <f t="shared" si="131"/>
        <v>1.196449645051687</v>
      </c>
      <c r="CP27">
        <f t="shared" si="131"/>
        <v>-25.551206158513729</v>
      </c>
      <c r="CQ27">
        <f t="shared" si="131"/>
        <v>23.600238719285304</v>
      </c>
      <c r="CR27">
        <f t="shared" si="131"/>
        <v>-20.641451083549374</v>
      </c>
      <c r="CS27">
        <f t="shared" si="131"/>
        <v>23.584070480838655</v>
      </c>
      <c r="CT27">
        <f t="shared" si="131"/>
        <v>-0.44732126369049563</v>
      </c>
      <c r="CU27">
        <f t="shared" si="131"/>
        <v>-7.7445862159426753</v>
      </c>
      <c r="CV27">
        <f t="shared" si="131"/>
        <v>8.1326239386621406</v>
      </c>
      <c r="CW27">
        <f t="shared" si="131"/>
        <v>-44.683621653709622</v>
      </c>
      <c r="CX27">
        <f t="shared" si="131"/>
        <v>41.913463466517882</v>
      </c>
      <c r="CY27">
        <f t="shared" si="131"/>
        <v>2.8509993794249655</v>
      </c>
      <c r="CZ27">
        <f t="shared" si="131"/>
        <v>-60.641673000547669</v>
      </c>
      <c r="DA27">
        <f t="shared" si="131"/>
        <v>60.598557698023285</v>
      </c>
      <c r="DB27">
        <f t="shared" si="131"/>
        <v>-7.2810967138055354</v>
      </c>
      <c r="DC27">
        <f t="shared" si="131"/>
        <v>-11.242315133233419</v>
      </c>
      <c r="DD27">
        <f t="shared" si="131"/>
        <v>18.5395800854856</v>
      </c>
      <c r="DE27">
        <f t="shared" si="131"/>
        <v>2.1557651262192556E-2</v>
      </c>
      <c r="DF27">
        <f t="shared" si="131"/>
        <v>0</v>
      </c>
      <c r="DG27">
        <f t="shared" si="131"/>
        <v>-0.23713416388411812</v>
      </c>
      <c r="DH27">
        <f t="shared" si="131"/>
        <v>-1.7515591650531457</v>
      </c>
      <c r="DI27">
        <f t="shared" si="131"/>
        <v>1.6545497343732789</v>
      </c>
      <c r="DJ27">
        <f t="shared" si="131"/>
        <v>-8.569166376721542</v>
      </c>
      <c r="DK27">
        <f t="shared" si="131"/>
        <v>8.682344045848053</v>
      </c>
      <c r="DL27">
        <f t="shared" si="131"/>
        <v>0.21557651262192556</v>
      </c>
      <c r="DM27">
        <f t="shared" si="131"/>
        <v>-5.0337115697219623</v>
      </c>
      <c r="DN27">
        <f t="shared" si="131"/>
        <v>4.516327939429341</v>
      </c>
      <c r="DO27">
        <f t="shared" si="131"/>
        <v>0.29102829203959951</v>
      </c>
      <c r="DP27">
        <f t="shared" si="131"/>
        <v>0.23174475106857001</v>
      </c>
      <c r="DQ27">
        <f t="shared" si="131"/>
        <v>-5.3894128155481391E-3</v>
      </c>
      <c r="DR27">
        <f t="shared" si="131"/>
        <v>-0.25869181514631068</v>
      </c>
      <c r="DS27">
        <f t="shared" si="131"/>
        <v>-5.3894128155481336E-2</v>
      </c>
      <c r="DT27">
        <f t="shared" si="131"/>
        <v>-6.5696942221531813</v>
      </c>
      <c r="DU27">
        <f t="shared" si="131"/>
        <v>6.8283860372994925</v>
      </c>
      <c r="DV27">
        <f t="shared" si="131"/>
        <v>-5.357076338654851</v>
      </c>
      <c r="DW27">
        <f t="shared" si="131"/>
        <v>4.9744280287509328</v>
      </c>
      <c r="DX27">
        <f t="shared" si="131"/>
        <v>-4.5324961778759842</v>
      </c>
      <c r="DY27">
        <f t="shared" si="131"/>
        <v>4.9744280287509319</v>
      </c>
      <c r="DZ27">
        <f t="shared" si="131"/>
        <v>-0.2209659254374737</v>
      </c>
      <c r="EA27">
        <f t="shared" si="131"/>
        <v>-1.509035588353479</v>
      </c>
      <c r="EB27">
        <f t="shared" si="131"/>
        <v>1.7138332753443082</v>
      </c>
      <c r="EC27">
        <f t="shared" si="131"/>
        <v>-7.502062639243011</v>
      </c>
      <c r="ED27">
        <f t="shared" si="131"/>
        <v>7.135582567785737</v>
      </c>
      <c r="EE27">
        <f t="shared" si="131"/>
        <v>0.38803772271946602</v>
      </c>
      <c r="EF27">
        <f t="shared" si="131"/>
        <v>-18.755156598107526</v>
      </c>
      <c r="EG27">
        <f t="shared" si="131"/>
        <v>18.749767185291976</v>
      </c>
      <c r="EH27">
        <f t="shared" si="131"/>
        <v>-2.2473851440835744</v>
      </c>
      <c r="EI27">
        <f t="shared" si="131"/>
        <v>-7.2164237600189587</v>
      </c>
      <c r="EL27">
        <f t="shared" si="108"/>
        <v>1.3216148980262687E-2</v>
      </c>
      <c r="EM27">
        <f t="shared" ref="EM27:GX30" si="132">EM12-EN12</f>
        <v>72.986240767692564</v>
      </c>
      <c r="EN27">
        <f t="shared" si="132"/>
        <v>0.23582761959335294</v>
      </c>
      <c r="EO27">
        <f t="shared" si="132"/>
        <v>-7.5621423570122859E-2</v>
      </c>
      <c r="EP27">
        <f t="shared" si="132"/>
        <v>-0.71885806750128078</v>
      </c>
      <c r="EQ27">
        <f t="shared" si="132"/>
        <v>-79.393998214955175</v>
      </c>
      <c r="ER27">
        <f t="shared" si="132"/>
        <v>-5604.0881282137898</v>
      </c>
      <c r="ES27">
        <f t="shared" si="132"/>
        <v>5167.8107387533328</v>
      </c>
      <c r="ET27">
        <f t="shared" si="132"/>
        <v>476.04424549902956</v>
      </c>
      <c r="EU27">
        <f t="shared" si="132"/>
        <v>-51.875241199400485</v>
      </c>
      <c r="EV27">
        <f t="shared" si="132"/>
        <v>75.475745244577496</v>
      </c>
      <c r="EW27">
        <f t="shared" si="132"/>
        <v>16.855118535439246</v>
      </c>
      <c r="EX27">
        <f t="shared" si="132"/>
        <v>-575.15340155068031</v>
      </c>
      <c r="EY27">
        <f t="shared" si="132"/>
        <v>-127.90355632523631</v>
      </c>
      <c r="EZ27">
        <f t="shared" si="132"/>
        <v>700.88654131939222</v>
      </c>
      <c r="FA27">
        <f t="shared" si="132"/>
        <v>2.0419312688245657</v>
      </c>
      <c r="FB27">
        <f t="shared" si="132"/>
        <v>-0.86082948235209833</v>
      </c>
      <c r="FC27">
        <f t="shared" si="132"/>
        <v>-437.39224716360599</v>
      </c>
      <c r="FD27">
        <f t="shared" si="132"/>
        <v>201.17828891154088</v>
      </c>
      <c r="FE27">
        <f t="shared" si="132"/>
        <v>201.78149209264123</v>
      </c>
      <c r="FF27">
        <f t="shared" si="132"/>
        <v>23.92309976527423</v>
      </c>
      <c r="FG27">
        <f t="shared" si="132"/>
        <v>-825.24837857561351</v>
      </c>
      <c r="FH27">
        <f t="shared" si="132"/>
        <v>755.4834797237819</v>
      </c>
      <c r="FI27">
        <f t="shared" si="132"/>
        <v>52.140990857579496</v>
      </c>
      <c r="FJ27">
        <f t="shared" si="132"/>
        <v>29.062084376839106</v>
      </c>
      <c r="FK27">
        <f t="shared" si="132"/>
        <v>-0.83715724201416153</v>
      </c>
      <c r="FL27">
        <f t="shared" si="132"/>
        <v>-266.93991701979951</v>
      </c>
      <c r="FM27">
        <f t="shared" si="132"/>
        <v>227.94578800315222</v>
      </c>
      <c r="FN27">
        <f t="shared" si="132"/>
        <v>-317.8353125489582</v>
      </c>
      <c r="FO27">
        <f t="shared" si="132"/>
        <v>352.91260126230259</v>
      </c>
      <c r="FP27">
        <f t="shared" si="132"/>
        <v>4.9026430145152089</v>
      </c>
      <c r="FQ27">
        <f t="shared" si="132"/>
        <v>-225.15857429766012</v>
      </c>
      <c r="FR27">
        <f t="shared" si="132"/>
        <v>223.32981819452615</v>
      </c>
      <c r="FS27">
        <f t="shared" si="132"/>
        <v>-2.5550541313219117</v>
      </c>
      <c r="FT27">
        <f t="shared" si="132"/>
        <v>-322.94291063337431</v>
      </c>
      <c r="FU27">
        <f t="shared" si="132"/>
        <v>327.1805744171246</v>
      </c>
      <c r="FV27">
        <f t="shared" si="132"/>
        <v>8.4748327733890252E-2</v>
      </c>
      <c r="FW27">
        <f t="shared" si="132"/>
        <v>0</v>
      </c>
      <c r="FX27">
        <f t="shared" si="132"/>
        <v>-3422.2222222222222</v>
      </c>
      <c r="FY27">
        <f t="shared" si="132"/>
        <v>-36316.23931623932</v>
      </c>
      <c r="FZ27">
        <f t="shared" si="132"/>
        <v>39707.951872380698</v>
      </c>
      <c r="GA27">
        <f t="shared" si="132"/>
        <v>-164.86117358801943</v>
      </c>
      <c r="GB27">
        <f t="shared" si="132"/>
        <v>168.49818049283303</v>
      </c>
      <c r="GC27">
        <f t="shared" si="132"/>
        <v>26.824476356646702</v>
      </c>
      <c r="GD27">
        <f t="shared" si="132"/>
        <v>-947.12982007497294</v>
      </c>
      <c r="GE27">
        <f t="shared" si="132"/>
        <v>-193.99846769387921</v>
      </c>
      <c r="GF27">
        <f t="shared" si="132"/>
        <v>1138.6128048016753</v>
      </c>
      <c r="GG27">
        <f t="shared" si="132"/>
        <v>2.5636657865599184</v>
      </c>
      <c r="GH27">
        <f t="shared" si="132"/>
        <v>-0.2819170358437374</v>
      </c>
      <c r="GI27">
        <f t="shared" si="132"/>
        <v>-135.82919407526737</v>
      </c>
      <c r="GJ27">
        <f t="shared" si="132"/>
        <v>16.919191919191931</v>
      </c>
      <c r="GK27">
        <f t="shared" si="132"/>
        <v>-489.37950937950939</v>
      </c>
      <c r="GL27">
        <f t="shared" si="132"/>
        <v>601.53625269203155</v>
      </c>
      <c r="GM27">
        <f t="shared" si="132"/>
        <v>-71.401662118150128</v>
      </c>
      <c r="GN27">
        <f t="shared" si="132"/>
        <v>-168.97695510590114</v>
      </c>
      <c r="GO27">
        <f t="shared" si="132"/>
        <v>207.38529424959779</v>
      </c>
      <c r="GP27">
        <f t="shared" si="132"/>
        <v>40.028498853850451</v>
      </c>
      <c r="GQ27">
        <f t="shared" si="132"/>
        <v>-2.584421431787483</v>
      </c>
      <c r="GR27">
        <f t="shared" si="132"/>
        <v>-568.44480347291392</v>
      </c>
      <c r="GS27">
        <f t="shared" si="132"/>
        <v>561.65422490470144</v>
      </c>
      <c r="GT27">
        <f t="shared" si="132"/>
        <v>-263.65729414231794</v>
      </c>
      <c r="GU27">
        <f t="shared" si="132"/>
        <v>267.65874024459924</v>
      </c>
      <c r="GV27">
        <f t="shared" si="132"/>
        <v>5.7276257237176615</v>
      </c>
      <c r="GW27">
        <f t="shared" si="132"/>
        <v>-303.81824628082762</v>
      </c>
      <c r="GX27">
        <f t="shared" si="132"/>
        <v>303.46417445482865</v>
      </c>
      <c r="GY27">
        <f t="shared" si="129"/>
        <v>-8.746591556048303</v>
      </c>
      <c r="GZ27">
        <f t="shared" si="129"/>
        <v>-563.37349222333262</v>
      </c>
    </row>
    <row r="28" spans="6:208">
      <c r="F28">
        <f t="shared" si="102"/>
        <v>9.123131869802772E-5</v>
      </c>
      <c r="G28">
        <f t="shared" ref="G28:AK28" si="133">G13/$B13</f>
        <v>1.3515750918226328E-5</v>
      </c>
      <c r="H28">
        <f t="shared" si="133"/>
        <v>1.6894688647782911E-4</v>
      </c>
      <c r="I28">
        <f t="shared" si="133"/>
        <v>1.7840791212058752E-3</v>
      </c>
      <c r="J28">
        <f t="shared" si="133"/>
        <v>6.4841815030190807E-3</v>
      </c>
      <c r="K28">
        <f t="shared" si="133"/>
        <v>1.5374166669482449E-3</v>
      </c>
      <c r="L28">
        <f t="shared" si="133"/>
        <v>4.1223040300590302E-3</v>
      </c>
      <c r="M28">
        <f t="shared" si="133"/>
        <v>2.2638882788029099E-4</v>
      </c>
      <c r="N28">
        <f t="shared" si="133"/>
        <v>6.7578754591131638E-6</v>
      </c>
      <c r="O28">
        <f t="shared" si="133"/>
        <v>5.0920591584417687E-3</v>
      </c>
      <c r="P28">
        <f t="shared" si="133"/>
        <v>7.7715567779801389E-5</v>
      </c>
      <c r="Q28">
        <f t="shared" si="133"/>
        <v>2.7031501836452656E-4</v>
      </c>
      <c r="R28">
        <f t="shared" si="133"/>
        <v>3.3789377295565819E-6</v>
      </c>
      <c r="S28">
        <f t="shared" si="133"/>
        <v>8.4811337011870213E-4</v>
      </c>
      <c r="T28">
        <f t="shared" si="133"/>
        <v>9.9340769248963505E-4</v>
      </c>
      <c r="U28">
        <f t="shared" si="133"/>
        <v>1.1116705130241155E-3</v>
      </c>
      <c r="V28">
        <f t="shared" si="133"/>
        <v>2.9058864474186606E-4</v>
      </c>
      <c r="W28">
        <f t="shared" si="133"/>
        <v>4.4264084257191226E-4</v>
      </c>
      <c r="X28">
        <f t="shared" si="133"/>
        <v>8.2547448733067304E-3</v>
      </c>
      <c r="Y28">
        <f t="shared" si="133"/>
        <v>5.4907738105294457E-3</v>
      </c>
      <c r="Z28">
        <f t="shared" si="133"/>
        <v>2.7639710627772843E-3</v>
      </c>
      <c r="AA28">
        <f t="shared" si="133"/>
        <v>1.3515750918226328E-5</v>
      </c>
      <c r="AB28">
        <f t="shared" si="133"/>
        <v>3.3789377295565819E-6</v>
      </c>
      <c r="AC28">
        <f t="shared" si="133"/>
        <v>6.3186135542708083E-4</v>
      </c>
      <c r="AD28">
        <f t="shared" si="133"/>
        <v>2.7031501836452655E-5</v>
      </c>
      <c r="AE28">
        <f t="shared" si="133"/>
        <v>-3.3789377295565819E-6</v>
      </c>
      <c r="AF28">
        <f t="shared" si="133"/>
        <v>1.963162820872374E-3</v>
      </c>
      <c r="AG28">
        <f t="shared" si="133"/>
        <v>-3.3789377295565819E-6</v>
      </c>
      <c r="AH28">
        <f t="shared" si="133"/>
        <v>2.4193194143625127E-3</v>
      </c>
      <c r="AI28">
        <f t="shared" si="133"/>
        <v>-3.3789377295565819E-6</v>
      </c>
      <c r="AJ28">
        <f t="shared" si="133"/>
        <v>8.528438829400813E-3</v>
      </c>
      <c r="AK28">
        <f t="shared" si="133"/>
        <v>5.892867400346679E-3</v>
      </c>
      <c r="AL28">
        <f t="shared" si="104"/>
        <v>6.2180740759164667E-6</v>
      </c>
      <c r="AM28">
        <f t="shared" si="125"/>
        <v>0</v>
      </c>
      <c r="AN28">
        <f t="shared" si="125"/>
        <v>0</v>
      </c>
      <c r="AO28">
        <f t="shared" si="125"/>
        <v>1.585608889358699E-4</v>
      </c>
      <c r="AP28">
        <f t="shared" si="125"/>
        <v>1.7255155560668195E-3</v>
      </c>
      <c r="AQ28">
        <f t="shared" si="125"/>
        <v>1.6477896301178636E-4</v>
      </c>
      <c r="AR28">
        <f t="shared" si="125"/>
        <v>1.6353534819660307E-3</v>
      </c>
      <c r="AS28">
        <f t="shared" si="125"/>
        <v>4.0417481493457033E-5</v>
      </c>
      <c r="AT28">
        <f t="shared" si="125"/>
        <v>0</v>
      </c>
      <c r="AU28">
        <f t="shared" si="125"/>
        <v>1.0477454817919246E-3</v>
      </c>
      <c r="AV28">
        <f t="shared" si="125"/>
        <v>5.9071703721206434E-5</v>
      </c>
      <c r="AW28">
        <f t="shared" si="125"/>
        <v>1.212524444803711E-4</v>
      </c>
      <c r="AX28">
        <f t="shared" si="125"/>
        <v>6.2180740759164667E-6</v>
      </c>
      <c r="AY28">
        <f t="shared" si="125"/>
        <v>1.212524444803711E-4</v>
      </c>
      <c r="AZ28">
        <f t="shared" si="125"/>
        <v>1.4612474078403695E-4</v>
      </c>
      <c r="BA28">
        <f t="shared" si="125"/>
        <v>4.0417481493457033E-5</v>
      </c>
      <c r="BB28">
        <f t="shared" si="125"/>
        <v>5.0366400014923373E-4</v>
      </c>
      <c r="BC28">
        <f t="shared" si="125"/>
        <v>3.7308444455498802E-5</v>
      </c>
      <c r="BD28">
        <f t="shared" si="125"/>
        <v>1.2684871114869592E-3</v>
      </c>
      <c r="BE28">
        <f t="shared" si="125"/>
        <v>7.0886044465447715E-4</v>
      </c>
      <c r="BF28">
        <f t="shared" si="125"/>
        <v>5.5962666683248194E-4</v>
      </c>
      <c r="BG28">
        <f t="shared" si="125"/>
        <v>0</v>
      </c>
      <c r="BH28">
        <f t="shared" si="125"/>
        <v>0</v>
      </c>
      <c r="BI28">
        <f t="shared" si="125"/>
        <v>1.7099703708770283E-4</v>
      </c>
      <c r="BJ28">
        <f t="shared" si="125"/>
        <v>3.1090370379582333E-6</v>
      </c>
      <c r="BK28">
        <f t="shared" si="125"/>
        <v>-3.1090370379582333E-6</v>
      </c>
      <c r="BL28">
        <f t="shared" si="125"/>
        <v>3.668663704790715E-4</v>
      </c>
      <c r="BM28">
        <f t="shared" si="125"/>
        <v>-3.1090370379582333E-6</v>
      </c>
      <c r="BN28">
        <f t="shared" si="125"/>
        <v>2.922494815680739E-4</v>
      </c>
      <c r="BO28">
        <f t="shared" si="125"/>
        <v>-3.1090370379582333E-6</v>
      </c>
      <c r="BP28">
        <f t="shared" si="125"/>
        <v>1.8902945190786059E-3</v>
      </c>
      <c r="BQ28">
        <f t="shared" si="125"/>
        <v>1.840549926471274E-3</v>
      </c>
      <c r="BS28">
        <f>AVERAGE($AA$2:$AA$15)</f>
        <v>568.57142857142856</v>
      </c>
      <c r="BU28">
        <f t="shared" si="105"/>
        <v>-272.35618744738576</v>
      </c>
      <c r="BW28">
        <f t="shared" si="106"/>
        <v>15.97543104792193</v>
      </c>
      <c r="BX28">
        <f t="shared" si="106"/>
        <v>2.8198172918030742</v>
      </c>
      <c r="BY28">
        <f t="shared" ref="BY28:EI28" si="134">BY13-BZ13</f>
        <v>0.24381878838898763</v>
      </c>
      <c r="BZ28">
        <f t="shared" si="134"/>
        <v>-0.48763757677797531</v>
      </c>
      <c r="CA28">
        <f t="shared" si="134"/>
        <v>-5.0671904717363514</v>
      </c>
      <c r="CB28">
        <f t="shared" si="134"/>
        <v>-14.745736289090512</v>
      </c>
      <c r="CC28">
        <f t="shared" si="134"/>
        <v>15.519595921803386</v>
      </c>
      <c r="CD28">
        <f t="shared" si="134"/>
        <v>-8.1096249181554576</v>
      </c>
      <c r="CE28">
        <f t="shared" si="134"/>
        <v>12.222741870108814</v>
      </c>
      <c r="CF28">
        <f t="shared" si="134"/>
        <v>0.68905309762105194</v>
      </c>
      <c r="CG28">
        <f t="shared" si="134"/>
        <v>-15.954229414148973</v>
      </c>
      <c r="CH28">
        <f t="shared" si="134"/>
        <v>15.731612259532941</v>
      </c>
      <c r="CI28">
        <f t="shared" si="134"/>
        <v>-0.60424656252923026</v>
      </c>
      <c r="CJ28">
        <f t="shared" si="134"/>
        <v>0.83746453403174015</v>
      </c>
      <c r="CK28">
        <f t="shared" si="134"/>
        <v>-2.6502042216194304</v>
      </c>
      <c r="CL28">
        <f t="shared" si="134"/>
        <v>-0.45583512611854227</v>
      </c>
      <c r="CM28">
        <f t="shared" si="134"/>
        <v>-0.37102859102672037</v>
      </c>
      <c r="CN28">
        <f t="shared" si="134"/>
        <v>2.5759985034140866</v>
      </c>
      <c r="CO28">
        <f t="shared" si="134"/>
        <v>-0.47703675989149763</v>
      </c>
      <c r="CP28">
        <f t="shared" si="134"/>
        <v>-24.509088641536497</v>
      </c>
      <c r="CQ28">
        <f t="shared" si="134"/>
        <v>8.6714682131387804</v>
      </c>
      <c r="CR28">
        <f t="shared" si="134"/>
        <v>8.5548592273875208</v>
      </c>
      <c r="CS28">
        <f t="shared" si="134"/>
        <v>8.6290649455928659</v>
      </c>
      <c r="CT28">
        <f t="shared" si="134"/>
        <v>3.1802450659433171E-2</v>
      </c>
      <c r="CU28">
        <f t="shared" si="134"/>
        <v>-1.9717519408848565</v>
      </c>
      <c r="CV28">
        <f t="shared" si="134"/>
        <v>1.8975462226795123</v>
      </c>
      <c r="CW28">
        <f t="shared" si="134"/>
        <v>9.5407351978299512E-2</v>
      </c>
      <c r="CX28">
        <f t="shared" si="134"/>
        <v>-6.1696754279300352</v>
      </c>
      <c r="CY28">
        <f t="shared" si="134"/>
        <v>6.1696754279300352</v>
      </c>
      <c r="CZ28">
        <f t="shared" si="134"/>
        <v>-7.6007857076045271</v>
      </c>
      <c r="DA28">
        <f t="shared" si="134"/>
        <v>7.6007857076045271</v>
      </c>
      <c r="DB28">
        <f t="shared" si="134"/>
        <v>-26.767062638356251</v>
      </c>
      <c r="DC28">
        <f t="shared" si="134"/>
        <v>8.2686371714526246</v>
      </c>
      <c r="DD28">
        <f t="shared" si="134"/>
        <v>18.466623016244196</v>
      </c>
      <c r="DE28">
        <f t="shared" si="134"/>
        <v>2.1201633772955447E-2</v>
      </c>
      <c r="DF28">
        <f t="shared" si="134"/>
        <v>0</v>
      </c>
      <c r="DG28">
        <f t="shared" si="134"/>
        <v>-0.54064166121036383</v>
      </c>
      <c r="DH28">
        <f t="shared" si="134"/>
        <v>-5.3428117107847726</v>
      </c>
      <c r="DI28">
        <f t="shared" si="134"/>
        <v>5.3216100770118171</v>
      </c>
      <c r="DJ28">
        <f t="shared" si="134"/>
        <v>-5.0141863873039627</v>
      </c>
      <c r="DK28">
        <f t="shared" si="134"/>
        <v>5.4382190627630713</v>
      </c>
      <c r="DL28">
        <f t="shared" si="134"/>
        <v>0.13781061952421039</v>
      </c>
      <c r="DM28">
        <f t="shared" si="134"/>
        <v>-3.5724752907429926</v>
      </c>
      <c r="DN28">
        <f t="shared" si="134"/>
        <v>3.3710597698999161</v>
      </c>
      <c r="DO28">
        <f t="shared" si="134"/>
        <v>-0.21201633772955439</v>
      </c>
      <c r="DP28">
        <f t="shared" si="134"/>
        <v>0.39223022479967573</v>
      </c>
      <c r="DQ28">
        <f t="shared" si="134"/>
        <v>-0.39223022479967573</v>
      </c>
      <c r="DR28">
        <f t="shared" si="134"/>
        <v>-8.4806535091821844E-2</v>
      </c>
      <c r="DS28">
        <f t="shared" si="134"/>
        <v>0.36042777414024263</v>
      </c>
      <c r="DT28">
        <f t="shared" si="134"/>
        <v>-1.5795217160851809</v>
      </c>
      <c r="DU28">
        <f t="shared" si="134"/>
        <v>1.5901225329716586</v>
      </c>
      <c r="DV28">
        <f t="shared" si="134"/>
        <v>-4.1979234870451778</v>
      </c>
      <c r="DW28">
        <f t="shared" si="134"/>
        <v>1.9081470395659901</v>
      </c>
      <c r="DX28">
        <f t="shared" si="134"/>
        <v>0.50883921055093051</v>
      </c>
      <c r="DY28">
        <f t="shared" si="134"/>
        <v>1.9081470395659901</v>
      </c>
      <c r="DZ28">
        <f t="shared" si="134"/>
        <v>0</v>
      </c>
      <c r="EA28">
        <f t="shared" si="134"/>
        <v>-0.58304492875627478</v>
      </c>
      <c r="EB28">
        <f t="shared" si="134"/>
        <v>0.57244411186979705</v>
      </c>
      <c r="EC28">
        <f t="shared" si="134"/>
        <v>2.1201633772955447E-2</v>
      </c>
      <c r="ED28">
        <f t="shared" si="134"/>
        <v>-1.2614972094908492</v>
      </c>
      <c r="EE28">
        <f t="shared" si="134"/>
        <v>1.2614972094908492</v>
      </c>
      <c r="EF28">
        <f t="shared" si="134"/>
        <v>-1.0070776042153837</v>
      </c>
      <c r="EG28">
        <f t="shared" si="134"/>
        <v>1.0070776042153837</v>
      </c>
      <c r="EH28">
        <f t="shared" si="134"/>
        <v>-6.4558974838649341</v>
      </c>
      <c r="EI28">
        <f t="shared" si="134"/>
        <v>0.16961307018364469</v>
      </c>
      <c r="EL28">
        <f t="shared" si="108"/>
        <v>-3.1439749963048058</v>
      </c>
      <c r="EM28">
        <f t="shared" si="132"/>
        <v>39.152543747355644</v>
      </c>
      <c r="EN28">
        <f t="shared" si="132"/>
        <v>0.17370098862521161</v>
      </c>
      <c r="EO28">
        <f t="shared" si="132"/>
        <v>-0.49220691469547401</v>
      </c>
      <c r="EP28">
        <f t="shared" si="132"/>
        <v>0.18388971764646955</v>
      </c>
      <c r="EQ28">
        <f t="shared" si="132"/>
        <v>-43.271617977570855</v>
      </c>
      <c r="ER28">
        <f t="shared" si="132"/>
        <v>-8862.410389220433</v>
      </c>
      <c r="ES28">
        <f t="shared" si="132"/>
        <v>7830.9540683743362</v>
      </c>
      <c r="ET28">
        <f t="shared" si="132"/>
        <v>1047.5371787719239</v>
      </c>
      <c r="EU28">
        <f t="shared" si="132"/>
        <v>-16.446963305780507</v>
      </c>
      <c r="EV28">
        <f t="shared" si="132"/>
        <v>38.644507386082836</v>
      </c>
      <c r="EW28">
        <f t="shared" si="132"/>
        <v>5.2818200297545506</v>
      </c>
      <c r="EX28">
        <f t="shared" si="132"/>
        <v>-241.25956531112837</v>
      </c>
      <c r="EY28">
        <f t="shared" si="132"/>
        <v>170.38794030819369</v>
      </c>
      <c r="EZ28">
        <f t="shared" si="132"/>
        <v>69.435510727998334</v>
      </c>
      <c r="FA28">
        <f t="shared" si="132"/>
        <v>1.334371551848452</v>
      </c>
      <c r="FB28">
        <f t="shared" si="132"/>
        <v>-15.784171585227904</v>
      </c>
      <c r="FC28">
        <f t="shared" si="132"/>
        <v>-696.171327206059</v>
      </c>
      <c r="FD28">
        <f t="shared" si="132"/>
        <v>609.55004973422433</v>
      </c>
      <c r="FE28">
        <f t="shared" si="132"/>
        <v>95.1069531428913</v>
      </c>
      <c r="FF28">
        <f t="shared" si="132"/>
        <v>-0.62023617188371105</v>
      </c>
      <c r="FG28">
        <f t="shared" si="132"/>
        <v>-406.74714376084484</v>
      </c>
      <c r="FH28">
        <f t="shared" si="132"/>
        <v>174.20767165267537</v>
      </c>
      <c r="FI28">
        <f t="shared" si="132"/>
        <v>235.16831824213617</v>
      </c>
      <c r="FJ28">
        <f t="shared" si="132"/>
        <v>5.3287840094312884</v>
      </c>
      <c r="FK28">
        <f t="shared" si="132"/>
        <v>0.10558090440779784</v>
      </c>
      <c r="FL28">
        <f t="shared" si="132"/>
        <v>-32.878698345619966</v>
      </c>
      <c r="FM28">
        <f t="shared" si="132"/>
        <v>10.078856604816345</v>
      </c>
      <c r="FN28">
        <f t="shared" si="132"/>
        <v>22.853667554441486</v>
      </c>
      <c r="FO28">
        <f t="shared" si="132"/>
        <v>-5.3702801086579779</v>
      </c>
      <c r="FP28">
        <f t="shared" si="132"/>
        <v>5.3886013085527233</v>
      </c>
      <c r="FQ28">
        <f t="shared" si="132"/>
        <v>-14.386309521165334</v>
      </c>
      <c r="FR28">
        <f t="shared" si="132"/>
        <v>14.577391109645424</v>
      </c>
      <c r="FS28">
        <f t="shared" si="132"/>
        <v>-8.2861823398657286</v>
      </c>
      <c r="FT28">
        <f t="shared" si="132"/>
        <v>-157.68950377897082</v>
      </c>
      <c r="FU28">
        <f t="shared" si="132"/>
        <v>165.68083224351784</v>
      </c>
      <c r="FV28">
        <f t="shared" si="132"/>
        <v>4.2374163866945126E-2</v>
      </c>
      <c r="FW28">
        <f t="shared" si="132"/>
        <v>0</v>
      </c>
      <c r="FX28">
        <f t="shared" si="132"/>
        <v>-3966.6666666666665</v>
      </c>
      <c r="FY28">
        <f t="shared" si="132"/>
        <v>-55802.564102564102</v>
      </c>
      <c r="FZ28">
        <f t="shared" si="132"/>
        <v>59743.149925645528</v>
      </c>
      <c r="GA28">
        <f t="shared" si="132"/>
        <v>-36.125610207633159</v>
      </c>
      <c r="GB28">
        <f t="shared" si="132"/>
        <v>53.685854541934091</v>
      </c>
      <c r="GC28">
        <f t="shared" si="132"/>
        <v>8.5205992509363302</v>
      </c>
      <c r="GD28">
        <f t="shared" si="132"/>
        <v>-341.3892908827786</v>
      </c>
      <c r="GE28">
        <f t="shared" si="132"/>
        <v>117.85987911807271</v>
      </c>
      <c r="GF28">
        <f t="shared" si="132"/>
        <v>221.20422651643062</v>
      </c>
      <c r="GG28">
        <f t="shared" si="132"/>
        <v>0.6073938372323302</v>
      </c>
      <c r="GH28">
        <f t="shared" si="132"/>
        <v>-9.2769729868628126</v>
      </c>
      <c r="GI28">
        <f t="shared" si="132"/>
        <v>-119.56079115764982</v>
      </c>
      <c r="GJ28">
        <f t="shared" si="132"/>
        <v>104.2929292929293</v>
      </c>
      <c r="GK28">
        <f t="shared" si="132"/>
        <v>-50.880230880230883</v>
      </c>
      <c r="GL28">
        <f t="shared" si="132"/>
        <v>69.468119819878623</v>
      </c>
      <c r="GM28">
        <f t="shared" si="132"/>
        <v>-24.168277505876418</v>
      </c>
      <c r="GN28">
        <f t="shared" si="132"/>
        <v>-656.08801965390353</v>
      </c>
      <c r="GO28">
        <f t="shared" si="132"/>
        <v>680.12482668894154</v>
      </c>
      <c r="GP28">
        <f t="shared" si="132"/>
        <v>7.8062077938169878</v>
      </c>
      <c r="GQ28">
        <f t="shared" si="132"/>
        <v>0</v>
      </c>
      <c r="GR28">
        <f t="shared" si="132"/>
        <v>-97.839898348157561</v>
      </c>
      <c r="GS28">
        <f t="shared" si="132"/>
        <v>94.714898348157561</v>
      </c>
      <c r="GT28">
        <f t="shared" si="132"/>
        <v>3.3207220746539914</v>
      </c>
      <c r="GU28">
        <f t="shared" si="132"/>
        <v>-9.1264172849469958</v>
      </c>
      <c r="GV28">
        <f t="shared" si="132"/>
        <v>9.2847670362919921</v>
      </c>
      <c r="GW28">
        <f t="shared" si="132"/>
        <v>-8.5534487730394861</v>
      </c>
      <c r="GX28">
        <f t="shared" si="132"/>
        <v>8.6108995807853539</v>
      </c>
      <c r="GY28">
        <f t="shared" si="129"/>
        <v>-13.164346773019119</v>
      </c>
      <c r="GZ28">
        <f t="shared" si="129"/>
        <v>-180.12592847883141</v>
      </c>
    </row>
    <row r="29" spans="6:208">
      <c r="F29">
        <f t="shared" si="102"/>
        <v>7.7834529485523257E-5</v>
      </c>
      <c r="G29">
        <f t="shared" ref="G29:AK29" si="135">G14/$B14</f>
        <v>8.5428142118257222E-6</v>
      </c>
      <c r="H29">
        <f t="shared" si="135"/>
        <v>1.5851666370832174E-4</v>
      </c>
      <c r="I29">
        <f t="shared" si="135"/>
        <v>9.0933511276989362E-4</v>
      </c>
      <c r="J29">
        <f t="shared" si="135"/>
        <v>1.2557936891383812E-3</v>
      </c>
      <c r="K29">
        <f t="shared" si="135"/>
        <v>1.1257530728028119E-3</v>
      </c>
      <c r="L29">
        <f t="shared" si="135"/>
        <v>5.586051292954931E-3</v>
      </c>
      <c r="M29">
        <f t="shared" si="135"/>
        <v>1.4238023686376204E-5</v>
      </c>
      <c r="N29">
        <f t="shared" si="135"/>
        <v>1.8034830002743192E-5</v>
      </c>
      <c r="O29">
        <f t="shared" si="135"/>
        <v>6.8038769189296419E-3</v>
      </c>
      <c r="P29">
        <f t="shared" si="135"/>
        <v>3.9866466321853371E-4</v>
      </c>
      <c r="Q29">
        <f t="shared" si="135"/>
        <v>1.3687486770502992E-3</v>
      </c>
      <c r="R29">
        <f t="shared" si="135"/>
        <v>1.8984031581834939E-6</v>
      </c>
      <c r="S29">
        <f t="shared" si="135"/>
        <v>-9.4920157909174697E-7</v>
      </c>
      <c r="T29">
        <f t="shared" si="135"/>
        <v>8.6567184013167325E-4</v>
      </c>
      <c r="U29">
        <f t="shared" si="135"/>
        <v>1.3516630486266478E-3</v>
      </c>
      <c r="V29">
        <f t="shared" si="135"/>
        <v>5.5623212534776378E-4</v>
      </c>
      <c r="W29">
        <f t="shared" si="135"/>
        <v>4.1954709795855217E-4</v>
      </c>
      <c r="X29">
        <f t="shared" si="135"/>
        <v>1.1602090901238423E-2</v>
      </c>
      <c r="Y29">
        <f t="shared" si="135"/>
        <v>-9.4920157909174697E-7</v>
      </c>
      <c r="Z29">
        <f t="shared" si="135"/>
        <v>1.1602090901238423E-2</v>
      </c>
      <c r="AA29">
        <f t="shared" si="135"/>
        <v>6.9291715273697528E-5</v>
      </c>
      <c r="AB29">
        <f t="shared" si="135"/>
        <v>7.4037723169156268E-5</v>
      </c>
      <c r="AC29">
        <f t="shared" si="135"/>
        <v>5.0905680686690394E-3</v>
      </c>
      <c r="AD29">
        <f t="shared" si="135"/>
        <v>1.9126411818698702E-3</v>
      </c>
      <c r="AE29">
        <f t="shared" si="135"/>
        <v>1.0234291425767216E-2</v>
      </c>
      <c r="AF29">
        <f t="shared" si="135"/>
        <v>3.1124319778418385E-3</v>
      </c>
      <c r="AG29">
        <f t="shared" si="135"/>
        <v>2.2590997582383579E-4</v>
      </c>
      <c r="AH29">
        <f t="shared" si="135"/>
        <v>1.7931367030622192E-2</v>
      </c>
      <c r="AI29">
        <f t="shared" si="135"/>
        <v>5.2016246534227731E-4</v>
      </c>
      <c r="AJ29">
        <f t="shared" si="135"/>
        <v>2.4014799951021198E-3</v>
      </c>
      <c r="AK29">
        <f t="shared" si="135"/>
        <v>6.744077219446862E-3</v>
      </c>
      <c r="AL29">
        <f t="shared" si="104"/>
        <v>1.0516915981314309E-5</v>
      </c>
      <c r="AM29">
        <f t="shared" si="125"/>
        <v>5.7364996261714413E-6</v>
      </c>
      <c r="AN29">
        <f t="shared" si="125"/>
        <v>0</v>
      </c>
      <c r="AO29">
        <f t="shared" si="125"/>
        <v>9.5608327102857357E-5</v>
      </c>
      <c r="AP29">
        <f t="shared" si="125"/>
        <v>4.1589622289742948E-4</v>
      </c>
      <c r="AQ29">
        <f t="shared" si="125"/>
        <v>1.0325699327108593E-4</v>
      </c>
      <c r="AR29">
        <f t="shared" si="125"/>
        <v>3.6732719272917795E-3</v>
      </c>
      <c r="AS29">
        <f t="shared" si="125"/>
        <v>0</v>
      </c>
      <c r="AT29">
        <f t="shared" si="125"/>
        <v>5.7364996261714413E-6</v>
      </c>
      <c r="AU29">
        <f t="shared" si="125"/>
        <v>1.6750578908420607E-3</v>
      </c>
      <c r="AV29">
        <f t="shared" si="125"/>
        <v>2.1416265271040046E-4</v>
      </c>
      <c r="AW29">
        <f t="shared" si="125"/>
        <v>2.9638581401885777E-4</v>
      </c>
      <c r="AX29">
        <f t="shared" si="125"/>
        <v>1.0516915981314309E-5</v>
      </c>
      <c r="AY29">
        <f t="shared" si="125"/>
        <v>-9.5608327102857342E-7</v>
      </c>
      <c r="AZ29">
        <f t="shared" si="125"/>
        <v>3.145513961684007E-4</v>
      </c>
      <c r="BA29">
        <f t="shared" si="125"/>
        <v>5.2584579906571544E-5</v>
      </c>
      <c r="BB29">
        <f t="shared" si="125"/>
        <v>2.0966906133656617E-3</v>
      </c>
      <c r="BC29">
        <f t="shared" si="125"/>
        <v>3.6331164299085792E-5</v>
      </c>
      <c r="BD29">
        <f t="shared" si="125"/>
        <v>2.1789137746741189E-3</v>
      </c>
      <c r="BE29">
        <f t="shared" si="125"/>
        <v>-9.5608327102857342E-7</v>
      </c>
      <c r="BF29">
        <f t="shared" si="125"/>
        <v>2.1789137746741189E-3</v>
      </c>
      <c r="BG29">
        <f t="shared" si="125"/>
        <v>1.9121665420571468E-6</v>
      </c>
      <c r="BH29">
        <f t="shared" si="125"/>
        <v>2.8682498130857207E-6</v>
      </c>
      <c r="BI29">
        <f t="shared" si="125"/>
        <v>1.1358269259819454E-3</v>
      </c>
      <c r="BJ29">
        <f t="shared" si="125"/>
        <v>3.212439790656007E-4</v>
      </c>
      <c r="BK29">
        <f t="shared" si="125"/>
        <v>1.7438958863561181E-3</v>
      </c>
      <c r="BL29">
        <f t="shared" si="125"/>
        <v>1.1033200947669739E-3</v>
      </c>
      <c r="BM29">
        <f t="shared" si="125"/>
        <v>1.8165582149542896E-5</v>
      </c>
      <c r="BN29">
        <f t="shared" si="125"/>
        <v>5.8292397034612128E-3</v>
      </c>
      <c r="BO29">
        <f t="shared" si="125"/>
        <v>2.1894306906554333E-4</v>
      </c>
      <c r="BP29">
        <f t="shared" si="125"/>
        <v>5.2202146598160119E-4</v>
      </c>
      <c r="BQ29">
        <f t="shared" si="125"/>
        <v>3.7822654201890367E-3</v>
      </c>
      <c r="BS29">
        <f>AVERAGE($AB$2:$AB$15)</f>
        <v>35.071428571428569</v>
      </c>
      <c r="BU29">
        <f t="shared" si="105"/>
        <v>23.110478470679936</v>
      </c>
      <c r="BW29">
        <f t="shared" si="106"/>
        <v>11.379998234144386</v>
      </c>
      <c r="BX29">
        <f t="shared" si="106"/>
        <v>1.7493623423671336</v>
      </c>
      <c r="BY29">
        <f t="shared" ref="BY29:EI29" si="136">BY14-BZ14</f>
        <v>0.22247987977839853</v>
      </c>
      <c r="BZ29">
        <f t="shared" si="136"/>
        <v>-0.48153179458886258</v>
      </c>
      <c r="CA29">
        <f t="shared" si="136"/>
        <v>-2.4107066425303181</v>
      </c>
      <c r="CB29">
        <f t="shared" si="136"/>
        <v>-1.1123993988919931</v>
      </c>
      <c r="CC29">
        <f t="shared" si="136"/>
        <v>0.41753073328274848</v>
      </c>
      <c r="CD29">
        <f t="shared" si="136"/>
        <v>-14.320999384639656</v>
      </c>
      <c r="CE29">
        <f t="shared" si="136"/>
        <v>17.889820469852047</v>
      </c>
      <c r="CF29">
        <f t="shared" si="136"/>
        <v>-1.2190678344021835E-2</v>
      </c>
      <c r="CG29">
        <f t="shared" si="136"/>
        <v>-21.787789870353027</v>
      </c>
      <c r="CH29">
        <f t="shared" si="136"/>
        <v>20.565674366364838</v>
      </c>
      <c r="CI29">
        <f t="shared" si="136"/>
        <v>-3.1147183168975792</v>
      </c>
      <c r="CJ29">
        <f t="shared" si="136"/>
        <v>4.3886442038478615</v>
      </c>
      <c r="CK29">
        <f t="shared" si="136"/>
        <v>9.1430087580163799E-3</v>
      </c>
      <c r="CL29">
        <f t="shared" si="136"/>
        <v>-2.7825223320229844</v>
      </c>
      <c r="CM29">
        <f t="shared" si="136"/>
        <v>-1.5604068280347954</v>
      </c>
      <c r="CN29">
        <f t="shared" si="136"/>
        <v>2.5539471130725753</v>
      </c>
      <c r="CO29">
        <f t="shared" si="136"/>
        <v>0.43886442038478601</v>
      </c>
      <c r="CP29">
        <f t="shared" si="136"/>
        <v>-35.904595392730322</v>
      </c>
      <c r="CQ29">
        <f t="shared" si="136"/>
        <v>37.254713019330737</v>
      </c>
      <c r="CR29">
        <f t="shared" si="136"/>
        <v>-37.254713019330737</v>
      </c>
      <c r="CS29">
        <f t="shared" si="136"/>
        <v>37.029185469966336</v>
      </c>
      <c r="CT29">
        <f t="shared" si="136"/>
        <v>-1.5238347930027291E-2</v>
      </c>
      <c r="CU29">
        <f t="shared" si="136"/>
        <v>-16.106933762038853</v>
      </c>
      <c r="CV29">
        <f t="shared" si="136"/>
        <v>10.20359777394628</v>
      </c>
      <c r="CW29">
        <f t="shared" si="136"/>
        <v>-26.718919260509871</v>
      </c>
      <c r="CX29">
        <f t="shared" si="136"/>
        <v>22.86666490379897</v>
      </c>
      <c r="CY29">
        <f t="shared" si="136"/>
        <v>9.267963211042602</v>
      </c>
      <c r="CZ29">
        <f t="shared" si="136"/>
        <v>-56.848180787759837</v>
      </c>
      <c r="DA29">
        <f t="shared" si="136"/>
        <v>55.903403216098148</v>
      </c>
      <c r="DB29">
        <f t="shared" si="136"/>
        <v>-6.0404811194628207</v>
      </c>
      <c r="DC29">
        <f t="shared" si="136"/>
        <v>-13.943088355974979</v>
      </c>
      <c r="DD29">
        <f t="shared" si="136"/>
        <v>21.620168043122732</v>
      </c>
      <c r="DE29">
        <f t="shared" si="136"/>
        <v>1.5238347930027301E-2</v>
      </c>
      <c r="DF29">
        <f t="shared" si="136"/>
        <v>1.8286017516032756E-2</v>
      </c>
      <c r="DG29">
        <f t="shared" si="136"/>
        <v>-0.30476695860054598</v>
      </c>
      <c r="DH29">
        <f t="shared" si="136"/>
        <v>-1.020969311311829</v>
      </c>
      <c r="DI29">
        <f t="shared" si="136"/>
        <v>0.99658795462378524</v>
      </c>
      <c r="DJ29">
        <f t="shared" si="136"/>
        <v>-11.379998234144384</v>
      </c>
      <c r="DK29">
        <f t="shared" si="136"/>
        <v>11.709146549432974</v>
      </c>
      <c r="DL29">
        <f t="shared" si="136"/>
        <v>-1.8286017516032756E-2</v>
      </c>
      <c r="DM29">
        <f t="shared" si="136"/>
        <v>-5.3212310971655317</v>
      </c>
      <c r="DN29">
        <f t="shared" si="136"/>
        <v>4.6568391274163421</v>
      </c>
      <c r="DO29">
        <f t="shared" si="136"/>
        <v>-0.26209958439646952</v>
      </c>
      <c r="DP29">
        <f t="shared" si="136"/>
        <v>0.91125320621563233</v>
      </c>
      <c r="DQ29">
        <f t="shared" si="136"/>
        <v>3.657203503206552E-2</v>
      </c>
      <c r="DR29">
        <f t="shared" si="136"/>
        <v>-1.0057309633818019</v>
      </c>
      <c r="DS29">
        <f t="shared" si="136"/>
        <v>0.83506146656549607</v>
      </c>
      <c r="DT29">
        <f t="shared" si="136"/>
        <v>-6.5159175748796727</v>
      </c>
      <c r="DU29">
        <f t="shared" si="136"/>
        <v>6.5677279578417647</v>
      </c>
      <c r="DV29">
        <f t="shared" si="136"/>
        <v>-6.8298275422382337</v>
      </c>
      <c r="DW29">
        <f t="shared" si="136"/>
        <v>6.9486866560924474</v>
      </c>
      <c r="DX29">
        <f t="shared" si="136"/>
        <v>-6.9486866560924474</v>
      </c>
      <c r="DY29">
        <f t="shared" si="136"/>
        <v>6.939543647334431</v>
      </c>
      <c r="DZ29">
        <f t="shared" si="136"/>
        <v>-3.0476695860054588E-3</v>
      </c>
      <c r="EA29">
        <f t="shared" si="136"/>
        <v>-3.6114884594164693</v>
      </c>
      <c r="EB29">
        <f t="shared" si="136"/>
        <v>2.5966144872766512</v>
      </c>
      <c r="EC29">
        <f t="shared" si="136"/>
        <v>-4.5349323439761235</v>
      </c>
      <c r="ED29">
        <f t="shared" si="136"/>
        <v>2.0419386226236576</v>
      </c>
      <c r="EE29">
        <f t="shared" si="136"/>
        <v>3.4591049801161966</v>
      </c>
      <c r="EF29">
        <f t="shared" si="136"/>
        <v>-18.523735743741181</v>
      </c>
      <c r="EG29">
        <f t="shared" si="136"/>
        <v>17.883725130680038</v>
      </c>
      <c r="EH29">
        <f t="shared" si="136"/>
        <v>-0.96611125876373061</v>
      </c>
      <c r="EI29">
        <f t="shared" si="136"/>
        <v>-10.392553288278618</v>
      </c>
      <c r="EL29">
        <f t="shared" si="108"/>
        <v>0.92794497886423244</v>
      </c>
      <c r="EM29">
        <f t="shared" si="132"/>
        <v>127.48677022984974</v>
      </c>
      <c r="EN29">
        <f t="shared" si="132"/>
        <v>0.43039116889617784</v>
      </c>
      <c r="EO29">
        <f t="shared" si="132"/>
        <v>-1.5218050411353949</v>
      </c>
      <c r="EP29">
        <f t="shared" si="132"/>
        <v>0.82771674378506732</v>
      </c>
      <c r="EQ29">
        <f t="shared" si="132"/>
        <v>-144.90008125950328</v>
      </c>
      <c r="ER29">
        <f t="shared" si="132"/>
        <v>-16013.366362646846</v>
      </c>
      <c r="ES29">
        <f t="shared" si="132"/>
        <v>15417.859673990075</v>
      </c>
      <c r="ET29">
        <f t="shared" si="132"/>
        <v>669.40952729639582</v>
      </c>
      <c r="EU29">
        <f t="shared" si="132"/>
        <v>-140.38157869806673</v>
      </c>
      <c r="EV29">
        <f t="shared" si="132"/>
        <v>210.95405068565736</v>
      </c>
      <c r="EW29">
        <f t="shared" si="132"/>
        <v>0.68636257662192579</v>
      </c>
      <c r="EX29">
        <f t="shared" si="132"/>
        <v>-1147.2901298632457</v>
      </c>
      <c r="EY29">
        <f t="shared" si="132"/>
        <v>-147.3559464311536</v>
      </c>
      <c r="EZ29">
        <f t="shared" si="132"/>
        <v>1268.3041557620379</v>
      </c>
      <c r="FA29">
        <f t="shared" si="132"/>
        <v>26.539573555364726</v>
      </c>
      <c r="FB29">
        <f t="shared" si="132"/>
        <v>0.37395928804006529</v>
      </c>
      <c r="FC29">
        <f t="shared" si="132"/>
        <v>-2209.0600433758041</v>
      </c>
      <c r="FD29">
        <f t="shared" si="132"/>
        <v>1765.0864974855517</v>
      </c>
      <c r="FE29">
        <f t="shared" si="132"/>
        <v>393.120715246847</v>
      </c>
      <c r="FF29">
        <f t="shared" si="132"/>
        <v>23.547416428247725</v>
      </c>
      <c r="FG29">
        <f t="shared" si="132"/>
        <v>-2048.2220068940323</v>
      </c>
      <c r="FH29">
        <f t="shared" si="132"/>
        <v>2075.61198733011</v>
      </c>
      <c r="FI29">
        <f t="shared" si="132"/>
        <v>-81.511915808225709</v>
      </c>
      <c r="FJ29">
        <f t="shared" si="132"/>
        <v>79.240827245709937</v>
      </c>
      <c r="FK29">
        <f t="shared" si="132"/>
        <v>1.2846052944262334</v>
      </c>
      <c r="FL29">
        <f t="shared" si="132"/>
        <v>-942.40279256639747</v>
      </c>
      <c r="FM29">
        <f t="shared" si="132"/>
        <v>-4802.1763092447991</v>
      </c>
      <c r="FN29">
        <f t="shared" si="132"/>
        <v>5280.9621306595645</v>
      </c>
      <c r="FO29">
        <f t="shared" si="132"/>
        <v>434.39015355596928</v>
      </c>
      <c r="FP29">
        <f t="shared" si="132"/>
        <v>15.452477792158025</v>
      </c>
      <c r="FQ29">
        <f t="shared" si="132"/>
        <v>-363.33682944681613</v>
      </c>
      <c r="FR29">
        <f t="shared" si="132"/>
        <v>239.59070083850978</v>
      </c>
      <c r="FS29">
        <f t="shared" si="132"/>
        <v>130.3060816973198</v>
      </c>
      <c r="FT29">
        <f t="shared" si="132"/>
        <v>-667.09822133808007</v>
      </c>
      <c r="FU29">
        <f t="shared" si="132"/>
        <v>674.91796361505567</v>
      </c>
      <c r="FV29">
        <f t="shared" si="132"/>
        <v>0.12690347184825634</v>
      </c>
      <c r="FW29">
        <f t="shared" si="132"/>
        <v>0.10615442941994187</v>
      </c>
      <c r="FX29">
        <f t="shared" si="132"/>
        <v>-7777.7777777777774</v>
      </c>
      <c r="FY29">
        <f t="shared" si="132"/>
        <v>-39068.376068376063</v>
      </c>
      <c r="FZ29">
        <f t="shared" si="132"/>
        <v>46793.007976206565</v>
      </c>
      <c r="GA29">
        <f t="shared" si="132"/>
        <v>-401.22142182498294</v>
      </c>
      <c r="GB29">
        <f t="shared" si="132"/>
        <v>454.36729177225885</v>
      </c>
      <c r="GC29">
        <f t="shared" si="132"/>
        <v>-0.28909691629955947</v>
      </c>
      <c r="GD29">
        <f t="shared" si="132"/>
        <v>-1774.5300058333387</v>
      </c>
      <c r="GE29">
        <f t="shared" si="132"/>
        <v>-860.47501489742035</v>
      </c>
      <c r="GF29">
        <f t="shared" si="132"/>
        <v>2616.8118759299987</v>
      </c>
      <c r="GG29">
        <f t="shared" si="132"/>
        <v>9.0343889563236832</v>
      </c>
      <c r="GH29">
        <f t="shared" si="132"/>
        <v>9.7297697965799319</v>
      </c>
      <c r="GI29">
        <f t="shared" si="132"/>
        <v>-914.17080592473269</v>
      </c>
      <c r="GJ29">
        <f t="shared" si="132"/>
        <v>802.77777777777783</v>
      </c>
      <c r="GK29">
        <f t="shared" si="132"/>
        <v>-933.17460317460313</v>
      </c>
      <c r="GL29">
        <f t="shared" si="132"/>
        <v>1019.9823794296155</v>
      </c>
      <c r="GM29">
        <f t="shared" si="132"/>
        <v>-153.56487787664747</v>
      </c>
      <c r="GN29">
        <f t="shared" si="132"/>
        <v>180.88545411205649</v>
      </c>
      <c r="GO29">
        <f t="shared" si="132"/>
        <v>-101.85250561324878</v>
      </c>
      <c r="GP29">
        <f t="shared" si="132"/>
        <v>98.427457650775011</v>
      </c>
      <c r="GQ29">
        <f t="shared" si="132"/>
        <v>0.21870257595945169</v>
      </c>
      <c r="GR29">
        <f t="shared" si="132"/>
        <v>-2113.1527003129991</v>
      </c>
      <c r="GS29">
        <f t="shared" si="132"/>
        <v>1063.3418043202032</v>
      </c>
      <c r="GT29">
        <f t="shared" si="132"/>
        <v>693.00293583111988</v>
      </c>
      <c r="GU29">
        <f t="shared" si="132"/>
        <v>269.65789236652313</v>
      </c>
      <c r="GV29">
        <f t="shared" si="132"/>
        <v>80.61180710837624</v>
      </c>
      <c r="GW29">
        <f t="shared" si="132"/>
        <v>-525.09818047735882</v>
      </c>
      <c r="GX29">
        <f t="shared" si="132"/>
        <v>437.58686204376761</v>
      </c>
      <c r="GY29">
        <f t="shared" si="129"/>
        <v>82.786311449868478</v>
      </c>
      <c r="GZ29">
        <f t="shared" si="129"/>
        <v>-1277.4468603446376</v>
      </c>
    </row>
    <row r="30" spans="6:208">
      <c r="F30">
        <f t="shared" si="102"/>
        <v>1.9041142468548112E-4</v>
      </c>
      <c r="G30">
        <f t="shared" ref="G30:AK30" si="137">G15/$B15</f>
        <v>3.4002040122407347E-5</v>
      </c>
      <c r="H30">
        <f t="shared" si="137"/>
        <v>3.8082284937096224E-4</v>
      </c>
      <c r="I30">
        <f t="shared" si="137"/>
        <v>3.1281876912614757E-3</v>
      </c>
      <c r="J30">
        <f t="shared" si="137"/>
        <v>6.9262155729343765E-3</v>
      </c>
      <c r="K30">
        <f t="shared" si="137"/>
        <v>3.1519891193471606E-3</v>
      </c>
      <c r="L30">
        <f t="shared" si="137"/>
        <v>1.4144848690921455E-2</v>
      </c>
      <c r="M30">
        <f t="shared" si="137"/>
        <v>8.8405304318259095E-4</v>
      </c>
      <c r="N30">
        <f t="shared" si="137"/>
        <v>2.380142808568514E-5</v>
      </c>
      <c r="O30">
        <f t="shared" si="137"/>
        <v>2.2951377082624957E-2</v>
      </c>
      <c r="P30">
        <f t="shared" si="137"/>
        <v>1.2580754845290718E-3</v>
      </c>
      <c r="Q30">
        <f t="shared" si="137"/>
        <v>2.0605236314178849E-3</v>
      </c>
      <c r="R30">
        <f t="shared" si="137"/>
        <v>5.1343080584835088E-4</v>
      </c>
      <c r="S30">
        <f t="shared" si="137"/>
        <v>2.3597415844950698E-3</v>
      </c>
      <c r="T30">
        <f t="shared" si="137"/>
        <v>3.3628017681060864E-3</v>
      </c>
      <c r="U30">
        <f t="shared" si="137"/>
        <v>2.8867732063923837E-3</v>
      </c>
      <c r="V30">
        <f t="shared" si="137"/>
        <v>1.8905134308058484E-3</v>
      </c>
      <c r="W30">
        <f t="shared" si="137"/>
        <v>2.7813668820129206E-3</v>
      </c>
      <c r="X30">
        <f t="shared" si="137"/>
        <v>2.754165249914995E-2</v>
      </c>
      <c r="Y30">
        <f t="shared" si="137"/>
        <v>5.9537572254335256E-3</v>
      </c>
      <c r="Z30">
        <f t="shared" si="137"/>
        <v>2.1587895273716424E-2</v>
      </c>
      <c r="AA30">
        <f t="shared" si="137"/>
        <v>2.7201632097925877E-5</v>
      </c>
      <c r="AB30">
        <f t="shared" si="137"/>
        <v>3.536212172730364E-4</v>
      </c>
      <c r="AC30">
        <f t="shared" si="137"/>
        <v>1.8918735124107446E-2</v>
      </c>
      <c r="AD30">
        <f t="shared" si="137"/>
        <v>1.0826249574974498E-2</v>
      </c>
      <c r="AE30">
        <f t="shared" si="137"/>
        <v>3.4002040122407346E-6</v>
      </c>
      <c r="AF30">
        <f t="shared" si="137"/>
        <v>2.6487589255355321E-3</v>
      </c>
      <c r="AG30">
        <f t="shared" si="137"/>
        <v>4.369262155729344E-3</v>
      </c>
      <c r="AH30">
        <f t="shared" si="137"/>
        <v>7.1808908534512064E-2</v>
      </c>
      <c r="AI30">
        <f t="shared" si="137"/>
        <v>2.4685481128867734E-3</v>
      </c>
      <c r="AJ30">
        <f t="shared" si="137"/>
        <v>1.0625637538252295E-2</v>
      </c>
      <c r="AK30">
        <f t="shared" si="137"/>
        <v>1.8204692281536893E-2</v>
      </c>
      <c r="AL30">
        <f t="shared" si="104"/>
        <v>5.178556632695335E-5</v>
      </c>
      <c r="AM30">
        <f t="shared" si="125"/>
        <v>6.9047421769271138E-6</v>
      </c>
      <c r="AN30">
        <f t="shared" si="125"/>
        <v>0</v>
      </c>
      <c r="AO30">
        <f t="shared" si="125"/>
        <v>6.8356947551578427E-4</v>
      </c>
      <c r="AP30">
        <f t="shared" si="125"/>
        <v>2.8378490347170438E-3</v>
      </c>
      <c r="AQ30">
        <f t="shared" si="125"/>
        <v>6.6285524898500293E-4</v>
      </c>
      <c r="AR30">
        <f t="shared" si="125"/>
        <v>9.7046151296710584E-3</v>
      </c>
      <c r="AS30">
        <f t="shared" si="125"/>
        <v>2.1059463639627697E-4</v>
      </c>
      <c r="AT30">
        <f t="shared" si="125"/>
        <v>0</v>
      </c>
      <c r="AU30">
        <f t="shared" si="125"/>
        <v>1.1213301295329632E-2</v>
      </c>
      <c r="AV30">
        <f t="shared" si="125"/>
        <v>8.2166431905432652E-4</v>
      </c>
      <c r="AW30">
        <f t="shared" si="125"/>
        <v>9.2868782279669675E-4</v>
      </c>
      <c r="AX30">
        <f t="shared" si="125"/>
        <v>4.7642721020797085E-4</v>
      </c>
      <c r="AY30">
        <f t="shared" si="125"/>
        <v>5.1785566326953349E-4</v>
      </c>
      <c r="AZ30">
        <f t="shared" si="125"/>
        <v>5.0749855000414281E-4</v>
      </c>
      <c r="BA30">
        <f t="shared" si="125"/>
        <v>3.4868947993481922E-4</v>
      </c>
      <c r="BB30">
        <f t="shared" si="125"/>
        <v>1.0208661308586737E-2</v>
      </c>
      <c r="BC30">
        <f t="shared" si="125"/>
        <v>2.7964205816554809E-4</v>
      </c>
      <c r="BD30">
        <f t="shared" si="125"/>
        <v>6.0071256939265884E-3</v>
      </c>
      <c r="BE30">
        <f t="shared" si="125"/>
        <v>9.3559256497362394E-4</v>
      </c>
      <c r="BF30">
        <f t="shared" si="125"/>
        <v>5.0715331289529651E-3</v>
      </c>
      <c r="BG30">
        <f t="shared" si="125"/>
        <v>1.0357113265390671E-5</v>
      </c>
      <c r="BH30">
        <f t="shared" si="125"/>
        <v>5.4202226088877843E-4</v>
      </c>
      <c r="BI30">
        <f t="shared" si="125"/>
        <v>6.5560526969922943E-3</v>
      </c>
      <c r="BJ30">
        <f t="shared" si="125"/>
        <v>2.2440412075013117E-3</v>
      </c>
      <c r="BK30">
        <f t="shared" si="125"/>
        <v>0</v>
      </c>
      <c r="BL30">
        <f t="shared" si="125"/>
        <v>5.4892700306570551E-4</v>
      </c>
      <c r="BM30">
        <f t="shared" si="125"/>
        <v>1.2566630762007346E-3</v>
      </c>
      <c r="BN30">
        <f t="shared" si="125"/>
        <v>2.7646587676416163E-2</v>
      </c>
      <c r="BO30">
        <f t="shared" si="125"/>
        <v>1.1185682326621924E-3</v>
      </c>
      <c r="BP30">
        <f t="shared" si="125"/>
        <v>3.573204076559781E-3</v>
      </c>
      <c r="BQ30">
        <f t="shared" si="125"/>
        <v>1.0578065015052337E-2</v>
      </c>
      <c r="BS30">
        <f>AVERAGE($AC$2:$AC$15)</f>
        <v>2321.4285714285716</v>
      </c>
      <c r="BU30">
        <f t="shared" si="105"/>
        <v>43.513232145351139</v>
      </c>
      <c r="BW30">
        <f t="shared" si="106"/>
        <v>19.533955474792041</v>
      </c>
      <c r="BX30">
        <f t="shared" si="106"/>
        <v>1.5960073896697256</v>
      </c>
      <c r="BY30">
        <f t="shared" ref="BY30:EI30" si="138">BY15-BZ15</f>
        <v>0.45040699340372631</v>
      </c>
      <c r="BZ30">
        <f t="shared" si="138"/>
        <v>-0.99872855059087129</v>
      </c>
      <c r="CA30">
        <f t="shared" si="138"/>
        <v>-7.9114967537002343</v>
      </c>
      <c r="CB30">
        <f t="shared" si="138"/>
        <v>-10.937056774607873</v>
      </c>
      <c r="CC30">
        <f t="shared" si="138"/>
        <v>10.868516579959479</v>
      </c>
      <c r="CD30">
        <f t="shared" si="138"/>
        <v>-31.655778471179278</v>
      </c>
      <c r="CE30">
        <f t="shared" si="138"/>
        <v>38.186679875533308</v>
      </c>
      <c r="CF30">
        <f t="shared" si="138"/>
        <v>2.4772384637204943</v>
      </c>
      <c r="CG30">
        <f t="shared" si="138"/>
        <v>-66.023790359159264</v>
      </c>
      <c r="CH30">
        <f t="shared" si="138"/>
        <v>62.469491693821162</v>
      </c>
      <c r="CI30">
        <f t="shared" si="138"/>
        <v>-2.3107837052886824</v>
      </c>
      <c r="CJ30">
        <f t="shared" si="138"/>
        <v>4.4551126521455524</v>
      </c>
      <c r="CK30">
        <f t="shared" si="138"/>
        <v>-5.3167608134396378</v>
      </c>
      <c r="CL30">
        <f t="shared" si="138"/>
        <v>-2.8884796316108536</v>
      </c>
      <c r="CM30">
        <f t="shared" si="138"/>
        <v>1.3708038929678619</v>
      </c>
      <c r="CN30">
        <f t="shared" si="138"/>
        <v>2.8688967188541703</v>
      </c>
      <c r="CO30">
        <f t="shared" si="138"/>
        <v>-2.5653615711255711</v>
      </c>
      <c r="CP30">
        <f t="shared" si="138"/>
        <v>-71.301385347085528</v>
      </c>
      <c r="CQ30">
        <f t="shared" si="138"/>
        <v>62.165956546092559</v>
      </c>
      <c r="CR30">
        <f t="shared" si="138"/>
        <v>-45.021116427615937</v>
      </c>
      <c r="CS30">
        <f t="shared" si="138"/>
        <v>62.087624895065822</v>
      </c>
      <c r="CT30">
        <f t="shared" si="138"/>
        <v>-0.93997981232081995</v>
      </c>
      <c r="CU30">
        <f t="shared" si="138"/>
        <v>-53.461351825746632</v>
      </c>
      <c r="CV30">
        <f t="shared" si="138"/>
        <v>23.303666180453661</v>
      </c>
      <c r="CW30">
        <f t="shared" si="138"/>
        <v>31.166205652262189</v>
      </c>
      <c r="CX30">
        <f t="shared" si="138"/>
        <v>-7.6177530623499781</v>
      </c>
      <c r="CY30">
        <f t="shared" si="138"/>
        <v>-4.9544769274409886</v>
      </c>
      <c r="CZ30">
        <f t="shared" si="138"/>
        <v>-194.20374580803272</v>
      </c>
      <c r="DA30">
        <f t="shared" si="138"/>
        <v>199.67716992352584</v>
      </c>
      <c r="DB30">
        <f t="shared" si="138"/>
        <v>-23.489703851642158</v>
      </c>
      <c r="DC30">
        <f t="shared" si="138"/>
        <v>-21.82515626732404</v>
      </c>
      <c r="DD30">
        <f t="shared" si="138"/>
        <v>52.27658560396727</v>
      </c>
      <c r="DE30">
        <f t="shared" si="138"/>
        <v>0.12728893291844437</v>
      </c>
      <c r="DF30">
        <f t="shared" si="138"/>
        <v>1.9582912756683751E-2</v>
      </c>
      <c r="DG30">
        <f t="shared" si="138"/>
        <v>-1.938708362911691</v>
      </c>
      <c r="DH30">
        <f t="shared" si="138"/>
        <v>-6.1098687800853293</v>
      </c>
      <c r="DI30">
        <f t="shared" si="138"/>
        <v>6.1686175183553802</v>
      </c>
      <c r="DJ30">
        <f t="shared" si="138"/>
        <v>-25.643824254877369</v>
      </c>
      <c r="DK30">
        <f t="shared" si="138"/>
        <v>26.926505040440155</v>
      </c>
      <c r="DL30">
        <f t="shared" si="138"/>
        <v>0.59727883907885437</v>
      </c>
      <c r="DM30">
        <f t="shared" si="138"/>
        <v>-31.802650316854407</v>
      </c>
      <c r="DN30">
        <f t="shared" si="138"/>
        <v>29.47228369880904</v>
      </c>
      <c r="DO30">
        <f t="shared" si="138"/>
        <v>-0.30353514772859835</v>
      </c>
      <c r="DP30">
        <f t="shared" si="138"/>
        <v>1.2826807855627858</v>
      </c>
      <c r="DQ30">
        <f t="shared" si="138"/>
        <v>-0.11749747654010245</v>
      </c>
      <c r="DR30">
        <f t="shared" si="138"/>
        <v>2.9374369135025669E-2</v>
      </c>
      <c r="DS30">
        <f t="shared" si="138"/>
        <v>0.45040699340372614</v>
      </c>
      <c r="DT30">
        <f t="shared" si="138"/>
        <v>-27.964399416544392</v>
      </c>
      <c r="DU30">
        <f t="shared" si="138"/>
        <v>28.160228544111231</v>
      </c>
      <c r="DV30">
        <f t="shared" si="138"/>
        <v>-16.24402613166917</v>
      </c>
      <c r="DW30">
        <f t="shared" si="138"/>
        <v>14.383649419784215</v>
      </c>
      <c r="DX30">
        <f t="shared" si="138"/>
        <v>-11.730164741253567</v>
      </c>
      <c r="DY30">
        <f t="shared" si="138"/>
        <v>14.354275050649189</v>
      </c>
      <c r="DZ30">
        <f t="shared" si="138"/>
        <v>-1.5078842822646488</v>
      </c>
      <c r="EA30">
        <f t="shared" si="138"/>
        <v>-17.056717011071544</v>
      </c>
      <c r="EB30">
        <f t="shared" si="138"/>
        <v>12.229529016549002</v>
      </c>
      <c r="EC30">
        <f t="shared" si="138"/>
        <v>6.3644466459222189</v>
      </c>
      <c r="ED30">
        <f t="shared" si="138"/>
        <v>-1.556841564156358</v>
      </c>
      <c r="EE30">
        <f t="shared" si="138"/>
        <v>-2.007248557560084</v>
      </c>
      <c r="EF30">
        <f t="shared" si="138"/>
        <v>-74.845892556045285</v>
      </c>
      <c r="EG30">
        <f t="shared" si="138"/>
        <v>75.237550811178963</v>
      </c>
      <c r="EH30">
        <f t="shared" si="138"/>
        <v>-6.9617254850010735</v>
      </c>
      <c r="EI30">
        <f t="shared" si="138"/>
        <v>-19.86686499165566</v>
      </c>
      <c r="EL30">
        <f t="shared" si="108"/>
        <v>0.54382005618786877</v>
      </c>
      <c r="EM30">
        <f t="shared" si="132"/>
        <v>35.190519800754927</v>
      </c>
      <c r="EN30">
        <f t="shared" si="132"/>
        <v>0.22994921851844535</v>
      </c>
      <c r="EO30">
        <f t="shared" si="132"/>
        <v>-1.065676664961096</v>
      </c>
      <c r="EP30">
        <f t="shared" si="132"/>
        <v>0.2356962419078974</v>
      </c>
      <c r="EQ30">
        <f t="shared" si="132"/>
        <v>-96.83948108099878</v>
      </c>
      <c r="ER30">
        <f t="shared" si="132"/>
        <v>-15420.377585106782</v>
      </c>
      <c r="ES30">
        <f t="shared" si="132"/>
        <v>14376.89581856839</v>
      </c>
      <c r="ET30">
        <f t="shared" si="132"/>
        <v>1085.0820722479864</v>
      </c>
      <c r="EU30">
        <f t="shared" si="132"/>
        <v>-93.869552633074733</v>
      </c>
      <c r="EV30">
        <f t="shared" si="132"/>
        <v>129.25978169967601</v>
      </c>
      <c r="EW30">
        <f t="shared" si="132"/>
        <v>20.516971321364061</v>
      </c>
      <c r="EX30">
        <f t="shared" si="132"/>
        <v>-1080.677493801119</v>
      </c>
      <c r="EY30">
        <f t="shared" si="132"/>
        <v>-60.104471242191948</v>
      </c>
      <c r="EZ30">
        <f t="shared" si="132"/>
        <v>1129.6854475090809</v>
      </c>
      <c r="FA30">
        <f t="shared" si="132"/>
        <v>-12.155690212565915</v>
      </c>
      <c r="FB30">
        <f t="shared" si="132"/>
        <v>-20.632081191966272</v>
      </c>
      <c r="FC30">
        <f t="shared" si="132"/>
        <v>-2351.4302432127602</v>
      </c>
      <c r="FD30">
        <f t="shared" si="132"/>
        <v>2130.8390714531715</v>
      </c>
      <c r="FE30">
        <f t="shared" si="132"/>
        <v>216.47346778825613</v>
      </c>
      <c r="FF30">
        <f t="shared" si="132"/>
        <v>-2.2268337909342861</v>
      </c>
      <c r="FG30">
        <f t="shared" si="132"/>
        <v>-1324.9629929331031</v>
      </c>
      <c r="FH30">
        <f t="shared" si="132"/>
        <v>1116.1087901935023</v>
      </c>
      <c r="FI30">
        <f t="shared" si="132"/>
        <v>217.00735753455712</v>
      </c>
      <c r="FJ30">
        <f t="shared" si="132"/>
        <v>42.030210268419204</v>
      </c>
      <c r="FK30">
        <f t="shared" si="132"/>
        <v>-0.88522502840013473</v>
      </c>
      <c r="FL30">
        <f t="shared" si="132"/>
        <v>-977.475080205783</v>
      </c>
      <c r="FM30">
        <f t="shared" si="132"/>
        <v>-8100.0221064589759</v>
      </c>
      <c r="FN30">
        <f t="shared" si="132"/>
        <v>9078.5719943600197</v>
      </c>
      <c r="FO30">
        <f t="shared" si="132"/>
        <v>-7.0995930968329581</v>
      </c>
      <c r="FP30">
        <f t="shared" si="132"/>
        <v>-71.753917998684969</v>
      </c>
      <c r="FQ30">
        <f t="shared" si="132"/>
        <v>-343.62827764963419</v>
      </c>
      <c r="FR30">
        <f t="shared" si="132"/>
        <v>239.22459515425248</v>
      </c>
      <c r="FS30">
        <f t="shared" si="132"/>
        <v>173.35362997760822</v>
      </c>
      <c r="FT30">
        <f t="shared" si="132"/>
        <v>-498.81600115235767</v>
      </c>
      <c r="FU30">
        <f t="shared" si="132"/>
        <v>508.44483545972389</v>
      </c>
      <c r="FV30">
        <f t="shared" si="132"/>
        <v>0.28242141919544117</v>
      </c>
      <c r="FW30">
        <f t="shared" si="132"/>
        <v>3.5384809806647287E-2</v>
      </c>
      <c r="FX30">
        <f t="shared" si="132"/>
        <v>-15400</v>
      </c>
      <c r="FY30">
        <f t="shared" si="132"/>
        <v>-73123.076923076922</v>
      </c>
      <c r="FZ30">
        <f t="shared" si="132"/>
        <v>88428.595376503989</v>
      </c>
      <c r="GA30">
        <f t="shared" si="132"/>
        <v>-237.95636523649227</v>
      </c>
      <c r="GB30">
        <f t="shared" si="132"/>
        <v>292.45663840118755</v>
      </c>
      <c r="GC30">
        <f t="shared" si="132"/>
        <v>39.981273408239701</v>
      </c>
      <c r="GD30">
        <f t="shared" si="132"/>
        <v>-3290.3039073806076</v>
      </c>
      <c r="GE30">
        <f t="shared" si="132"/>
        <v>490.3039073806076</v>
      </c>
      <c r="GF30">
        <f t="shared" si="132"/>
        <v>2783.9621838003577</v>
      </c>
      <c r="GG30">
        <f t="shared" si="132"/>
        <v>-102.48979116232091</v>
      </c>
      <c r="GH30">
        <f t="shared" si="132"/>
        <v>76.240051985402573</v>
      </c>
      <c r="GI30">
        <f t="shared" si="132"/>
        <v>-366.04577795677272</v>
      </c>
      <c r="GJ30">
        <f t="shared" si="132"/>
        <v>204.2929292929293</v>
      </c>
      <c r="GK30">
        <f t="shared" si="132"/>
        <v>-1204.0548340548341</v>
      </c>
      <c r="GL30">
        <f t="shared" si="132"/>
        <v>1356.2907611651331</v>
      </c>
      <c r="GM30">
        <f t="shared" si="132"/>
        <v>-83.996615722364567</v>
      </c>
      <c r="GN30">
        <f t="shared" si="132"/>
        <v>-681.87132114063377</v>
      </c>
      <c r="GO30">
        <f t="shared" si="132"/>
        <v>753.96508463134137</v>
      </c>
      <c r="GP30">
        <f t="shared" si="132"/>
        <v>63.095619287016859</v>
      </c>
      <c r="GQ30">
        <f t="shared" si="132"/>
        <v>-9.2847331689289021</v>
      </c>
      <c r="GR30">
        <f t="shared" si="132"/>
        <v>-3368.2484108318026</v>
      </c>
      <c r="GS30">
        <f t="shared" si="132"/>
        <v>1346.8948538754767</v>
      </c>
      <c r="GT30">
        <f t="shared" si="132"/>
        <v>2031.25</v>
      </c>
      <c r="GU30">
        <f t="shared" si="132"/>
        <v>-12.033733376581253</v>
      </c>
      <c r="GV30">
        <f t="shared" si="132"/>
        <v>-116.8484112870505</v>
      </c>
      <c r="GW30">
        <f t="shared" si="132"/>
        <v>-569.63498929275465</v>
      </c>
      <c r="GX30">
        <f t="shared" ref="GX30:GZ30" si="139">GX15-GY15</f>
        <v>565.183800623053</v>
      </c>
      <c r="GY30">
        <f t="shared" si="139"/>
        <v>111.62416724098321</v>
      </c>
      <c r="GZ30">
        <f t="shared" si="139"/>
        <v>-976.56870218784547</v>
      </c>
    </row>
    <row r="31" spans="6:208">
      <c r="BS31">
        <f>AVERAGE($AD$2:$AD$15)</f>
        <v>10906.285714285714</v>
      </c>
    </row>
    <row r="32" spans="6:208">
      <c r="BS32">
        <f>AVERAGE($AE$2:$AE$15)</f>
        <v>1628.7142857142858</v>
      </c>
    </row>
    <row r="33" spans="71:71">
      <c r="BS33">
        <f>AVERAGE($AF$2:$AF$15)</f>
        <v>4998.2857142857147</v>
      </c>
    </row>
    <row r="34" spans="71:71">
      <c r="BS34">
        <f>AVERAGE($AG$2:$AG$15)</f>
        <v>396.07142857142856</v>
      </c>
    </row>
    <row r="35" spans="71:71">
      <c r="BS35">
        <f>AVERAGE($AH$2:$AH$15)</f>
        <v>31417.642857142859</v>
      </c>
    </row>
    <row r="36" spans="71:71">
      <c r="BS36">
        <f>AVERAGE($AI$2:$AI$15)</f>
        <v>1052.3571428571429</v>
      </c>
    </row>
    <row r="37" spans="71:71">
      <c r="BS37">
        <f>AVERAGE($AJ$2:$AJ$15)</f>
        <v>4719.8571428571431</v>
      </c>
    </row>
    <row r="38" spans="71:71">
      <c r="BS38">
        <f>AVERAGE($AK$2:$AK$15)</f>
        <v>5652.1428571428569</v>
      </c>
    </row>
    <row r="39" spans="71:71">
      <c r="BS39">
        <f>AVERAGE($AL$2:$AL$15)</f>
        <v>11.928571428571429</v>
      </c>
    </row>
    <row r="40" spans="71:71">
      <c r="BS40">
        <f>AVERAGE($AM$2:$AM$15)</f>
        <v>1.2857142857142858</v>
      </c>
    </row>
    <row r="41" spans="71:71">
      <c r="BS41">
        <f>AVERAGE($AN$2:$AN$15)</f>
        <v>0.9285714285714286</v>
      </c>
    </row>
    <row r="42" spans="71:71">
      <c r="BS42">
        <f>AVERAGE($AO$2:$AO$15)</f>
        <v>203.21428571428572</v>
      </c>
    </row>
    <row r="43" spans="71:71">
      <c r="BS43">
        <f>AVERAGE($AP$2:$AP$15)</f>
        <v>845.57142857142856</v>
      </c>
    </row>
    <row r="44" spans="71:71">
      <c r="BS44">
        <f>AVERAGE($AQ$2:$AQ$15)</f>
        <v>152.57142857142858</v>
      </c>
    </row>
    <row r="45" spans="71:71">
      <c r="BS45">
        <f>AVERAGE($AR$2:$AR$15)</f>
        <v>2075.4285714285716</v>
      </c>
    </row>
    <row r="46" spans="71:71">
      <c r="BS46">
        <f>AVERAGE($AS$2:$AS$15)</f>
        <v>98.714285714285708</v>
      </c>
    </row>
    <row r="47" spans="71:71">
      <c r="BS47">
        <f>AVERAGE($AT$2:$AT$15)</f>
        <v>8.5</v>
      </c>
    </row>
    <row r="48" spans="71:71">
      <c r="BS48">
        <f>AVERAGE($AU$2:$AU$15)</f>
        <v>1677.2857142857142</v>
      </c>
    </row>
    <row r="49" spans="71:71">
      <c r="BS49">
        <f>AVERAGE($AV$2:$AV$15)</f>
        <v>116.42857142857143</v>
      </c>
    </row>
    <row r="50" spans="71:71">
      <c r="BS50">
        <f>AVERAGE($AW$2:$AW$15)</f>
        <v>354.71428571428572</v>
      </c>
    </row>
    <row r="51" spans="71:71">
      <c r="BS51">
        <f>AVERAGE($AX$2:$AX$15)</f>
        <v>36</v>
      </c>
    </row>
    <row r="52" spans="71:71">
      <c r="BS52">
        <f>AVERAGE($AY$2:$AY$15)</f>
        <v>49.5</v>
      </c>
    </row>
    <row r="53" spans="71:71">
      <c r="BS53">
        <f>AVERAGE($AZ$2:$AZ$15)</f>
        <v>210</v>
      </c>
    </row>
    <row r="54" spans="71:71">
      <c r="BS54">
        <f>AVERAGE($BA$2:$BA$15)</f>
        <v>156.35714285714286</v>
      </c>
    </row>
    <row r="55" spans="71:71">
      <c r="BS55">
        <f>AVERAGE($BB$2:$BB$15)</f>
        <v>1281.2857142857142</v>
      </c>
    </row>
    <row r="56" spans="71:71">
      <c r="BS56">
        <f>AVERAGE($BC$2:$BC$15)</f>
        <v>33.142857142857146</v>
      </c>
    </row>
    <row r="57" spans="71:71">
      <c r="BS57">
        <f>AVERAGE($BD$2:$BD$15)</f>
        <v>2305.8571428571427</v>
      </c>
    </row>
    <row r="58" spans="71:71">
      <c r="BS58">
        <f>AVERAGE($BE$2:$BE$15)</f>
        <v>490.42857142857144</v>
      </c>
    </row>
    <row r="59" spans="71:71">
      <c r="BS59">
        <f>AVERAGE($BF$2:$BF$15)</f>
        <v>1586.4285714285713</v>
      </c>
    </row>
    <row r="60" spans="71:71">
      <c r="BS60">
        <f>AVERAGE($BG$2:$BG$15)</f>
        <v>56.214285714285715</v>
      </c>
    </row>
    <row r="61" spans="71:71">
      <c r="BS61">
        <f>AVERAGE($BH$2:$BH$15)</f>
        <v>32</v>
      </c>
    </row>
    <row r="62" spans="71:71">
      <c r="BS62">
        <f>AVERAGE($BI$2:$BI$15)</f>
        <v>510.92857142857144</v>
      </c>
    </row>
    <row r="63" spans="71:71">
      <c r="BS63">
        <f>AVERAGE($BJ$2:$BJ$15)</f>
        <v>1321.2857142857142</v>
      </c>
    </row>
    <row r="64" spans="71:71">
      <c r="BS64">
        <f>AVERAGE($BK$2:$BK$15)</f>
        <v>282.42857142857144</v>
      </c>
    </row>
    <row r="65" spans="71:71">
      <c r="BS65">
        <f>AVERAGE($BL$2:$BL$15)</f>
        <v>1146.4285714285713</v>
      </c>
    </row>
    <row r="66" spans="71:71">
      <c r="BS66">
        <f>AVERAGE($BM$2:$BM$15)</f>
        <v>243</v>
      </c>
    </row>
    <row r="67" spans="71:71">
      <c r="BS67">
        <f>AVERAGE($BN$2:$BN$15)</f>
        <v>4767.5714285714284</v>
      </c>
    </row>
    <row r="68" spans="71:71">
      <c r="BS68">
        <f>AVERAGE($BO$2:$BO$15)</f>
        <v>306.92857142857144</v>
      </c>
    </row>
    <row r="69" spans="71:71">
      <c r="BS69">
        <f>AVERAGE($BP$2:$BP$15)</f>
        <v>1061.7857142857142</v>
      </c>
    </row>
    <row r="70" spans="71:71">
      <c r="BS70">
        <f>AVERAGE($BQ$2:$BQ$15)</f>
        <v>2335.2857142857142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2016-07-15T18:16:40Z</dcterms:created>
  <dcterms:modified xsi:type="dcterms:W3CDTF">2016-07-23T18:09:07Z</dcterms:modified>
</cp:coreProperties>
</file>